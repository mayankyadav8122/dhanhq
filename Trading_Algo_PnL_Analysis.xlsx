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dividual - Stats A" sheetId="2" state="visible" r:id="rId4"/>
    <sheet name="Individual - Day of Week" sheetId="3" state="visible" r:id="rId5"/>
    <sheet name="Combinations" sheetId="4" state="visible" r:id="rId6"/>
    <sheet name="Combinations - Day of Week" sheetId="5" state="visible" r:id="rId7"/>
    <sheet name="D_CURV" sheetId="6" state="visible" r:id="rId8"/>
    <sheet name="D_DAMP" sheetId="7" state="visible" r:id="rId9"/>
    <sheet name="D_ZEN" sheetId="8" state="visible" r:id="rId10"/>
    <sheet name="D_DRIP" sheetId="9" state="visible" r:id="rId11"/>
    <sheet name="D_DROT" sheetId="10" state="visible" r:id="rId12"/>
    <sheet name="D_SKEW" sheetId="11" state="visible" r:id="rId13"/>
    <sheet name="D_SKEWTSL" sheetId="12" state="visible" r:id="rId14"/>
    <sheet name="D_COMBO1" sheetId="13" state="visible" r:id="rId15"/>
    <sheet name="D_COMBO2" sheetId="14" state="visible" r:id="rId16"/>
    <sheet name="D_COMBO3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<sst xmlns="http://schemas.openxmlformats.org/spreadsheetml/2006/main" count="2425" uniqueCount="118">
  <si>
    <t xml:space="preserve">PnL Analysis of Trading Algorithms — Read Me, Methodology &amp; Verdict</t>
  </si>
  <si>
    <t xml:space="preserve">Source data</t>
  </si>
  <si>
    <t xml:space="preserve">Built from the JSON files in the dhanhq repository. The daily P&amp;L breakdown (GetHistoricalPnlBreakdown) is the primary source; period aggregates and the platform QuantStats files were used to validate every computed figure.</t>
  </si>
  <si>
    <t xml:space="preserve">Each strategy has its own D_ tab holding the daily P&amp;L (input) plus live formula columns for cumulative return, running peak, drawdown, recovery and the ex-Wednesday variants. Every summary number (except XIRR) is a live formula reading those tabs.</t>
  </si>
  <si>
    <t xml:space="preserve">Capital basis</t>
  </si>
  <si>
    <t xml:space="preserve">Individual algos: each strategy is analysed on its own native Max Allocation — Rs 3,20,000 for the five credit spreads and Rs 5,00,000 for both SkewHunter variants (matching the platform book size).</t>
  </si>
  <si>
    <t xml:space="preserve">Combinations: each credit spread is sized at Rs 3.2L; option-buying (SkewHunter TSL) is sized at Rs 1L. Because TSL is recorded on a 5L book, its daily P&amp;L is scaled by 1L / 5L = 0.2.</t>
  </si>
  <si>
    <t xml:space="preserve">   Combination 1 = 5 credit spreads (Curvature, Damper, Zen, Delta-Ripple, Delta-Rotation) — capital Rs 16.0L.</t>
  </si>
  <si>
    <t xml:space="preserve">   Combination 2 = identical to Combination 1 in the prompt (processed as written) — capital Rs 16.0L.</t>
  </si>
  <si>
    <t xml:space="preserve">   Combination 3 = 5 credit spreads + SkewHunter TSL — capital Rs 17.0L.</t>
  </si>
  <si>
    <t xml:space="preserve">Methodology</t>
  </si>
  <si>
    <t xml:space="preserve">Return % = sum of daily P&amp;L over the window / Max Allocation. CAGR = (1 + total return)^(365 / calendar days) - 1.</t>
  </si>
  <si>
    <t xml:space="preserve">XIRR = full-period money-weighted annualised return (daily cash-flow IRR, computed in Python and written as a value, since the rates are too extreme for spreadsheet XIRR to converge). Annualised CAGR/XIRR look very large for high-return, short-history strategies (notably SkewHunter) — read them alongside the absolute Max return.</t>
  </si>
  <si>
    <t xml:space="preserve">Drawdown is measured on the cumulative-return curve against its running peak. Avg Drawdown averages the full daily series; Max Drawdown is the deepest point. Recovery (days) = calendar days underwater per peak-to-peak episode.</t>
  </si>
  <si>
    <t xml:space="preserve">Ex-Wednesday view: Wednesday is treated as a no-trade day (P&amp;L set to 0), then all Statistics A are recomputed.</t>
  </si>
  <si>
    <t xml:space="preserve">Colour legend</t>
  </si>
  <si>
    <t xml:space="preserve">  Positive  </t>
  </si>
  <si>
    <t xml:space="preserve">gains</t>
  </si>
  <si>
    <t xml:space="preserve">  Negative  </t>
  </si>
  <si>
    <t xml:space="preserve">losses</t>
  </si>
  <si>
    <t xml:space="preserve">Key findings</t>
  </si>
  <si>
    <t xml:space="preserve">1.  Wednesday is the worst weekday for almost every strategy (negative total P&amp;L). Removing Wednesday lifts returns AND shrinks drawdowns across the board — see the "Excluding Wednesday" block on each stats sheet.</t>
  </si>
  <si>
    <t xml:space="preserve">2.  Diversifying the five credit spreads is powerful: individual max drawdowns of -20% to -44% collapse to about -8% when combined, because the strategies draw down at different times.</t>
  </si>
  <si>
    <t xml:space="preserve">3.  Combination results (basis Max Allocation, including Wednesday):</t>
  </si>
  <si>
    <t xml:space="preserve">Combination</t>
  </si>
  <si>
    <t xml:space="preserve">Capital</t>
  </si>
  <si>
    <t xml:space="preserve">Max Return</t>
  </si>
  <si>
    <t xml:space="preserve">Max Drawdown</t>
  </si>
  <si>
    <t xml:space="preserve">CAGR</t>
  </si>
  <si>
    <t xml:space="preserve">Calmar (Ret/|DD|)</t>
  </si>
  <si>
    <t xml:space="preserve">Combination 1</t>
  </si>
  <si>
    <t xml:space="preserve">Rs 16.0L</t>
  </si>
  <si>
    <t xml:space="preserve">Combination 2</t>
  </si>
  <si>
    <t xml:space="preserve">Combination 3</t>
  </si>
  <si>
    <t xml:space="preserve">Rs 17.0L</t>
  </si>
  <si>
    <t xml:space="preserve">Verdict</t>
  </si>
  <si>
    <t xml:space="preserve">Most profitable on absolute return: Combination 3 (5 credit spreads + SkewHunter TSL) at 146.6% on Rs 17L, edging out Combinations 1/2 at 142.0%.</t>
  </si>
  <si>
    <t xml:space="preserve">Best on drawdown / risk-adjusted: Combinations 1 &amp; 2 (5 credit spreads only) — shallower max drawdown of -8.3% vs -9.4%, and the highest Calmar ratio (~17.1 vs ~15.7). Adding the option-buying leg lifts return slightly but deepens the drawdown.</t>
  </si>
  <si>
    <t xml:space="preserve">Practical read: the pure 5-credit-spread book (Comb 1/2) gives the smoothest ride for nearly the same return; add SkewHunter TSL (Comb 3) only if the extra ~4.6 points of return are worth a ~1 point deeper drawdown. Both improve further if Wednesday is skipped.</t>
  </si>
  <si>
    <t xml:space="preserve">Note: short-window returns (1M/3M) and the annualised CAGR/XIRR are sensitive to start date and limited history; treat them as indicative. Combination 1 and 2 are identical by the prompt definition.</t>
  </si>
  <si>
    <t xml:space="preserve">Stats A — Statistics A (basis Max Allocation)</t>
  </si>
  <si>
    <t xml:space="preserve">Including Wednesday</t>
  </si>
  <si>
    <t xml:space="preserve">Metric</t>
  </si>
  <si>
    <t xml:space="preserve">Curvature</t>
  </si>
  <si>
    <t xml:space="preserve">Damper</t>
  </si>
  <si>
    <t xml:space="preserve">Zen</t>
  </si>
  <si>
    <t xml:space="preserve">Delta-Ripple</t>
  </si>
  <si>
    <t xml:space="preserve">Delta-Rotation</t>
  </si>
  <si>
    <t xml:space="preserve">SkewHunter</t>
  </si>
  <si>
    <t xml:space="preserve">SkewHunter TSL</t>
  </si>
  <si>
    <t xml:space="preserve">Type</t>
  </si>
  <si>
    <t xml:space="preserve">Credit</t>
  </si>
  <si>
    <t xml:space="preserve">Option</t>
  </si>
  <si>
    <t xml:space="preserve">Allocation (Rs)</t>
  </si>
  <si>
    <t xml:space="preserve">Return 1M</t>
  </si>
  <si>
    <t xml:space="preserve">Return 3M</t>
  </si>
  <si>
    <t xml:space="preserve">Return 6M</t>
  </si>
  <si>
    <t xml:space="preserve">Return 1Y</t>
  </si>
  <si>
    <t xml:space="preserve">Return Max</t>
  </si>
  <si>
    <t xml:space="preserve">Gross Gain (Rs)</t>
  </si>
  <si>
    <t xml:space="preserve">XIRR</t>
  </si>
  <si>
    <t xml:space="preserve">Avg Drawdown</t>
  </si>
  <si>
    <t xml:space="preserve">Success Ratio</t>
  </si>
  <si>
    <t xml:space="preserve">Risk : Reward</t>
  </si>
  <si>
    <t xml:space="preserve">Avg Profit /day (Rs)</t>
  </si>
  <si>
    <t xml:space="preserve">Avg Loss /day (Rs)</t>
  </si>
  <si>
    <t xml:space="preserve">Avg Recovery (days)</t>
  </si>
  <si>
    <t xml:space="preserve">Max Recovery (days)</t>
  </si>
  <si>
    <t xml:space="preserve">Excluding Wednesday (Wed P&amp;L = 0)</t>
  </si>
  <si>
    <t xml:space="preserve">Methodology: Returns are cumulative simple P&amp;L summed over each trailing window, divided by Max Allocation. CAGR = (1+total return)^(365/calendar days)-1. XIRR is the full-period money-weighted annualised return computed in Python (daily cash-flow IRR); note XIRR/CAGR are annualised and can look very large for high-return, short-history strategies (e.g. SkewHunter). Drawdown is measured on the cumulative-return curve vs its running peak; Avg DD averages the full daily series. Recovery (days) = calendar days underwater per peak-to-peak episode; Max includes any still-open drawdown at period end. Green = positive, Red = negative. All cells except XIRR are live spreadsheet formulas referencing the D_ data tabs.</t>
  </si>
  <si>
    <t xml:space="preserve">Statistics B — Day-of-Week Performance (Individual Algos)</t>
  </si>
  <si>
    <t xml:space="preserve">Weekday</t>
  </si>
  <si>
    <t xml:space="preserve">Success %</t>
  </si>
  <si>
    <t xml:space="preserve">Avg Profit (Rs)</t>
  </si>
  <si>
    <t xml:space="preserve">Max Profit (Rs)</t>
  </si>
  <si>
    <t xml:space="preserve">Avg Loss (Rs)</t>
  </si>
  <si>
    <t xml:space="preserve">Max Loss (Rs)</t>
  </si>
  <si>
    <t xml:space="preserve">Total P&amp;L (Rs)</t>
  </si>
  <si>
    <t xml:space="preserve"># Days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</si>
  <si>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</si>
  <si>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</si>
  <si>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</si>
  <si>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</si>
  <si>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</si>
  <si>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Best day (incl Wed)</t>
  </si>
  <si>
    <t xml:space="preserve">Best day (excl Wed)</t>
  </si>
  <si>
    <t xml:space="preserve">Per-weekday statistics on actual P&amp;L (Wednesday shown as-is). Success % = winning days / (winning + losing days) that weekday. Wednesday is the weakest day for nearly every strategy, which is why the prompt asks for an ex-Wednesday view on the stats sheets.</t>
  </si>
  <si>
    <t xml:space="preserve">Combinations — Statistics A (basis Max Allocation)</t>
  </si>
  <si>
    <t xml:space="preserve">Credit combo</t>
  </si>
  <si>
    <t xml:space="preserve">Combination sizing: each of the 5 credit-spread algos sized at Rs 3.2L; SkewHunter TSL sized at Rs 1L (its recorded P&amp;L on a 5L book is scaled by 0.2). Combination 1 and Combination 2 are defined identically in the prompt, so their results are identical by construction. Methodology: Returns are cumulative simple P&amp;L summed over each trailing window, divided by Max Allocation. CAGR = (1+total return)^(365/calendar days)-1. XIRR is the full-period money-weighted annualised return computed in Python (daily cash-flow IRR); note XIRR/CAGR are annualised and can look very large for high-return, short-history strategies (e.g. SkewHunter). Drawdown is measured on the cumulative-return curve vs its running peak; Avg DD averages the full daily series. Recovery (days) = calendar days underwater per peak-to-peak episode; Max includes any still-open drawdown at period end. Green = positive, Red = negative. All cells except XIRR are live spreadsheet formulas referencing the D_ data tabs.</t>
  </si>
  <si>
    <t xml:space="preserve">Statistics B — Day-of-Week Performance (Combinations)</t>
  </si>
  <si>
    <t xml:space="preserve">Date</t>
  </si>
  <si>
    <t xml:space="preserve">Day</t>
  </si>
  <si>
    <t xml:space="preserve">PnL (Rs)</t>
  </si>
  <si>
    <t xml:space="preserve">PnL %</t>
  </si>
  <si>
    <t xml:space="preserve">Cum %</t>
  </si>
  <si>
    <t xml:space="preserve">Peak %</t>
  </si>
  <si>
    <t xml:space="preserve">DD %</t>
  </si>
  <si>
    <t xml:space="preserve">PeakDt</t>
  </si>
  <si>
    <t xml:space="preserve">RecFlag</t>
  </si>
  <si>
    <t xml:space="preserve">RecDays</t>
  </si>
  <si>
    <t xml:space="preserve">PnL xWed</t>
  </si>
  <si>
    <t xml:space="preserve">Cum% xWed</t>
  </si>
  <si>
    <t xml:space="preserve">Peak% xWed</t>
  </si>
  <si>
    <t xml:space="preserve">DD% xWed</t>
  </si>
  <si>
    <t xml:space="preserve">PeakDt xW</t>
  </si>
  <si>
    <t xml:space="preserve">RecF xW</t>
  </si>
  <si>
    <t xml:space="preserve">RecD xW</t>
  </si>
  <si>
    <t xml:space="preserve">Last Date</t>
  </si>
  <si>
    <t xml:space="preserve">Cut 1M</t>
  </si>
  <si>
    <t xml:space="preserve">Cut 3M</t>
  </si>
  <si>
    <t xml:space="preserve">Cut 6M</t>
  </si>
  <si>
    <t xml:space="preserve">Cut 1Y</t>
  </si>
  <si>
    <t xml:space="preserve">Ongoing UW d (incl)</t>
  </si>
  <si>
    <t xml:space="preserve">Ongoing UW d (xWed)</t>
  </si>
  <si>
    <t xml:space="preserve">First Date</t>
  </si>
  <si>
    <t xml:space="preserve">Sunday</t>
  </si>
  <si>
    <t xml:space="preserve">Saturday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</si>
</sst>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\%"/>
    <numFmt numFmtId="166" formatCode="0.00\x"/>
    <numFmt numFmtId="167" formatCode="#,##0;\(#,##0\);\-"/>
    <numFmt numFmtId="168" formatCode="0.0"/>
    <numFmt numFmtId="169" formatCode="0"/>
    <numFmt numFmtId="170" formatCode="dd\-mmm\-yy"/>
    <numFmt numFmtId="171" formatCode="0.0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2E5395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42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42" hidden="false" customHeight="true" outlineLevel="0" collapsed="false">
      <c r="A5" s="3" t="s">
        <v>3</v>
      </c>
      <c r="B5" s="3"/>
      <c r="C5" s="3"/>
      <c r="D5" s="3"/>
      <c r="E5" s="3"/>
      <c r="F5" s="3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</row>
    <row r="8" customFormat="false" ht="42" hidden="false" customHeight="true" outlineLevel="0" collapsed="false">
      <c r="A8" s="3" t="s">
        <v>5</v>
      </c>
      <c r="B8" s="3"/>
      <c r="C8" s="3"/>
      <c r="D8" s="3"/>
      <c r="E8" s="3"/>
      <c r="F8" s="3"/>
    </row>
    <row r="9" customFormat="false" ht="27.75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27.75" hidden="false" customHeight="true" outlineLevel="0" collapsed="false">
      <c r="A10" s="3" t="s">
        <v>7</v>
      </c>
      <c r="B10" s="3"/>
      <c r="C10" s="3"/>
      <c r="D10" s="3"/>
      <c r="E10" s="3"/>
      <c r="F10" s="3"/>
    </row>
    <row r="11" customFormat="false" ht="27.75" hidden="false" customHeight="true" outlineLevel="0" collapsed="false">
      <c r="A11" s="3" t="s">
        <v>8</v>
      </c>
      <c r="B11" s="3"/>
      <c r="C11" s="3"/>
      <c r="D11" s="3"/>
      <c r="E11" s="3"/>
      <c r="F11" s="3"/>
    </row>
    <row r="12" customFormat="false" ht="13.5" hidden="false" customHeight="true" outlineLevel="0" collapsed="false">
      <c r="A12" s="3" t="s">
        <v>9</v>
      </c>
      <c r="B12" s="3"/>
      <c r="C12" s="3"/>
      <c r="D12" s="3"/>
      <c r="E12" s="3"/>
      <c r="F12" s="3"/>
    </row>
    <row r="14" customFormat="false" ht="15" hidden="false" customHeight="false" outlineLevel="0" collapsed="false">
      <c r="A14" s="2" t="s">
        <v>10</v>
      </c>
      <c r="B14" s="2"/>
      <c r="C14" s="2"/>
      <c r="D14" s="2"/>
      <c r="E14" s="2"/>
      <c r="F14" s="2"/>
    </row>
    <row r="15" customFormat="false" ht="27.75" hidden="false" customHeight="true" outlineLevel="0" collapsed="false">
      <c r="A15" s="3" t="s">
        <v>11</v>
      </c>
      <c r="B15" s="3"/>
      <c r="C15" s="3"/>
      <c r="D15" s="3"/>
      <c r="E15" s="3"/>
      <c r="F15" s="3"/>
    </row>
    <row r="16" customFormat="false" ht="55.5" hidden="false" customHeight="true" outlineLevel="0" collapsed="false">
      <c r="A16" s="3" t="s">
        <v>12</v>
      </c>
      <c r="B16" s="3"/>
      <c r="C16" s="3"/>
      <c r="D16" s="3"/>
      <c r="E16" s="3"/>
      <c r="F16" s="3"/>
    </row>
    <row r="17" customFormat="false" ht="42" hidden="false" customHeight="true" outlineLevel="0" collapsed="false">
      <c r="A17" s="3" t="s">
        <v>13</v>
      </c>
      <c r="B17" s="3"/>
      <c r="C17" s="3"/>
      <c r="D17" s="3"/>
      <c r="E17" s="3"/>
      <c r="F17" s="3"/>
    </row>
    <row r="18" customFormat="false" ht="27.75" hidden="false" customHeight="true" outlineLevel="0" collapsed="false">
      <c r="A18" s="3" t="s">
        <v>14</v>
      </c>
      <c r="B18" s="3"/>
      <c r="C18" s="3"/>
      <c r="D18" s="3"/>
      <c r="E18" s="3"/>
      <c r="F18" s="3"/>
    </row>
    <row r="20" customFormat="false" ht="15" hidden="false" customHeight="false" outlineLevel="0" collapsed="false">
      <c r="A20" s="2" t="s">
        <v>15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4" t="s">
        <v>16</v>
      </c>
      <c r="B21" s="5" t="s">
        <v>17</v>
      </c>
      <c r="C21" s="6" t="s">
        <v>18</v>
      </c>
      <c r="D21" s="5" t="s">
        <v>19</v>
      </c>
    </row>
    <row r="23" customFormat="false" ht="15" hidden="false" customHeight="false" outlineLevel="0" collapsed="false">
      <c r="A23" s="2" t="s">
        <v>20</v>
      </c>
      <c r="B23" s="2"/>
      <c r="C23" s="2"/>
      <c r="D23" s="2"/>
      <c r="E23" s="2"/>
      <c r="F23" s="2"/>
    </row>
    <row r="24" customFormat="false" ht="42" hidden="false" customHeight="true" outlineLevel="0" collapsed="false">
      <c r="A24" s="3" t="s">
        <v>21</v>
      </c>
      <c r="B24" s="3"/>
      <c r="C24" s="3"/>
      <c r="D24" s="3"/>
      <c r="E24" s="3"/>
      <c r="F24" s="3"/>
    </row>
    <row r="25" customFormat="false" ht="27.75" hidden="false" customHeight="true" outlineLevel="0" collapsed="false">
      <c r="A25" s="3" t="s">
        <v>22</v>
      </c>
      <c r="B25" s="3"/>
      <c r="C25" s="3"/>
      <c r="D25" s="3"/>
      <c r="E25" s="3"/>
      <c r="F25" s="3"/>
    </row>
    <row r="26" customFormat="false" ht="13.5" hidden="false" customHeight="true" outlineLevel="0" collapsed="false">
      <c r="A26" s="7" t="s">
        <v>23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8" t="s">
        <v>24</v>
      </c>
      <c r="B27" s="8" t="s">
        <v>25</v>
      </c>
      <c r="C27" s="8" t="s">
        <v>26</v>
      </c>
      <c r="D27" s="8" t="s">
        <v>27</v>
      </c>
      <c r="E27" s="8" t="s">
        <v>28</v>
      </c>
      <c r="F27" s="8" t="s">
        <v>29</v>
      </c>
    </row>
    <row r="28" customFormat="false" ht="15" hidden="false" customHeight="false" outlineLevel="0" collapsed="false">
      <c r="A28" s="9" t="s">
        <v>30</v>
      </c>
      <c r="B28" s="10" t="s">
        <v>31</v>
      </c>
      <c r="C28" s="11" t="n">
        <v>142</v>
      </c>
      <c r="D28" s="11" t="n">
        <v>-8.31</v>
      </c>
      <c r="E28" s="11" t="n">
        <v>145</v>
      </c>
      <c r="F28" s="12" t="n">
        <v>17.1</v>
      </c>
    </row>
    <row r="29" customFormat="false" ht="15" hidden="false" customHeight="false" outlineLevel="0" collapsed="false">
      <c r="A29" s="9" t="s">
        <v>32</v>
      </c>
      <c r="B29" s="10" t="s">
        <v>31</v>
      </c>
      <c r="C29" s="11" t="n">
        <v>142</v>
      </c>
      <c r="D29" s="11" t="n">
        <v>-8.31</v>
      </c>
      <c r="E29" s="11" t="n">
        <v>145</v>
      </c>
      <c r="F29" s="12" t="n">
        <v>17.1</v>
      </c>
    </row>
    <row r="30" customFormat="false" ht="15" hidden="false" customHeight="false" outlineLevel="0" collapsed="false">
      <c r="A30" s="9" t="s">
        <v>33</v>
      </c>
      <c r="B30" s="10" t="s">
        <v>34</v>
      </c>
      <c r="C30" s="11" t="n">
        <v>146.6</v>
      </c>
      <c r="D30" s="11" t="n">
        <v>-9.35</v>
      </c>
      <c r="E30" s="11" t="n">
        <v>147.2</v>
      </c>
      <c r="F30" s="12" t="n">
        <v>15.7</v>
      </c>
    </row>
    <row r="32" customFormat="false" ht="15" hidden="false" customHeight="false" outlineLevel="0" collapsed="false">
      <c r="A32" s="2" t="s">
        <v>35</v>
      </c>
      <c r="B32" s="2"/>
      <c r="C32" s="2"/>
      <c r="D32" s="2"/>
      <c r="E32" s="2"/>
      <c r="F32" s="2"/>
    </row>
    <row r="33" customFormat="false" ht="27.75" hidden="false" customHeight="true" outlineLevel="0" collapsed="false">
      <c r="A33" s="13" t="s">
        <v>36</v>
      </c>
      <c r="B33" s="13"/>
      <c r="C33" s="13"/>
      <c r="D33" s="13"/>
      <c r="E33" s="13"/>
      <c r="F33" s="13"/>
    </row>
    <row r="34" customFormat="false" ht="42" hidden="false" customHeight="true" outlineLevel="0" collapsed="false">
      <c r="A34" s="14" t="s">
        <v>37</v>
      </c>
      <c r="B34" s="14"/>
      <c r="C34" s="14"/>
      <c r="D34" s="14"/>
      <c r="E34" s="14"/>
      <c r="F34" s="14"/>
    </row>
    <row r="35" customFormat="false" ht="42" hidden="false" customHeight="true" outlineLevel="0" collapsed="false">
      <c r="A35" s="3" t="s">
        <v>38</v>
      </c>
      <c r="B35" s="3"/>
      <c r="C35" s="3"/>
      <c r="D35" s="3"/>
      <c r="E35" s="3"/>
      <c r="F35" s="3"/>
    </row>
    <row r="37" customFormat="false" ht="42" hidden="false" customHeight="true" outlineLevel="0" collapsed="false">
      <c r="A37" s="15" t="s">
        <v>39</v>
      </c>
      <c r="B37" s="15"/>
      <c r="C37" s="15"/>
      <c r="D37" s="15"/>
      <c r="E37" s="15"/>
      <c r="F37" s="15"/>
    </row>
  </sheetData>
  <mergeCells count="25">
    <mergeCell ref="A1:F1"/>
    <mergeCell ref="A3:F3"/>
    <mergeCell ref="A4:F4"/>
    <mergeCell ref="A5:F5"/>
    <mergeCell ref="A7:F7"/>
    <mergeCell ref="A8:F8"/>
    <mergeCell ref="A9:F9"/>
    <mergeCell ref="A10:F10"/>
    <mergeCell ref="A11:F11"/>
    <mergeCell ref="A12:F12"/>
    <mergeCell ref="A14:F14"/>
    <mergeCell ref="A15:F15"/>
    <mergeCell ref="A16:F16"/>
    <mergeCell ref="A17:F17"/>
    <mergeCell ref="A18:F18"/>
    <mergeCell ref="A20:F20"/>
    <mergeCell ref="A23:F23"/>
    <mergeCell ref="A24:F24"/>
    <mergeCell ref="A25:F25"/>
    <mergeCell ref="A26:F26"/>
    <mergeCell ref="A32:F32"/>
    <mergeCell ref="A33:F33"/>
    <mergeCell ref="A34:F34"/>
    <mergeCell ref="A35:F35"/>
    <mergeCell ref="A37:F37"/>
  </mergeCells>
  <conditionalFormatting sqref="C28:E2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C29:E2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C30:E30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21.75" hidden="false" customHeight="true" outlineLevel="0" collapsed="false">
      <c r="A1" s="16" t="s">
        <v>40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8" t="s">
        <v>42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47</v>
      </c>
      <c r="G3" s="8" t="s">
        <v>48</v>
      </c>
      <c r="H3" s="8" t="s">
        <v>49</v>
      </c>
    </row>
    <row r="4" customFormat="false" ht="15" hidden="false" customHeight="false" outlineLevel="0" collapsed="false">
      <c r="A4" s="9" t="s">
        <v>50</v>
      </c>
      <c r="B4" s="10" t="s">
        <v>51</v>
      </c>
      <c r="C4" s="10" t="s">
        <v>51</v>
      </c>
      <c r="D4" s="10" t="s">
        <v>51</v>
      </c>
      <c r="E4" s="10" t="s">
        <v>51</v>
      </c>
      <c r="F4" s="10" t="s">
        <v>51</v>
      </c>
      <c r="G4" s="10" t="s">
        <v>52</v>
      </c>
      <c r="H4" s="10" t="s">
        <v>52</v>
      </c>
    </row>
    <row r="5" customFormat="false" ht="15" hidden="false" customHeight="false" outlineLevel="0" collapsed="false">
      <c r="A5" s="9" t="s">
        <v>53</v>
      </c>
      <c r="B5" s="17" t="n">
        <f aca="false">D_CURV!$T$1</f>
        <v>320000</v>
      </c>
      <c r="C5" s="17" t="n">
        <f aca="false">D_DAMP!$T$1</f>
        <v>320000</v>
      </c>
      <c r="D5" s="17" t="n">
        <f aca="false">D_ZEN!$T$1</f>
        <v>320000</v>
      </c>
      <c r="E5" s="17" t="n">
        <f aca="false">D_DRIP!$T$1</f>
        <v>320000</v>
      </c>
      <c r="F5" s="17" t="n">
        <f aca="false">D_DROT!$T$1</f>
        <v>320000</v>
      </c>
      <c r="G5" s="17" t="n">
        <f aca="false">D_SKEW!$T$1</f>
        <v>500000</v>
      </c>
      <c r="H5" s="17" t="n">
        <f aca="false">D_SKEWTSL!$T$1</f>
        <v>500000</v>
      </c>
    </row>
    <row r="6" customFormat="false" ht="15" hidden="false" customHeight="false" outlineLevel="0" collapsed="false">
      <c r="A6" s="9" t="s">
        <v>54</v>
      </c>
      <c r="B6" s="11" t="n">
        <f aca="false">SUMIFS(D_CURV!$C$2:$C$116,D_CURV!$A$2:$A$116,"&gt;="&amp;D_CURV!$T$3)/D_CURV!$T$1*100</f>
        <v>22.6240625</v>
      </c>
      <c r="C6" s="11" t="n">
        <f aca="false">SUMIFS(D_DAMP!$C$2:$C$155,D_DAMP!$A$2:$A$155,"&gt;="&amp;D_DAMP!$T$3)/D_DAMP!$T$1*100</f>
        <v>12.357109375</v>
      </c>
      <c r="D6" s="11" t="n">
        <f aca="false">SUMIFS(D_ZEN!$C$2:$C$137,D_ZEN!$A$2:$A$137,"&gt;="&amp;D_ZEN!$T$3)/D_ZEN!$T$1*100</f>
        <v>8.012265625</v>
      </c>
      <c r="E6" s="11" t="n">
        <f aca="false">SUMIFS(D_DRIP!$C$2:$C$128,D_DRIP!$A$2:$A$128,"&gt;="&amp;D_DRIP!$T$3)/D_DRIP!$T$1*100</f>
        <v>26.2071875</v>
      </c>
      <c r="F6" s="11" t="n">
        <f aca="false">SUMIFS(D_DROT!$C$2:$C$122,D_DROT!$A$2:$A$122,"&gt;="&amp;D_DROT!$T$3)/D_DROT!$T$1*100</f>
        <v>14.883984375</v>
      </c>
      <c r="G6" s="11" t="n">
        <f aca="false">SUMIFS(D_SKEW!$C$2:$C$236,D_SKEW!$A$2:$A$236,"&gt;="&amp;D_SKEW!$T$3)/D_SKEW!$T$1*100</f>
        <v>37.0461</v>
      </c>
      <c r="H6" s="11" t="n">
        <f aca="false">SUMIFS(D_SKEWTSL!$C$2:$C$237,D_SKEWTSL!$A$2:$A$237,"&gt;="&amp;D_SKEWTSL!$T$3)/D_SKEWTSL!$T$1*100</f>
        <v>31.29815</v>
      </c>
    </row>
    <row r="7" customFormat="false" ht="15" hidden="false" customHeight="false" outlineLevel="0" collapsed="false">
      <c r="A7" s="9" t="s">
        <v>55</v>
      </c>
      <c r="B7" s="11" t="n">
        <f aca="false">SUMIFS(D_CURV!$C$2:$C$116,D_CURV!$A$2:$A$116,"&gt;="&amp;D_CURV!$T$4)/D_CURV!$T$1*100</f>
        <v>55.0103125</v>
      </c>
      <c r="C7" s="11" t="n">
        <f aca="false">SUMIFS(D_DAMP!$C$2:$C$155,D_DAMP!$A$2:$A$155,"&gt;="&amp;D_DAMP!$T$4)/D_DAMP!$T$1*100</f>
        <v>22.454453125</v>
      </c>
      <c r="D7" s="11" t="n">
        <f aca="false">SUMIFS(D_ZEN!$C$2:$C$137,D_ZEN!$A$2:$A$137,"&gt;="&amp;D_ZEN!$T$4)/D_ZEN!$T$1*100</f>
        <v>55.730390625</v>
      </c>
      <c r="E7" s="11" t="n">
        <f aca="false">SUMIFS(D_DRIP!$C$2:$C$128,D_DRIP!$A$2:$A$128,"&gt;="&amp;D_DRIP!$T$4)/D_DRIP!$T$1*100</f>
        <v>81.167734375</v>
      </c>
      <c r="F7" s="11" t="n">
        <f aca="false">SUMIFS(D_DROT!$C$2:$C$122,D_DROT!$A$2:$A$122,"&gt;="&amp;D_DROT!$T$4)/D_DROT!$T$1*100</f>
        <v>59.483125</v>
      </c>
      <c r="G7" s="11" t="n">
        <f aca="false">SUMIFS(D_SKEW!$C$2:$C$236,D_SKEW!$A$2:$A$236,"&gt;="&amp;D_SKEW!$T$4)/D_SKEW!$T$1*100</f>
        <v>31.9514</v>
      </c>
      <c r="H7" s="11" t="n">
        <f aca="false">SUMIFS(D_SKEWTSL!$C$2:$C$237,D_SKEWTSL!$A$2:$A$237,"&gt;="&amp;D_SKEWTSL!$T$4)/D_SKEWTSL!$T$1*100</f>
        <v>55.1915</v>
      </c>
    </row>
    <row r="8" customFormat="false" ht="15" hidden="false" customHeight="false" outlineLevel="0" collapsed="false">
      <c r="A8" s="9" t="s">
        <v>56</v>
      </c>
      <c r="B8" s="11" t="n">
        <f aca="false">SUMIFS(D_CURV!$C$2:$C$116,D_CURV!$A$2:$A$116,"&gt;="&amp;D_CURV!$T$5)/D_CURV!$T$1*100</f>
        <v>94.7678125</v>
      </c>
      <c r="C8" s="11" t="n">
        <f aca="false">SUMIFS(D_DAMP!$C$2:$C$155,D_DAMP!$A$2:$A$155,"&gt;="&amp;D_DAMP!$T$5)/D_DAMP!$T$1*100</f>
        <v>81.463671875</v>
      </c>
      <c r="D8" s="11" t="n">
        <f aca="false">SUMIFS(D_ZEN!$C$2:$C$137,D_ZEN!$A$2:$A$137,"&gt;="&amp;D_ZEN!$T$5)/D_ZEN!$T$1*100</f>
        <v>70.56890625</v>
      </c>
      <c r="E8" s="11" t="n">
        <f aca="false">SUMIFS(D_DRIP!$C$2:$C$128,D_DRIP!$A$2:$A$128,"&gt;="&amp;D_DRIP!$T$5)/D_DRIP!$T$1*100</f>
        <v>97.75285</v>
      </c>
      <c r="F8" s="11" t="n">
        <f aca="false">SUMIFS(D_DROT!$C$2:$C$122,D_DROT!$A$2:$A$122,"&gt;="&amp;D_DROT!$T$5)/D_DROT!$T$1*100</f>
        <v>103.221309375</v>
      </c>
      <c r="G8" s="11" t="n">
        <f aca="false">SUMIFS(D_SKEW!$C$2:$C$236,D_SKEW!$A$2:$A$236,"&gt;="&amp;D_SKEW!$T$5)/D_SKEW!$T$1*100</f>
        <v>121.9663</v>
      </c>
      <c r="H8" s="11" t="n">
        <f aca="false">SUMIFS(D_SKEWTSL!$C$2:$C$237,D_SKEWTSL!$A$2:$A$237,"&gt;="&amp;D_SKEWTSL!$T$5)/D_SKEWTSL!$T$1*100</f>
        <v>109.18985</v>
      </c>
    </row>
    <row r="9" customFormat="false" ht="15" hidden="false" customHeight="false" outlineLevel="0" collapsed="false">
      <c r="A9" s="9" t="s">
        <v>57</v>
      </c>
      <c r="B9" s="11" t="n">
        <f aca="false">SUMIFS(D_CURV!$C$2:$C$116,D_CURV!$A$2:$A$116,"&gt;="&amp;D_CURV!$T$6)/D_CURV!$T$1*100</f>
        <v>183.283046875</v>
      </c>
      <c r="C9" s="11" t="n">
        <f aca="false">SUMIFS(D_DAMP!$C$2:$C$155,D_DAMP!$A$2:$A$155,"&gt;="&amp;D_DAMP!$T$6)/D_DAMP!$T$1*100</f>
        <v>114.6171875</v>
      </c>
      <c r="D9" s="11" t="n">
        <f aca="false">SUMIFS(D_ZEN!$C$2:$C$137,D_ZEN!$A$2:$A$137,"&gt;="&amp;D_ZEN!$T$6)/D_ZEN!$T$1*100</f>
        <v>163.614609375</v>
      </c>
      <c r="E9" s="11" t="n">
        <f aca="false">SUMIFS(D_DRIP!$C$2:$C$128,D_DRIP!$A$2:$A$128,"&gt;="&amp;D_DRIP!$T$6)/D_DRIP!$T$1*100</f>
        <v>143.497878125</v>
      </c>
      <c r="F9" s="11" t="n">
        <f aca="false">SUMIFS(D_DROT!$C$2:$C$122,D_DROT!$A$2:$A$122,"&gt;="&amp;D_DROT!$T$6)/D_DROT!$T$1*100</f>
        <v>105.040040625</v>
      </c>
      <c r="G9" s="11" t="n">
        <f aca="false">SUMIFS(D_SKEW!$C$2:$C$236,D_SKEW!$A$2:$A$236,"&gt;="&amp;D_SKEW!$T$6)/D_SKEW!$T$1*100</f>
        <v>341.9968</v>
      </c>
      <c r="H9" s="11" t="n">
        <f aca="false">SUMIFS(D_SKEWTSL!$C$2:$C$237,D_SKEWTSL!$A$2:$A$237,"&gt;="&amp;D_SKEWTSL!$T$6)/D_SKEWTSL!$T$1*100</f>
        <v>219.7886</v>
      </c>
    </row>
    <row r="10" customFormat="false" ht="15" hidden="false" customHeight="false" outlineLevel="0" collapsed="false">
      <c r="A10" s="9" t="s">
        <v>58</v>
      </c>
      <c r="B10" s="11" t="n">
        <f aca="false">SUM(D_CURV!$C$2:$C$116)/D_CURV!$T$1*100</f>
        <v>183.283046875</v>
      </c>
      <c r="C10" s="11" t="n">
        <f aca="false">SUM(D_DAMP!$C$2:$C$155)/D_DAMP!$T$1*100</f>
        <v>114.6171875</v>
      </c>
      <c r="D10" s="11" t="n">
        <f aca="false">SUM(D_ZEN!$C$2:$C$137)/D_ZEN!$T$1*100</f>
        <v>163.614609375</v>
      </c>
      <c r="E10" s="11" t="n">
        <f aca="false">SUM(D_DRIP!$C$2:$C$128)/D_DRIP!$T$1*100</f>
        <v>143.497878125</v>
      </c>
      <c r="F10" s="11" t="n">
        <f aca="false">SUM(D_DROT!$C$2:$C$122)/D_DROT!$T$1*100</f>
        <v>105.040040625</v>
      </c>
      <c r="G10" s="11" t="n">
        <f aca="false">SUM(D_SKEW!$C$2:$C$236)/D_SKEW!$T$1*100</f>
        <v>341.9968</v>
      </c>
      <c r="H10" s="11" t="n">
        <f aca="false">SUM(D_SKEWTSL!$C$2:$C$237)/D_SKEWTSL!$T$1*100</f>
        <v>219.7886</v>
      </c>
    </row>
    <row r="11" customFormat="false" ht="15" hidden="false" customHeight="false" outlineLevel="0" collapsed="false">
      <c r="A11" s="9" t="s">
        <v>59</v>
      </c>
      <c r="B11" s="17" t="n">
        <f aca="false">SUM(D_CURV!$C$2:$C$116)</f>
        <v>586505.75</v>
      </c>
      <c r="C11" s="17" t="n">
        <f aca="false">SUM(D_DAMP!$C$2:$C$155)</f>
        <v>366775</v>
      </c>
      <c r="D11" s="17" t="n">
        <f aca="false">SUM(D_ZEN!$C$2:$C$137)</f>
        <v>523566.75</v>
      </c>
      <c r="E11" s="17" t="n">
        <f aca="false">SUM(D_DRIP!$C$2:$C$128)</f>
        <v>459193.21</v>
      </c>
      <c r="F11" s="17" t="n">
        <f aca="false">SUM(D_DROT!$C$2:$C$122)</f>
        <v>336128.13</v>
      </c>
      <c r="G11" s="17" t="n">
        <f aca="false">SUM(D_SKEW!$C$2:$C$236)</f>
        <v>1709984</v>
      </c>
      <c r="H11" s="17" t="n">
        <f aca="false">SUM(D_SKEWTSL!$C$2:$C$237)</f>
        <v>1098943</v>
      </c>
    </row>
    <row r="12" customFormat="false" ht="15" hidden="false" customHeight="false" outlineLevel="0" collapsed="false">
      <c r="A12" s="9" t="s">
        <v>28</v>
      </c>
      <c r="B12" s="11" t="n">
        <f aca="false">((1+SUM(D_CURV!$C$2:$C$116)/D_CURV!$T$1)^(365/(D_CURV!$T$2-D_CURV!$T$9))-1)*100</f>
        <v>239.422947810458</v>
      </c>
      <c r="C12" s="11" t="n">
        <f aca="false">((1+SUM(D_DAMP!$C$2:$C$155)/D_DAMP!$T$1)^(365/(D_DAMP!$T$2-D_DAMP!$T$9))-1)*100</f>
        <v>195.829187242879</v>
      </c>
      <c r="D12" s="11" t="n">
        <f aca="false">((1+SUM(D_ZEN!$C$2:$C$137)/D_ZEN!$T$1)^(365/(D_ZEN!$T$2-D_ZEN!$T$9))-1)*100</f>
        <v>195.045826013788</v>
      </c>
      <c r="E12" s="11" t="n">
        <f aca="false">((1+SUM(D_DRIP!$C$2:$C$128)/D_DRIP!$T$1)^(365/(D_DRIP!$T$2-D_DRIP!$T$9))-1)*100</f>
        <v>155.002197165278</v>
      </c>
      <c r="F12" s="11" t="n">
        <f aca="false">((1+SUM(D_DROT!$C$2:$C$122)/D_DROT!$T$1)^(365/(D_DROT!$T$2-D_DROT!$T$9))-1)*100</f>
        <v>108.365907004274</v>
      </c>
      <c r="G12" s="11" t="n">
        <f aca="false">((1+SUM(D_SKEW!$C$2:$C$236)/D_SKEW!$T$1)^(365/(D_SKEW!$T$2-D_SKEW!$T$9))-1)*100</f>
        <v>343.805065210257</v>
      </c>
      <c r="H12" s="11" t="n">
        <f aca="false">((1+SUM(D_SKEWTSL!$C$2:$C$237)/D_SKEWTSL!$T$1)^(365/(D_SKEWTSL!$T$2-D_SKEWTSL!$T$9))-1)*100</f>
        <v>220.81152663021</v>
      </c>
    </row>
    <row r="13" customFormat="false" ht="15" hidden="false" customHeight="false" outlineLevel="0" collapsed="false">
      <c r="A13" s="9" t="s">
        <v>60</v>
      </c>
      <c r="B13" s="11" t="n">
        <v>650</v>
      </c>
      <c r="C13" s="11" t="n">
        <v>454</v>
      </c>
      <c r="D13" s="11" t="n">
        <v>630.3</v>
      </c>
      <c r="E13" s="11" t="n">
        <v>312.8</v>
      </c>
      <c r="F13" s="11" t="n">
        <v>122.3</v>
      </c>
      <c r="G13" s="11" t="n">
        <v>3508</v>
      </c>
      <c r="H13" s="11" t="n">
        <v>452.3</v>
      </c>
    </row>
    <row r="14" customFormat="false" ht="15" hidden="false" customHeight="false" outlineLevel="0" collapsed="false">
      <c r="A14" s="9" t="s">
        <v>61</v>
      </c>
      <c r="B14" s="11" t="n">
        <f aca="false">AVERAGE(D_CURV!$G$2:$G$116)</f>
        <v>-4.01101426630435</v>
      </c>
      <c r="C14" s="11" t="n">
        <f aca="false">AVERAGE(D_DAMP!$G$2:$G$155)</f>
        <v>-4.15022219967533</v>
      </c>
      <c r="D14" s="11" t="n">
        <f aca="false">AVERAGE(D_ZEN!$G$2:$G$137)</f>
        <v>-6.385986328125</v>
      </c>
      <c r="E14" s="11" t="n">
        <f aca="false">AVERAGE(D_DRIP!$G$2:$G$128)</f>
        <v>-7.8163688484252</v>
      </c>
      <c r="F14" s="11" t="n">
        <f aca="false">AVERAGE(D_DROT!$G$2:$G$122)</f>
        <v>-15.0647685433884</v>
      </c>
      <c r="G14" s="11" t="n">
        <f aca="false">AVERAGE(D_SKEW!$G$2:$G$236)</f>
        <v>-14.162449787234</v>
      </c>
      <c r="H14" s="11" t="n">
        <f aca="false">AVERAGE(D_SKEWTSL!$G$2:$G$237)</f>
        <v>-18.9129633474576</v>
      </c>
    </row>
    <row r="15" customFormat="false" ht="15" hidden="false" customHeight="false" outlineLevel="0" collapsed="false">
      <c r="A15" s="9" t="s">
        <v>27</v>
      </c>
      <c r="B15" s="11" t="n">
        <f aca="false">MIN(D_CURV!$G$2:$G$116)</f>
        <v>-22.170078125</v>
      </c>
      <c r="C15" s="11" t="n">
        <f aca="false">MIN(D_DAMP!$G$2:$G$155)</f>
        <v>-20.276953125</v>
      </c>
      <c r="D15" s="11" t="n">
        <f aca="false">MIN(D_ZEN!$G$2:$G$137)</f>
        <v>-25.385859375</v>
      </c>
      <c r="E15" s="11" t="n">
        <f aca="false">MIN(D_DRIP!$G$2:$G$128)</f>
        <v>-32.35678125</v>
      </c>
      <c r="F15" s="11" t="n">
        <f aca="false">MIN(D_DROT!$G$2:$G$122)</f>
        <v>-44.34314375</v>
      </c>
      <c r="G15" s="11" t="n">
        <f aca="false">MIN(D_SKEW!$G$2:$G$236)</f>
        <v>-41.04225</v>
      </c>
      <c r="H15" s="11" t="n">
        <f aca="false">MIN(D_SKEWTSL!$G$2:$G$237)</f>
        <v>-68.33025</v>
      </c>
    </row>
    <row r="16" customFormat="false" ht="15" hidden="false" customHeight="false" outlineLevel="0" collapsed="false">
      <c r="A16" s="9" t="s">
        <v>62</v>
      </c>
      <c r="B16" s="11" t="n">
        <f aca="false">COUNTIF(D_CURV!$C$2:$C$116,"&gt;0")/(COUNTIF(D_CURV!$C$2:$C$116,"&gt;0")+COUNTIF(D_CURV!$C$2:$C$116,"&lt;0"))*100</f>
        <v>60</v>
      </c>
      <c r="C16" s="11" t="n">
        <f aca="false">COUNTIF(D_DAMP!$C$2:$C$155,"&gt;0")/(COUNTIF(D_DAMP!$C$2:$C$155,"&gt;0")+COUNTIF(D_DAMP!$C$2:$C$155,"&lt;0"))*100</f>
        <v>64.2857142857143</v>
      </c>
      <c r="D16" s="11" t="n">
        <f aca="false">COUNTIF(D_ZEN!$C$2:$C$137,"&gt;0")/(COUNTIF(D_ZEN!$C$2:$C$137,"&gt;0")+COUNTIF(D_ZEN!$C$2:$C$137,"&lt;0"))*100</f>
        <v>61.7647058823529</v>
      </c>
      <c r="E16" s="11" t="n">
        <f aca="false">COUNTIF(D_DRIP!$C$2:$C$128,"&gt;0")/(COUNTIF(D_DRIP!$C$2:$C$128,"&gt;0")+COUNTIF(D_DRIP!$C$2:$C$128,"&lt;0"))*100</f>
        <v>55.1181102362205</v>
      </c>
      <c r="F16" s="11" t="n">
        <f aca="false">COUNTIF(D_DROT!$C$2:$C$122,"&gt;0")/(COUNTIF(D_DROT!$C$2:$C$122,"&gt;0")+COUNTIF(D_DROT!$C$2:$C$122,"&lt;0"))*100</f>
        <v>52.0661157024793</v>
      </c>
      <c r="G16" s="11" t="n">
        <f aca="false">COUNTIF(D_SKEW!$C$2:$C$236,"&gt;0")/(COUNTIF(D_SKEW!$C$2:$C$236,"&gt;0")+COUNTIF(D_SKEW!$C$2:$C$236,"&lt;0"))*100</f>
        <v>44.6808510638298</v>
      </c>
      <c r="H16" s="11" t="n">
        <f aca="false">COUNTIF(D_SKEWTSL!$C$2:$C$237,"&gt;0")/(COUNTIF(D_SKEWTSL!$C$2:$C$237,"&gt;0")+COUNTIF(D_SKEWTSL!$C$2:$C$237,"&lt;0"))*100</f>
        <v>43.6440677966102</v>
      </c>
    </row>
    <row r="17" customFormat="false" ht="15" hidden="false" customHeight="false" outlineLevel="0" collapsed="false">
      <c r="A17" s="9" t="s">
        <v>63</v>
      </c>
      <c r="B17" s="12" t="n">
        <f aca="false">AVERAGEIF(D_CURV!$C$2:$C$116,"&gt;0")/-AVERAGEIF(D_CURV!$C$2:$C$116,"&lt;0")</f>
        <v>1.24011303577967</v>
      </c>
      <c r="C17" s="12" t="n">
        <f aca="false">AVERAGEIF(D_DAMP!$C$2:$C$155,"&gt;0")/-AVERAGEIF(D_DAMP!$C$2:$C$155,"&lt;0")</f>
        <v>0.917279015098349</v>
      </c>
      <c r="D17" s="12" t="n">
        <f aca="false">AVERAGEIF(D_ZEN!$C$2:$C$137,"&gt;0")/-AVERAGEIF(D_ZEN!$C$2:$C$137,"&lt;0")</f>
        <v>0.992808956278711</v>
      </c>
      <c r="E17" s="12" t="n">
        <f aca="false">AVERAGEIF(D_DRIP!$C$2:$C$128,"&gt;0")/-AVERAGEIF(D_DRIP!$C$2:$C$128,"&lt;0")</f>
        <v>1.21980027656997</v>
      </c>
      <c r="F17" s="12" t="n">
        <f aca="false">AVERAGEIF(D_DROT!$C$2:$C$122,"&gt;0")/-AVERAGEIF(D_DROT!$C$2:$C$122,"&lt;0")</f>
        <v>1.27854268501002</v>
      </c>
      <c r="G17" s="12" t="n">
        <f aca="false">AVERAGEIF(D_SKEW!$C$2:$C$236,"&gt;0")/-AVERAGEIF(D_SKEW!$C$2:$C$236,"&lt;0")</f>
        <v>1.89415006696662</v>
      </c>
      <c r="H17" s="12" t="n">
        <f aca="false">AVERAGEIF(D_SKEWTSL!$C$2:$C$237,"&gt;0")/-AVERAGEIF(D_SKEWTSL!$C$2:$C$237,"&lt;0")</f>
        <v>1.81474732956461</v>
      </c>
    </row>
    <row r="18" customFormat="false" ht="15" hidden="false" customHeight="false" outlineLevel="0" collapsed="false">
      <c r="A18" s="9" t="s">
        <v>64</v>
      </c>
      <c r="B18" s="17" t="n">
        <f aca="false">AVERAGEIF(D_CURV!$C$2:$C$116,"&gt;0")</f>
        <v>18381.9528985507</v>
      </c>
      <c r="C18" s="17" t="n">
        <f aca="false">AVERAGEIF(D_DAMP!$C$2:$C$155,"&gt;0")</f>
        <v>9394.83838383838</v>
      </c>
      <c r="D18" s="17" t="n">
        <f aca="false">AVERAGEIF(D_ZEN!$C$2:$C$137,"&gt;0")</f>
        <v>16556.3303571429</v>
      </c>
      <c r="E18" s="17" t="n">
        <f aca="false">AVERAGEIF(D_DRIP!$C$2:$C$128,"&gt;0")</f>
        <v>19732.39</v>
      </c>
      <c r="F18" s="17" t="n">
        <f aca="false">AVERAGEIF(D_DROT!$C$2:$C$122,"&gt;0")</f>
        <v>19059.3647619048</v>
      </c>
      <c r="G18" s="17" t="n">
        <f aca="false">AVERAGEIF(D_SKEW!$C$2:$C$236,"&gt;0")</f>
        <v>47019.3904761905</v>
      </c>
      <c r="H18" s="17" t="n">
        <f aca="false">AVERAGEIF(D_SKEWTSL!$C$2:$C$237,"&gt;0")</f>
        <v>36987.0509708738</v>
      </c>
    </row>
    <row r="19" customFormat="false" ht="15" hidden="false" customHeight="false" outlineLevel="0" collapsed="false">
      <c r="A19" s="9" t="s">
        <v>65</v>
      </c>
      <c r="B19" s="17" t="n">
        <f aca="false">AVERAGEIF(D_CURV!$C$2:$C$116,"&lt;0")</f>
        <v>-14822.8043478261</v>
      </c>
      <c r="C19" s="17" t="n">
        <f aca="false">AVERAGEIF(D_DAMP!$C$2:$C$155,"&lt;0")</f>
        <v>-10242.0727272727</v>
      </c>
      <c r="D19" s="17" t="n">
        <f aca="false">AVERAGEIF(D_ZEN!$C$2:$C$137,"&lt;0")</f>
        <v>-16676.25</v>
      </c>
      <c r="E19" s="17" t="n">
        <f aca="false">AVERAGEIF(D_DRIP!$C$2:$C$128,"&lt;0")</f>
        <v>-16176.7384210526</v>
      </c>
      <c r="F19" s="17" t="n">
        <f aca="false">AVERAGEIF(D_DROT!$C$2:$C$122,"&lt;0")</f>
        <v>-14907.100862069</v>
      </c>
      <c r="G19" s="17" t="n">
        <f aca="false">AVERAGEIF(D_SKEW!$C$2:$C$236,"&lt;0")</f>
        <v>-24823.4769230769</v>
      </c>
      <c r="H19" s="17" t="n">
        <f aca="false">AVERAGEIF(D_SKEWTSL!$C$2:$C$237,"&lt;0")</f>
        <v>-20381.3778195489</v>
      </c>
    </row>
    <row r="20" customFormat="false" ht="15" hidden="false" customHeight="false" outlineLevel="0" collapsed="false">
      <c r="A20" s="9" t="s">
        <v>66</v>
      </c>
      <c r="B20" s="18" t="n">
        <f aca="false">AVERAGEIF(D_CURV!$J$2:$J$116,"&gt;0")</f>
        <v>11.7142857142857</v>
      </c>
      <c r="C20" s="18" t="n">
        <f aca="false">AVERAGEIF(D_DAMP!$J$2:$J$155,"&gt;0")</f>
        <v>11.0588235294118</v>
      </c>
      <c r="D20" s="18" t="n">
        <f aca="false">AVERAGEIF(D_ZEN!$J$2:$J$137,"&gt;0")</f>
        <v>14</v>
      </c>
      <c r="E20" s="18" t="n">
        <f aca="false">AVERAGEIF(D_DRIP!$J$2:$J$128,"&gt;0")</f>
        <v>14.4210526315789</v>
      </c>
      <c r="F20" s="18" t="n">
        <f aca="false">AVERAGEIF(D_DROT!$J$2:$J$122,"&gt;0")</f>
        <v>27.9090909090909</v>
      </c>
      <c r="G20" s="18" t="n">
        <f aca="false">AVERAGEIF(D_SKEW!$J$2:$J$236,"&gt;0")</f>
        <v>13.8</v>
      </c>
      <c r="H20" s="18" t="n">
        <f aca="false">AVERAGEIF(D_SKEWTSL!$J$2:$J$237,"&gt;0")</f>
        <v>18.6666666666667</v>
      </c>
    </row>
    <row r="21" customFormat="false" ht="15" hidden="false" customHeight="false" outlineLevel="0" collapsed="false">
      <c r="A21" s="9" t="s">
        <v>67</v>
      </c>
      <c r="B21" s="18" t="n">
        <f aca="false">MAX(MAX(D_CURV!$J$2:$J$116),D_CURV!$T$7)</f>
        <v>35</v>
      </c>
      <c r="C21" s="18" t="n">
        <f aca="false">MAX(MAX(D_DAMP!$J$2:$J$155),D_DAMP!$T$7)</f>
        <v>51</v>
      </c>
      <c r="D21" s="18" t="n">
        <f aca="false">MAX(MAX(D_ZEN!$J$2:$J$137),D_ZEN!$T$7)</f>
        <v>61</v>
      </c>
      <c r="E21" s="18" t="n">
        <f aca="false">MAX(MAX(D_DRIP!$J$2:$J$128),D_DRIP!$T$7)</f>
        <v>80</v>
      </c>
      <c r="F21" s="18" t="n">
        <f aca="false">MAX(MAX(D_DROT!$J$2:$J$122),D_DROT!$T$7)</f>
        <v>182</v>
      </c>
      <c r="G21" s="18" t="n">
        <f aca="false">MAX(MAX(D_SKEW!$J$2:$J$236),D_SKEW!$T$7)</f>
        <v>64</v>
      </c>
      <c r="H21" s="18" t="n">
        <f aca="false">MAX(MAX(D_SKEWTSL!$J$2:$J$237),D_SKEWTSL!$T$7)</f>
        <v>76</v>
      </c>
    </row>
    <row r="23" customFormat="false" ht="15" hidden="false" customHeight="false" outlineLevel="0" collapsed="false">
      <c r="A23" s="2" t="s">
        <v>68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8" t="s">
        <v>42</v>
      </c>
      <c r="B24" s="8" t="s">
        <v>43</v>
      </c>
      <c r="C24" s="8" t="s">
        <v>44</v>
      </c>
      <c r="D24" s="8" t="s">
        <v>45</v>
      </c>
      <c r="E24" s="8" t="s">
        <v>46</v>
      </c>
      <c r="F24" s="8" t="s">
        <v>47</v>
      </c>
      <c r="G24" s="8" t="s">
        <v>48</v>
      </c>
      <c r="H24" s="8" t="s">
        <v>49</v>
      </c>
    </row>
    <row r="25" customFormat="false" ht="15" hidden="false" customHeight="false" outlineLevel="0" collapsed="false">
      <c r="A25" s="9" t="s">
        <v>50</v>
      </c>
      <c r="B25" s="10" t="s">
        <v>51</v>
      </c>
      <c r="C25" s="10" t="s">
        <v>51</v>
      </c>
      <c r="D25" s="10" t="s">
        <v>51</v>
      </c>
      <c r="E25" s="10" t="s">
        <v>51</v>
      </c>
      <c r="F25" s="10" t="s">
        <v>51</v>
      </c>
      <c r="G25" s="10" t="s">
        <v>52</v>
      </c>
      <c r="H25" s="10" t="s">
        <v>52</v>
      </c>
    </row>
    <row r="26" customFormat="false" ht="15" hidden="false" customHeight="false" outlineLevel="0" collapsed="false">
      <c r="A26" s="9" t="s">
        <v>53</v>
      </c>
      <c r="B26" s="17" t="n">
        <f aca="false">D_CURV!$T$1</f>
        <v>320000</v>
      </c>
      <c r="C26" s="17" t="n">
        <f aca="false">D_DAMP!$T$1</f>
        <v>320000</v>
      </c>
      <c r="D26" s="17" t="n">
        <f aca="false">D_ZEN!$T$1</f>
        <v>320000</v>
      </c>
      <c r="E26" s="17" t="n">
        <f aca="false">D_DRIP!$T$1</f>
        <v>320000</v>
      </c>
      <c r="F26" s="17" t="n">
        <f aca="false">D_DROT!$T$1</f>
        <v>320000</v>
      </c>
      <c r="G26" s="17" t="n">
        <f aca="false">D_SKEW!$T$1</f>
        <v>500000</v>
      </c>
      <c r="H26" s="17" t="n">
        <f aca="false">D_SKEWTSL!$T$1</f>
        <v>500000</v>
      </c>
    </row>
    <row r="27" customFormat="false" ht="15" hidden="false" customHeight="false" outlineLevel="0" collapsed="false">
      <c r="A27" s="9" t="s">
        <v>54</v>
      </c>
      <c r="B27" s="11" t="n">
        <f aca="false">SUMIFS(D_CURV!$K$2:$K$116,D_CURV!$A$2:$A$116,"&gt;="&amp;D_CURV!$T$3)/D_CURV!$T$1*100</f>
        <v>35.781484375</v>
      </c>
      <c r="C27" s="11" t="n">
        <f aca="false">SUMIFS(D_DAMP!$K$2:$K$155,D_DAMP!$A$2:$A$155,"&gt;="&amp;D_DAMP!$T$3)/D_DAMP!$T$1*100</f>
        <v>12.875078125</v>
      </c>
      <c r="D27" s="11" t="n">
        <f aca="false">SUMIFS(D_ZEN!$K$2:$K$137,D_ZEN!$A$2:$A$137,"&gt;="&amp;D_ZEN!$T$3)/D_ZEN!$T$1*100</f>
        <v>12.28296875</v>
      </c>
      <c r="E27" s="11" t="n">
        <f aca="false">SUMIFS(D_DRIP!$K$2:$K$128,D_DRIP!$A$2:$A$128,"&gt;="&amp;D_DRIP!$T$3)/D_DRIP!$T$1*100</f>
        <v>30.38140625</v>
      </c>
      <c r="F27" s="11" t="n">
        <f aca="false">SUMIFS(D_DROT!$K$2:$K$122,D_DROT!$A$2:$A$122,"&gt;="&amp;D_DROT!$T$3)/D_DROT!$T$1*100</f>
        <v>14.883984375</v>
      </c>
      <c r="G27" s="11" t="n">
        <f aca="false">SUMIFS(D_SKEW!$K$2:$K$236,D_SKEW!$A$2:$A$236,"&gt;="&amp;D_SKEW!$T$3)/D_SKEW!$T$1*100</f>
        <v>23.946</v>
      </c>
      <c r="H27" s="11" t="n">
        <f aca="false">SUMIFS(D_SKEWTSL!$K$2:$K$237,D_SKEWTSL!$A$2:$A$237,"&gt;="&amp;D_SKEWTSL!$T$3)/D_SKEWTSL!$T$1*100</f>
        <v>18.1428</v>
      </c>
    </row>
    <row r="28" customFormat="false" ht="15" hidden="false" customHeight="false" outlineLevel="0" collapsed="false">
      <c r="A28" s="9" t="s">
        <v>55</v>
      </c>
      <c r="B28" s="11" t="n">
        <f aca="false">SUMIFS(D_CURV!$K$2:$K$116,D_CURV!$A$2:$A$116,"&gt;="&amp;D_CURV!$T$4)/D_CURV!$T$1*100</f>
        <v>68.167734375</v>
      </c>
      <c r="C28" s="11" t="n">
        <f aca="false">SUMIFS(D_DAMP!$K$2:$K$155,D_DAMP!$A$2:$A$155,"&gt;="&amp;D_DAMP!$T$4)/D_DAMP!$T$1*100</f>
        <v>23.49546875</v>
      </c>
      <c r="D28" s="11" t="n">
        <f aca="false">SUMIFS(D_ZEN!$K$2:$K$137,D_ZEN!$A$2:$A$137,"&gt;="&amp;D_ZEN!$T$4)/D_ZEN!$T$1*100</f>
        <v>60.00109375</v>
      </c>
      <c r="E28" s="11" t="n">
        <f aca="false">SUMIFS(D_DRIP!$K$2:$K$128,D_DRIP!$A$2:$A$128,"&gt;="&amp;D_DRIP!$T$4)/D_DRIP!$T$1*100</f>
        <v>94.994453125</v>
      </c>
      <c r="F28" s="11" t="n">
        <f aca="false">SUMIFS(D_DROT!$K$2:$K$122,D_DROT!$A$2:$A$122,"&gt;="&amp;D_DROT!$T$4)/D_DROT!$T$1*100</f>
        <v>59.483125</v>
      </c>
      <c r="G28" s="11" t="n">
        <f aca="false">SUMIFS(D_SKEW!$K$2:$K$236,D_SKEW!$A$2:$A$236,"&gt;="&amp;D_SKEW!$T$4)/D_SKEW!$T$1*100</f>
        <v>7.86955</v>
      </c>
      <c r="H28" s="11" t="n">
        <f aca="false">SUMIFS(D_SKEWTSL!$K$2:$K$237,D_SKEWTSL!$A$2:$A$237,"&gt;="&amp;D_SKEWTSL!$T$4)/D_SKEWTSL!$T$1*100</f>
        <v>30.97835</v>
      </c>
    </row>
    <row r="29" customFormat="false" ht="15" hidden="false" customHeight="false" outlineLevel="0" collapsed="false">
      <c r="A29" s="9" t="s">
        <v>56</v>
      </c>
      <c r="B29" s="11" t="n">
        <f aca="false">SUMIFS(D_CURV!$K$2:$K$116,D_CURV!$A$2:$A$116,"&gt;="&amp;D_CURV!$T$5)/D_CURV!$T$1*100</f>
        <v>113.58734375</v>
      </c>
      <c r="C29" s="11" t="n">
        <f aca="false">SUMIFS(D_DAMP!$K$2:$K$155,D_DAMP!$A$2:$A$155,"&gt;="&amp;D_DAMP!$T$5)/D_DAMP!$T$1*100</f>
        <v>91.607421875</v>
      </c>
      <c r="D29" s="11" t="n">
        <f aca="false">SUMIFS(D_ZEN!$K$2:$K$137,D_ZEN!$A$2:$A$137,"&gt;="&amp;D_ZEN!$T$5)/D_ZEN!$T$1*100</f>
        <v>107.117734375</v>
      </c>
      <c r="E29" s="11" t="n">
        <f aca="false">SUMIFS(D_DRIP!$K$2:$K$128,D_DRIP!$A$2:$A$128,"&gt;="&amp;D_DRIP!$T$5)/D_DRIP!$T$1*100</f>
        <v>129.741290625</v>
      </c>
      <c r="F29" s="11" t="n">
        <f aca="false">SUMIFS(D_DROT!$K$2:$K$122,D_DROT!$A$2:$A$122,"&gt;="&amp;D_DROT!$T$5)/D_DROT!$T$1*100</f>
        <v>110.020590625</v>
      </c>
      <c r="G29" s="11" t="n">
        <f aca="false">SUMIFS(D_SKEW!$K$2:$K$236,D_SKEW!$A$2:$A$236,"&gt;="&amp;D_SKEW!$T$5)/D_SKEW!$T$1*100</f>
        <v>128.1837</v>
      </c>
      <c r="H29" s="11" t="n">
        <f aca="false">SUMIFS(D_SKEWTSL!$K$2:$K$237,D_SKEWTSL!$A$2:$A$237,"&gt;="&amp;D_SKEWTSL!$T$5)/D_SKEWTSL!$T$1*100</f>
        <v>113.1809</v>
      </c>
    </row>
    <row r="30" customFormat="false" ht="15" hidden="false" customHeight="false" outlineLevel="0" collapsed="false">
      <c r="A30" s="9" t="s">
        <v>57</v>
      </c>
      <c r="B30" s="11" t="n">
        <f aca="false">SUMIFS(D_CURV!$K$2:$K$116,D_CURV!$A$2:$A$116,"&gt;="&amp;D_CURV!$T$6)/D_CURV!$T$1*100</f>
        <v>209.944765625</v>
      </c>
      <c r="C30" s="11" t="n">
        <f aca="false">SUMIFS(D_DAMP!$K$2:$K$155,D_DAMP!$A$2:$A$155,"&gt;="&amp;D_DAMP!$T$6)/D_DAMP!$T$1*100</f>
        <v>129.140234375</v>
      </c>
      <c r="D30" s="11" t="n">
        <f aca="false">SUMIFS(D_ZEN!$K$2:$K$137,D_ZEN!$A$2:$A$137,"&gt;="&amp;D_ZEN!$T$6)/D_ZEN!$T$1*100</f>
        <v>184.85171875</v>
      </c>
      <c r="E30" s="11" t="n">
        <f aca="false">SUMIFS(D_DRIP!$K$2:$K$128,D_DRIP!$A$2:$A$128,"&gt;="&amp;D_DRIP!$T$6)/D_DRIP!$T$1*100</f>
        <v>171.75174375</v>
      </c>
      <c r="F30" s="11" t="n">
        <f aca="false">SUMIFS(D_DROT!$K$2:$K$122,D_DROT!$A$2:$A$122,"&gt;="&amp;D_DROT!$T$6)/D_DROT!$T$1*100</f>
        <v>126.2115625</v>
      </c>
      <c r="G30" s="11" t="n">
        <f aca="false">SUMIFS(D_SKEW!$K$2:$K$236,D_SKEW!$A$2:$A$236,"&gt;="&amp;D_SKEW!$T$6)/D_SKEW!$T$1*100</f>
        <v>361.08195</v>
      </c>
      <c r="H30" s="11" t="n">
        <f aca="false">SUMIFS(D_SKEWTSL!$K$2:$K$237,D_SKEWTSL!$A$2:$A$237,"&gt;="&amp;D_SKEWTSL!$T$6)/D_SKEWTSL!$T$1*100</f>
        <v>237.43715</v>
      </c>
    </row>
    <row r="31" customFormat="false" ht="15" hidden="false" customHeight="false" outlineLevel="0" collapsed="false">
      <c r="A31" s="9" t="s">
        <v>58</v>
      </c>
      <c r="B31" s="11" t="n">
        <f aca="false">SUM(D_CURV!$K$2:$K$116)/D_CURV!$T$1*100</f>
        <v>209.944765625</v>
      </c>
      <c r="C31" s="11" t="n">
        <f aca="false">SUM(D_DAMP!$K$2:$K$155)/D_DAMP!$T$1*100</f>
        <v>129.140234375</v>
      </c>
      <c r="D31" s="11" t="n">
        <f aca="false">SUM(D_ZEN!$K$2:$K$137)/D_ZEN!$T$1*100</f>
        <v>184.85171875</v>
      </c>
      <c r="E31" s="11" t="n">
        <f aca="false">SUM(D_DRIP!$K$2:$K$128)/D_DRIP!$T$1*100</f>
        <v>171.75174375</v>
      </c>
      <c r="F31" s="11" t="n">
        <f aca="false">SUM(D_DROT!$K$2:$K$122)/D_DROT!$T$1*100</f>
        <v>126.2115625</v>
      </c>
      <c r="G31" s="11" t="n">
        <f aca="false">SUM(D_SKEW!$K$2:$K$236)/D_SKEW!$T$1*100</f>
        <v>361.08195</v>
      </c>
      <c r="H31" s="11" t="n">
        <f aca="false">SUM(D_SKEWTSL!$K$2:$K$237)/D_SKEWTSL!$T$1*100</f>
        <v>237.43715</v>
      </c>
    </row>
    <row r="32" customFormat="false" ht="15" hidden="false" customHeight="false" outlineLevel="0" collapsed="false">
      <c r="A32" s="9" t="s">
        <v>59</v>
      </c>
      <c r="B32" s="17" t="n">
        <f aca="false">SUM(D_CURV!$K$2:$K$116)</f>
        <v>671823.25</v>
      </c>
      <c r="C32" s="17" t="n">
        <f aca="false">SUM(D_DAMP!$K$2:$K$155)</f>
        <v>413248.75</v>
      </c>
      <c r="D32" s="17" t="n">
        <f aca="false">SUM(D_ZEN!$K$2:$K$137)</f>
        <v>591525.5</v>
      </c>
      <c r="E32" s="17" t="n">
        <f aca="false">SUM(D_DRIP!$K$2:$K$128)</f>
        <v>549605.58</v>
      </c>
      <c r="F32" s="17" t="n">
        <f aca="false">SUM(D_DROT!$K$2:$K$122)</f>
        <v>403877</v>
      </c>
      <c r="G32" s="17" t="n">
        <f aca="false">SUM(D_SKEW!$K$2:$K$236)</f>
        <v>1805409.75</v>
      </c>
      <c r="H32" s="17" t="n">
        <f aca="false">SUM(D_SKEWTSL!$K$2:$K$237)</f>
        <v>1187185.75</v>
      </c>
    </row>
    <row r="33" customFormat="false" ht="15" hidden="false" customHeight="false" outlineLevel="0" collapsed="false">
      <c r="A33" s="9" t="s">
        <v>28</v>
      </c>
      <c r="B33" s="11" t="n">
        <f aca="false">((1+SUM(D_CURV!$K$2:$K$116)/D_CURV!$T$1)^(365/(D_CURV!$T$2-D_CURV!$T$9))-1)*100</f>
        <v>277.213902603571</v>
      </c>
      <c r="C33" s="11" t="n">
        <f aca="false">((1+SUM(D_DAMP!$K$2:$K$155)/D_DAMP!$T$1)^(365/(D_DAMP!$T$2-D_DAMP!$T$9))-1)*100</f>
        <v>224.659407382396</v>
      </c>
      <c r="D33" s="11" t="n">
        <f aca="false">((1+SUM(D_ZEN!$K$2:$K$137)/D_ZEN!$T$1)^(365/(D_ZEN!$T$2-D_ZEN!$T$9))-1)*100</f>
        <v>221.69859835135</v>
      </c>
      <c r="E33" s="11" t="n">
        <f aca="false">((1+SUM(D_DRIP!$K$2:$K$128)/D_DRIP!$T$1)^(365/(D_DRIP!$T$2-D_DRIP!$T$9))-1)*100</f>
        <v>186.216223838823</v>
      </c>
      <c r="F33" s="11" t="n">
        <f aca="false">((1+SUM(D_DROT!$K$2:$K$122)/D_DROT!$T$1)^(365/(D_DROT!$T$2-D_DROT!$T$9))-1)*100</f>
        <v>130.387604315195</v>
      </c>
      <c r="G33" s="11" t="n">
        <f aca="false">((1+SUM(D_SKEW!$K$2:$K$236)/D_SKEW!$T$1)^(365/(D_SKEW!$T$2-D_SKEW!$T$9))-1)*100</f>
        <v>363.022064948735</v>
      </c>
      <c r="H33" s="11" t="n">
        <f aca="false">((1+SUM(D_SKEWTSL!$K$2:$K$237)/D_SKEWTSL!$T$1)^(365/(D_SKEWTSL!$T$2-D_SKEWTSL!$T$9))-1)*100</f>
        <v>238.566492041084</v>
      </c>
    </row>
    <row r="34" customFormat="false" ht="15" hidden="false" customHeight="false" outlineLevel="0" collapsed="false">
      <c r="A34" s="9" t="s">
        <v>60</v>
      </c>
      <c r="B34" s="11" t="n">
        <v>838</v>
      </c>
      <c r="C34" s="11" t="n">
        <v>531.8</v>
      </c>
      <c r="D34" s="11" t="n">
        <v>611.7</v>
      </c>
      <c r="E34" s="11" t="n">
        <v>350.8</v>
      </c>
      <c r="F34" s="11" t="n">
        <v>171</v>
      </c>
      <c r="G34" s="11" t="n">
        <v>4699.5</v>
      </c>
      <c r="H34" s="11" t="n">
        <v>584.4</v>
      </c>
    </row>
    <row r="35" customFormat="false" ht="15" hidden="false" customHeight="false" outlineLevel="0" collapsed="false">
      <c r="A35" s="9" t="s">
        <v>61</v>
      </c>
      <c r="B35" s="11" t="n">
        <f aca="false">AVERAGE(D_CURV!$N$2:$N$116)</f>
        <v>-3.31570991847826</v>
      </c>
      <c r="C35" s="11" t="n">
        <f aca="false">AVERAGE(D_DAMP!$N$2:$N$155)</f>
        <v>-3.51728896103896</v>
      </c>
      <c r="D35" s="11" t="n">
        <f aca="false">AVERAGE(D_ZEN!$N$2:$N$137)</f>
        <v>-4.91628676470589</v>
      </c>
      <c r="E35" s="11" t="n">
        <f aca="false">AVERAGE(D_DRIP!$N$2:$N$128)</f>
        <v>-6.43800292814961</v>
      </c>
      <c r="F35" s="11" t="n">
        <f aca="false">AVERAGE(D_DROT!$N$2:$N$122)</f>
        <v>-10.392808910124</v>
      </c>
      <c r="G35" s="11" t="n">
        <f aca="false">AVERAGE(D_SKEW!$N$2:$N$236)</f>
        <v>-13.6373863829787</v>
      </c>
      <c r="H35" s="11" t="n">
        <f aca="false">AVERAGE(D_SKEWTSL!$N$2:$N$237)</f>
        <v>-16.0844120762712</v>
      </c>
    </row>
    <row r="36" customFormat="false" ht="15" hidden="false" customHeight="false" outlineLevel="0" collapsed="false">
      <c r="A36" s="9" t="s">
        <v>27</v>
      </c>
      <c r="B36" s="11" t="n">
        <f aca="false">MIN(D_CURV!$N$2:$N$116)</f>
        <v>-22.170078125</v>
      </c>
      <c r="C36" s="11" t="n">
        <f aca="false">MIN(D_DAMP!$N$2:$N$155)</f>
        <v>-16.864453125</v>
      </c>
      <c r="D36" s="11" t="n">
        <f aca="false">MIN(D_ZEN!$N$2:$N$137)</f>
        <v>-22.384375</v>
      </c>
      <c r="E36" s="11" t="n">
        <f aca="false">MIN(D_DRIP!$N$2:$N$128)</f>
        <v>-27.872625</v>
      </c>
      <c r="F36" s="11" t="n">
        <f aca="false">MIN(D_DROT!$N$2:$N$122)</f>
        <v>-34.2798</v>
      </c>
      <c r="G36" s="11" t="n">
        <f aca="false">MIN(D_SKEW!$N$2:$N$236)</f>
        <v>-51.34935</v>
      </c>
      <c r="H36" s="11" t="n">
        <f aca="false">MIN(D_SKEWTSL!$N$2:$N$237)</f>
        <v>-57.4305</v>
      </c>
    </row>
    <row r="37" customFormat="false" ht="15" hidden="false" customHeight="false" outlineLevel="0" collapsed="false">
      <c r="A37" s="9" t="s">
        <v>62</v>
      </c>
      <c r="B37" s="11" t="n">
        <f aca="false">COUNTIF(D_CURV!$K$2:$K$116,"&gt;0")/(COUNTIF(D_CURV!$K$2:$K$116,"&gt;0")+COUNTIF(D_CURV!$K$2:$K$116,"&lt;0"))*100</f>
        <v>63.8095238095238</v>
      </c>
      <c r="C37" s="11" t="n">
        <f aca="false">COUNTIF(D_DAMP!$K$2:$K$155,"&gt;0")/(COUNTIF(D_DAMP!$K$2:$K$155,"&gt;0")+COUNTIF(D_DAMP!$K$2:$K$155,"&lt;0"))*100</f>
        <v>68</v>
      </c>
      <c r="D37" s="11" t="n">
        <f aca="false">COUNTIF(D_ZEN!$K$2:$K$137,"&gt;0")/(COUNTIF(D_ZEN!$K$2:$K$137,"&gt;0")+COUNTIF(D_ZEN!$K$2:$K$137,"&lt;0"))*100</f>
        <v>63.6363636363636</v>
      </c>
      <c r="E37" s="11" t="n">
        <f aca="false">COUNTIF(D_DRIP!$K$2:$K$128,"&gt;0")/(COUNTIF(D_DRIP!$K$2:$K$128,"&gt;0")+COUNTIF(D_DRIP!$K$2:$K$128,"&lt;0"))*100</f>
        <v>58.3333333333333</v>
      </c>
      <c r="F37" s="11" t="n">
        <f aca="false">COUNTIF(D_DROT!$K$2:$K$122,"&gt;0")/(COUNTIF(D_DROT!$K$2:$K$122,"&gt;0")+COUNTIF(D_DROT!$K$2:$K$122,"&lt;0"))*100</f>
        <v>53.9823008849558</v>
      </c>
      <c r="G37" s="11" t="n">
        <f aca="false">COUNTIF(D_SKEW!$K$2:$K$236,"&gt;0")/(COUNTIF(D_SKEW!$K$2:$K$236,"&gt;0")+COUNTIF(D_SKEW!$K$2:$K$236,"&lt;0"))*100</f>
        <v>43.3155080213904</v>
      </c>
      <c r="H37" s="11" t="n">
        <f aca="false">COUNTIF(D_SKEWTSL!$K$2:$K$237,"&gt;0")/(COUNTIF(D_SKEWTSL!$K$2:$K$237,"&gt;0")+COUNTIF(D_SKEWTSL!$K$2:$K$237,"&lt;0"))*100</f>
        <v>42.5531914893617</v>
      </c>
    </row>
    <row r="38" customFormat="false" ht="15" hidden="false" customHeight="false" outlineLevel="0" collapsed="false">
      <c r="A38" s="9" t="s">
        <v>63</v>
      </c>
      <c r="B38" s="12" t="n">
        <f aca="false">AVERAGEIF(D_CURV!$K$2:$K$116,"&gt;0")/-AVERAGEIF(D_CURV!$K$2:$K$116,"&lt;0")</f>
        <v>1.23654751802643</v>
      </c>
      <c r="C38" s="12" t="n">
        <f aca="false">AVERAGEIF(D_DAMP!$K$2:$K$155,"&gt;0")/-AVERAGEIF(D_DAMP!$K$2:$K$155,"&lt;0")</f>
        <v>0.94839533974793</v>
      </c>
      <c r="D38" s="12" t="n">
        <f aca="false">AVERAGEIF(D_ZEN!$K$2:$K$137,"&gt;0")/-AVERAGEIF(D_ZEN!$K$2:$K$137,"&lt;0")</f>
        <v>1.03580526557115</v>
      </c>
      <c r="E38" s="12" t="n">
        <f aca="false">AVERAGEIF(D_DRIP!$K$2:$K$128,"&gt;0")/-AVERAGEIF(D_DRIP!$K$2:$K$128,"&lt;0")</f>
        <v>1.25836294943872</v>
      </c>
      <c r="F38" s="12" t="n">
        <f aca="false">AVERAGEIF(D_DROT!$K$2:$K$122,"&gt;0")/-AVERAGEIF(D_DROT!$K$2:$K$122,"&lt;0")</f>
        <v>1.29296611939189</v>
      </c>
      <c r="G38" s="12" t="n">
        <f aca="false">AVERAGEIF(D_SKEW!$K$2:$K$236,"&gt;0")/-AVERAGEIF(D_SKEW!$K$2:$K$236,"&lt;0")</f>
        <v>2.17605344665421</v>
      </c>
      <c r="H38" s="12" t="n">
        <f aca="false">AVERAGEIF(D_SKEWTSL!$K$2:$K$237,"&gt;0")/-AVERAGEIF(D_SKEWTSL!$K$2:$K$237,"&lt;0")</f>
        <v>2.07294411033925</v>
      </c>
    </row>
    <row r="39" customFormat="false" ht="15" hidden="false" customHeight="false" outlineLevel="0" collapsed="false">
      <c r="A39" s="9" t="s">
        <v>64</v>
      </c>
      <c r="B39" s="17" t="n">
        <f aca="false">AVERAGEIF(D_CURV!$K$2:$K$116,"&gt;0")</f>
        <v>18523.2052238806</v>
      </c>
      <c r="C39" s="17" t="n">
        <f aca="false">AVERAGEIF(D_DAMP!$K$2:$K$155,"&gt;0")</f>
        <v>9650.04705882353</v>
      </c>
      <c r="D39" s="17" t="n">
        <f aca="false">AVERAGEIF(D_ZEN!$K$2:$K$137,"&gt;0")</f>
        <v>17135.25</v>
      </c>
      <c r="E39" s="17" t="n">
        <f aca="false">AVERAGEIF(D_DRIP!$K$2:$K$128,"&gt;0")</f>
        <v>20176.9701587302</v>
      </c>
      <c r="F39" s="17" t="n">
        <f aca="false">AVERAGEIF(D_DROT!$K$2:$K$122,"&gt;0")</f>
        <v>19433.6114754098</v>
      </c>
      <c r="G39" s="17" t="n">
        <f aca="false">AVERAGEIF(D_SKEW!$K$2:$K$236,"&gt;0")</f>
        <v>55915.8796296296</v>
      </c>
      <c r="H39" s="17" t="n">
        <f aca="false">AVERAGEIF(D_SKEWTSL!$K$2:$K$237,"&gt;0")</f>
        <v>42551.175</v>
      </c>
    </row>
    <row r="40" customFormat="false" ht="15" hidden="false" customHeight="false" outlineLevel="0" collapsed="false">
      <c r="A40" s="9" t="s">
        <v>65</v>
      </c>
      <c r="B40" s="17" t="n">
        <f aca="false">AVERAGEIF(D_CURV!$K$2:$K$116,"&lt;0")</f>
        <v>-14979.7763157895</v>
      </c>
      <c r="C40" s="17" t="n">
        <f aca="false">AVERAGEIF(D_DAMP!$K$2:$K$155,"&lt;0")</f>
        <v>-10175.13125</v>
      </c>
      <c r="D40" s="17" t="n">
        <f aca="false">AVERAGEIF(D_ZEN!$K$2:$K$137,"&lt;0")</f>
        <v>-16542.9261363636</v>
      </c>
      <c r="E40" s="17" t="n">
        <f aca="false">AVERAGEIF(D_DRIP!$K$2:$K$128,"&lt;0")</f>
        <v>-16034.3008888889</v>
      </c>
      <c r="F40" s="17" t="n">
        <f aca="false">AVERAGEIF(D_DROT!$K$2:$K$122,"&lt;0")</f>
        <v>-15030.2557692308</v>
      </c>
      <c r="G40" s="17" t="n">
        <f aca="false">AVERAGEIF(D_SKEW!$K$2:$K$236,"&lt;0")</f>
        <v>-25696.0047169811</v>
      </c>
      <c r="H40" s="17" t="n">
        <f aca="false">AVERAGEIF(D_SKEWTSL!$K$2:$K$237,"&lt;0")</f>
        <v>-20526.9282407407</v>
      </c>
    </row>
    <row r="41" customFormat="false" ht="15" hidden="false" customHeight="false" outlineLevel="0" collapsed="false">
      <c r="A41" s="9" t="s">
        <v>66</v>
      </c>
      <c r="B41" s="18" t="n">
        <f aca="false">AVERAGEIF(D_CURV!$Q$2:$Q$116,"&gt;0")</f>
        <v>10.8571428571429</v>
      </c>
      <c r="C41" s="18" t="n">
        <f aca="false">AVERAGEIF(D_DAMP!$Q$2:$Q$155,"&gt;0")</f>
        <v>11.0588235294118</v>
      </c>
      <c r="D41" s="18" t="n">
        <f aca="false">AVERAGEIF(D_ZEN!$Q$2:$Q$137,"&gt;0")</f>
        <v>12.7777777777778</v>
      </c>
      <c r="E41" s="18" t="n">
        <f aca="false">AVERAGEIF(D_DRIP!$Q$2:$Q$128,"&gt;0")</f>
        <v>16.6666666666667</v>
      </c>
      <c r="F41" s="18" t="n">
        <f aca="false">AVERAGEIF(D_DROT!$Q$2:$Q$122,"&gt;0")</f>
        <v>27.0909090909091</v>
      </c>
      <c r="G41" s="18" t="n">
        <f aca="false">AVERAGEIF(D_SKEW!$Q$2:$Q$236,"&gt;0")</f>
        <v>12.3333333333333</v>
      </c>
      <c r="H41" s="18" t="n">
        <f aca="false">AVERAGEIF(D_SKEWTSL!$Q$2:$Q$237,"&gt;0")</f>
        <v>17.4736842105263</v>
      </c>
    </row>
    <row r="42" customFormat="false" ht="15" hidden="false" customHeight="false" outlineLevel="0" collapsed="false">
      <c r="A42" s="9" t="s">
        <v>67</v>
      </c>
      <c r="B42" s="18" t="n">
        <f aca="false">MAX(MAX(D_CURV!$Q$2:$Q$116),D_CURV!$T$8)</f>
        <v>35</v>
      </c>
      <c r="C42" s="18" t="n">
        <f aca="false">MAX(MAX(D_DAMP!$Q$2:$Q$155),D_DAMP!$T$8)</f>
        <v>51</v>
      </c>
      <c r="D42" s="18" t="n">
        <f aca="false">MAX(MAX(D_ZEN!$Q$2:$Q$137),D_ZEN!$T$8)</f>
        <v>27</v>
      </c>
      <c r="E42" s="18" t="n">
        <f aca="false">MAX(MAX(D_DRIP!$Q$2:$Q$128),D_DRIP!$T$8)</f>
        <v>63</v>
      </c>
      <c r="F42" s="18" t="n">
        <f aca="false">MAX(MAX(D_DROT!$Q$2:$Q$122),D_DROT!$T$8)</f>
        <v>162</v>
      </c>
      <c r="G42" s="18" t="n">
        <f aca="false">MAX(MAX(D_SKEW!$Q$2:$Q$236),D_SKEW!$T$8)</f>
        <v>66</v>
      </c>
      <c r="H42" s="18" t="n">
        <f aca="false">MAX(MAX(D_SKEWTSL!$Q$2:$Q$237),D_SKEWTSL!$T$8)</f>
        <v>76</v>
      </c>
    </row>
    <row r="44" customFormat="false" ht="13.5" hidden="false" customHeight="true" outlineLevel="0" collapsed="false">
      <c r="A44" s="15" t="s">
        <v>69</v>
      </c>
      <c r="B44" s="15"/>
      <c r="C44" s="15"/>
      <c r="D44" s="15"/>
      <c r="E44" s="15"/>
      <c r="F44" s="15"/>
      <c r="G44" s="15"/>
      <c r="H44" s="15"/>
    </row>
  </sheetData>
  <mergeCells count="4">
    <mergeCell ref="A1:H1"/>
    <mergeCell ref="A2:H2"/>
    <mergeCell ref="A23:H23"/>
    <mergeCell ref="A44:H44"/>
  </mergeCells>
  <conditionalFormatting sqref="B6:H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7:H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B8:H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B9:H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B10:H10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B11:H11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B12:H12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B13:H13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B14:H14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B15:H15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B18:H18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B19:H19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B27:H27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B28:H28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B29:H29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B30:H30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B31:H31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B32:H32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B33:H33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B34:H34"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B35:H35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B36:H36"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B39:H39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B40:H40"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5"/>
  </cols>
  <sheetData>
    <row r="1" customFormat="false" ht="21.75" hidden="false" customHeight="true" outlineLevel="0" collapsed="false">
      <c r="A1" s="16" t="s">
        <v>70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" t="s">
        <v>43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</row>
    <row r="5" customFormat="false" ht="15" hidden="false" customHeight="false" outlineLevel="0" collapsed="false">
      <c r="A5" s="19" t="s">
        <v>79</v>
      </c>
      <c r="B5" s="11" t="n">
        <f aca="false">IFERROR(COUNTIFS(D_CURV!$B$2:$B$116,"Monday",D_CURV!$C$2:$C$116,"&gt;0")/(COUNTIFS(D_CURV!$B$2:$B$116,"Monday",D_CURV!$C$2:$C$116,"&gt;0")+COUNTIFS(D_CURV!$B$2:$B$116,"Monday",D_CURV!$C$2:$C$116,"&lt;0"))*100,0)</f>
        <v>57.6923076923077</v>
      </c>
      <c r="C5" s="17" t="n">
        <f aca="false">IFERROR(AVERAGEIFS(D_CURV!$C$2:$C$116,D_CURV!$B$2:$B$116,"Monday",D_CURV!$C$2:$C$116,"&gt;0"),0)</f>
        <v>21239.8666666667</v>
      </c>
      <c r="D5" s="17" t="n">
        <f aca="false" t="array" ref="D5:D5">MAX(IF(D_CURV!$B$2:$B$116="Monday",D_CURV!$C$2:$C$116))</f>
        <v>41275</v>
      </c>
      <c r="E5" s="17" t="n">
        <f aca="false">IFERROR(AVERAGEIFS(D_CURV!$C$2:$C$116,D_CURV!$B$2:$B$116,"Monday",D_CURV!$C$2:$C$116,"&lt;0"),0)</f>
        <v>-20909.8863636364</v>
      </c>
      <c r="F5" s="17" t="n">
        <f aca="false" t="array" ref="F5:F5">MIN(IF(D_CURV!$B$2:$B$116="Monday",D_CURV!$C$2:$C$116))</f>
        <v>-47326.5</v>
      </c>
      <c r="G5" s="17" t="n">
        <f aca="false">SUMIFS(D_CURV!$C$2:$C$116,D_CURV!$B$2:$B$116,"Monday")</f>
        <v>88589.25</v>
      </c>
      <c r="H5" s="20" t="n">
        <f aca="false">COUNTIF(D_CURV!$B$2:$B$116,"Monday")</f>
        <v>26</v>
      </c>
    </row>
    <row r="6" customFormat="false" ht="15" hidden="false" customHeight="false" outlineLevel="0" collapsed="false">
      <c r="A6" s="19" t="s">
        <v>80</v>
      </c>
      <c r="B6" s="11" t="n">
        <f aca="false">IFERROR(COUNTIFS(D_CURV!$B$2:$B$116,"Tuesday",D_CURV!$C$2:$C$116,"&gt;0")/(COUNTIFS(D_CURV!$B$2:$B$116,"Tuesday",D_CURV!$C$2:$C$116,"&gt;0")+COUNTIFS(D_CURV!$B$2:$B$116,"Tuesday",D_CURV!$C$2:$C$116,"&lt;0"))*100,0)</f>
        <v>76.6666666666667</v>
      </c>
      <c r="C6" s="17" t="n">
        <f aca="false">IFERROR(AVERAGEIFS(D_CURV!$C$2:$C$116,D_CURV!$B$2:$B$116,"Tuesday",D_CURV!$C$2:$C$116,"&gt;0"),0)</f>
        <v>16486.8695652174</v>
      </c>
      <c r="D6" s="17" t="n">
        <f aca="false" t="array" ref="D6:D6">MAX(IF(D_CURV!$B$2:$B$116="Tuesday",D_CURV!$C$2:$C$116))</f>
        <v>35445</v>
      </c>
      <c r="E6" s="17" t="n">
        <f aca="false">IFERROR(AVERAGEIFS(D_CURV!$C$2:$C$116,D_CURV!$B$2:$B$116,"Tuesday",D_CURV!$C$2:$C$116,"&lt;0"),0)</f>
        <v>-9321.42857142857</v>
      </c>
      <c r="F6" s="17" t="n">
        <f aca="false" t="array" ref="F6:F6">MIN(IF(D_CURV!$B$2:$B$116="Tuesday",D_CURV!$C$2:$C$116))</f>
        <v>-14085</v>
      </c>
      <c r="G6" s="17" t="n">
        <f aca="false">SUMIFS(D_CURV!$C$2:$C$116,D_CURV!$B$2:$B$116,"Tuesday")</f>
        <v>313948</v>
      </c>
      <c r="H6" s="20" t="n">
        <f aca="false">COUNTIF(D_CURV!$B$2:$B$116,"Tuesday")</f>
        <v>30</v>
      </c>
    </row>
    <row r="7" customFormat="false" ht="15" hidden="false" customHeight="false" outlineLevel="0" collapsed="false">
      <c r="A7" s="19" t="s">
        <v>81</v>
      </c>
      <c r="B7" s="11" t="n">
        <f aca="false">IFERROR(COUNTIFS(D_CURV!$B$2:$B$116,"Wednesday",D_CURV!$C$2:$C$116,"&gt;0")/(COUNTIFS(D_CURV!$B$2:$B$116,"Wednesday",D_CURV!$C$2:$C$116,"&gt;0")+COUNTIFS(D_CURV!$B$2:$B$116,"Wednesday",D_CURV!$C$2:$C$116,"&lt;0"))*100,0)</f>
        <v>20</v>
      </c>
      <c r="C7" s="17" t="n">
        <f aca="false">IFERROR(AVERAGEIFS(D_CURV!$C$2:$C$116,D_CURV!$B$2:$B$116,"Wednesday",D_CURV!$C$2:$C$116,"&gt;0"),0)</f>
        <v>13650</v>
      </c>
      <c r="D7" s="17" t="n">
        <f aca="false" t="array" ref="D7:D7">MAX(IF(D_CURV!$B$2:$B$116="Wednesday",D_CURV!$C$2:$C$116))</f>
        <v>15750</v>
      </c>
      <c r="E7" s="17" t="n">
        <f aca="false">IFERROR(AVERAGEIFS(D_CURV!$C$2:$C$116,D_CURV!$B$2:$B$116,"Wednesday",D_CURV!$C$2:$C$116,"&lt;0"),0)</f>
        <v>-14077.1875</v>
      </c>
      <c r="F7" s="17" t="n">
        <f aca="false" t="array" ref="F7:F7">MIN(IF(D_CURV!$B$2:$B$116="Wednesday",D_CURV!$C$2:$C$116))</f>
        <v>-27738.75</v>
      </c>
      <c r="G7" s="17" t="n">
        <f aca="false">SUMIFS(D_CURV!$C$2:$C$116,D_CURV!$B$2:$B$116,"Wednesday")</f>
        <v>-85317.5</v>
      </c>
      <c r="H7" s="20" t="n">
        <f aca="false">COUNTIF(D_CURV!$B$2:$B$116,"Wednesday")</f>
        <v>10</v>
      </c>
    </row>
    <row r="8" customFormat="false" ht="15" hidden="false" customHeight="false" outlineLevel="0" collapsed="false">
      <c r="A8" s="19" t="s">
        <v>82</v>
      </c>
      <c r="B8" s="11" t="n">
        <f aca="false">IFERROR(COUNTIFS(D_CURV!$B$2:$B$116,"Thursday",D_CURV!$C$2:$C$116,"&gt;0")/(COUNTIFS(D_CURV!$B$2:$B$116,"Thursday",D_CURV!$C$2:$C$116,"&gt;0")+COUNTIFS(D_CURV!$B$2:$B$116,"Thursday",D_CURV!$C$2:$C$116,"&lt;0"))*100,0)</f>
        <v>44</v>
      </c>
      <c r="C8" s="17" t="n">
        <f aca="false">IFERROR(AVERAGEIFS(D_CURV!$C$2:$C$116,D_CURV!$B$2:$B$116,"Thursday",D_CURV!$C$2:$C$116,"&gt;0"),0)</f>
        <v>19912.3863636364</v>
      </c>
      <c r="D8" s="17" t="n">
        <f aca="false" t="array" ref="D8:D8">MAX(IF(D_CURV!$B$2:$B$116="Thursday",D_CURV!$C$2:$C$116))</f>
        <v>41145</v>
      </c>
      <c r="E8" s="17" t="n">
        <f aca="false">IFERROR(AVERAGEIFS(D_CURV!$C$2:$C$116,D_CURV!$B$2:$B$116,"Thursday",D_CURV!$C$2:$C$116,"&lt;0"),0)</f>
        <v>-13781.9464285714</v>
      </c>
      <c r="F8" s="17" t="n">
        <f aca="false" t="array" ref="F8:F8">MIN(IF(D_CURV!$B$2:$B$116="Thursday",D_CURV!$C$2:$C$116))</f>
        <v>-27780</v>
      </c>
      <c r="G8" s="17" t="n">
        <f aca="false">SUMIFS(D_CURV!$C$2:$C$116,D_CURV!$B$2:$B$116,"Thursday")</f>
        <v>26089</v>
      </c>
      <c r="H8" s="20" t="n">
        <f aca="false">COUNTIF(D_CURV!$B$2:$B$116,"Thursday")</f>
        <v>25</v>
      </c>
    </row>
    <row r="9" customFormat="false" ht="15" hidden="false" customHeight="false" outlineLevel="0" collapsed="false">
      <c r="A9" s="19" t="s">
        <v>83</v>
      </c>
      <c r="B9" s="11" t="n">
        <f aca="false">IFERROR(COUNTIFS(D_CURV!$B$2:$B$116,"Friday",D_CURV!$C$2:$C$116,"&gt;0")/(COUNTIFS(D_CURV!$B$2:$B$116,"Friday",D_CURV!$C$2:$C$116,"&gt;0")+COUNTIFS(D_CURV!$B$2:$B$116,"Friday",D_CURV!$C$2:$C$116,"&lt;0"))*100,0)</f>
        <v>75</v>
      </c>
      <c r="C9" s="17" t="n">
        <f aca="false">IFERROR(AVERAGEIFS(D_CURV!$C$2:$C$116,D_CURV!$B$2:$B$116,"Friday",D_CURV!$C$2:$C$116,"&gt;0"),0)</f>
        <v>18012.3611111111</v>
      </c>
      <c r="D9" s="17" t="n">
        <f aca="false" t="array" ref="D9:D9">MAX(IF(D_CURV!$B$2:$B$116="Friday",D_CURV!$C$2:$C$116))</f>
        <v>43350</v>
      </c>
      <c r="E9" s="17" t="n">
        <f aca="false">IFERROR(AVERAGEIFS(D_CURV!$C$2:$C$116,D_CURV!$B$2:$B$116,"Friday",D_CURV!$C$2:$C$116,"&lt;0"),0)</f>
        <v>-13504.25</v>
      </c>
      <c r="F9" s="17" t="n">
        <f aca="false" t="array" ref="F9:F9">MIN(IF(D_CURV!$B$2:$B$116="Friday",D_CURV!$C$2:$C$116))</f>
        <v>-18115.5</v>
      </c>
      <c r="G9" s="17" t="n">
        <f aca="false">SUMIFS(D_CURV!$C$2:$C$116,D_CURV!$B$2:$B$116,"Friday")</f>
        <v>243197</v>
      </c>
      <c r="H9" s="20" t="n">
        <f aca="false">COUNTIF(D_CURV!$B$2:$B$116,"Friday")</f>
        <v>24</v>
      </c>
    </row>
    <row r="10" customFormat="false" ht="15" hidden="false" customHeight="false" outlineLevel="0" collapsed="false">
      <c r="A10" s="21" t="s">
        <v>84</v>
      </c>
      <c r="B10" s="22" t="str">
        <f aca="false">INDEX($A$5:$A$9,MATCH(MAX($G$5:$G$9),$G$5:$G$9,0))</f>
        <v>Tuesday</v>
      </c>
      <c r="D10" s="21" t="s">
        <v>85</v>
      </c>
      <c r="E10" s="22" t="str">
        <f aca="false">INDEX($A$5:$A$9,MATCH(MAX($G$5:$G$6,$G$8:$G$9),$G$5:$G$9,0))</f>
        <v>Tuesday</v>
      </c>
    </row>
    <row r="12" customFormat="false" ht="15" hidden="false" customHeight="false" outlineLevel="0" collapsed="false">
      <c r="A12" s="2" t="s">
        <v>44</v>
      </c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8" t="s">
        <v>71</v>
      </c>
      <c r="B13" s="8" t="s">
        <v>72</v>
      </c>
      <c r="C13" s="8" t="s">
        <v>73</v>
      </c>
      <c r="D13" s="8" t="s">
        <v>74</v>
      </c>
      <c r="E13" s="8" t="s">
        <v>75</v>
      </c>
      <c r="F13" s="8" t="s">
        <v>76</v>
      </c>
      <c r="G13" s="8" t="s">
        <v>77</v>
      </c>
      <c r="H13" s="8" t="s">
        <v>78</v>
      </c>
    </row>
    <row r="14" customFormat="false" ht="15" hidden="false" customHeight="false" outlineLevel="0" collapsed="false">
      <c r="A14" s="19" t="s">
        <v>79</v>
      </c>
      <c r="B14" s="11" t="n">
        <f aca="false">IFERROR(COUNTIFS(D_DAMP!$B$2:$B$155,"Monday",D_DAMP!$C$2:$C$155,"&gt;0")/(COUNTIFS(D_DAMP!$B$2:$B$155,"Monday",D_DAMP!$C$2:$C$155,"&gt;0")+COUNTIFS(D_DAMP!$B$2:$B$155,"Monday",D_DAMP!$C$2:$C$155,"&lt;0"))*100,0)</f>
        <v>67.6470588235294</v>
      </c>
      <c r="C14" s="17" t="n">
        <f aca="false">IFERROR(AVERAGEIFS(D_DAMP!$C$2:$C$155,D_DAMP!$B$2:$B$155,"Monday",D_DAMP!$C$2:$C$155,"&gt;0"),0)</f>
        <v>8521.03260869565</v>
      </c>
      <c r="D14" s="17" t="n">
        <f aca="false" t="array" ref="D14:D14">MAX(IF(D_DAMP!$B$2:$B$155="Monday",D_DAMP!$C$2:$C$155))</f>
        <v>21827</v>
      </c>
      <c r="E14" s="17" t="n">
        <f aca="false">IFERROR(AVERAGEIFS(D_DAMP!$C$2:$C$155,D_DAMP!$B$2:$B$155,"Monday",D_DAMP!$C$2:$C$155,"&lt;0"),0)</f>
        <v>-7802.02272727273</v>
      </c>
      <c r="F14" s="17" t="n">
        <f aca="false" t="array" ref="F14:F14">MIN(IF(D_DAMP!$B$2:$B$155="Monday",D_DAMP!$C$2:$C$155))</f>
        <v>-18746</v>
      </c>
      <c r="G14" s="17" t="n">
        <f aca="false">SUMIFS(D_DAMP!$C$2:$C$155,D_DAMP!$B$2:$B$155,"Monday")</f>
        <v>110161.5</v>
      </c>
      <c r="H14" s="20" t="n">
        <f aca="false">COUNTIF(D_DAMP!$B$2:$B$155,"Monday")</f>
        <v>34</v>
      </c>
    </row>
    <row r="15" customFormat="false" ht="15" hidden="false" customHeight="false" outlineLevel="0" collapsed="false">
      <c r="A15" s="19" t="s">
        <v>80</v>
      </c>
      <c r="B15" s="11" t="n">
        <f aca="false">IFERROR(COUNTIFS(D_DAMP!$B$2:$B$155,"Tuesday",D_DAMP!$C$2:$C$155,"&gt;0")/(COUNTIFS(D_DAMP!$B$2:$B$155,"Tuesday",D_DAMP!$C$2:$C$155,"&gt;0")+COUNTIFS(D_DAMP!$B$2:$B$155,"Tuesday",D_DAMP!$C$2:$C$155,"&lt;0"))*100,0)</f>
        <v>66.6666666666667</v>
      </c>
      <c r="C15" s="17" t="n">
        <f aca="false">IFERROR(AVERAGEIFS(D_DAMP!$C$2:$C$155,D_DAMP!$B$2:$B$155,"Tuesday",D_DAMP!$C$2:$C$155,"&gt;0"),0)</f>
        <v>7694.475</v>
      </c>
      <c r="D15" s="17" t="n">
        <f aca="false" t="array" ref="D15:D15">MAX(IF(D_DAMP!$B$2:$B$155="Tuesday",D_DAMP!$C$2:$C$155))</f>
        <v>14547</v>
      </c>
      <c r="E15" s="17" t="n">
        <f aca="false">IFERROR(AVERAGEIFS(D_DAMP!$C$2:$C$155,D_DAMP!$B$2:$B$155,"Tuesday",D_DAMP!$C$2:$C$155,"&lt;0"),0)</f>
        <v>-8398.725</v>
      </c>
      <c r="F15" s="17" t="n">
        <f aca="false" t="array" ref="F15:F15">MIN(IF(D_DAMP!$B$2:$B$155="Tuesday",D_DAMP!$C$2:$C$155))</f>
        <v>-10140</v>
      </c>
      <c r="G15" s="17" t="n">
        <f aca="false">SUMIFS(D_DAMP!$C$2:$C$155,D_DAMP!$B$2:$B$155,"Tuesday")</f>
        <v>69902.25</v>
      </c>
      <c r="H15" s="20" t="n">
        <f aca="false">COUNTIF(D_DAMP!$B$2:$B$155,"Tuesday")</f>
        <v>30</v>
      </c>
    </row>
    <row r="16" customFormat="false" ht="15" hidden="false" customHeight="false" outlineLevel="0" collapsed="false">
      <c r="A16" s="19" t="s">
        <v>81</v>
      </c>
      <c r="B16" s="11" t="n">
        <f aca="false">IFERROR(COUNTIFS(D_DAMP!$B$2:$B$155,"Wednesday",D_DAMP!$C$2:$C$155,"&gt;0")/(COUNTIFS(D_DAMP!$B$2:$B$155,"Wednesday",D_DAMP!$C$2:$C$155,"&gt;0")+COUNTIFS(D_DAMP!$B$2:$B$155,"Wednesday",D_DAMP!$C$2:$C$155,"&lt;0"))*100,0)</f>
        <v>48.2758620689655</v>
      </c>
      <c r="C16" s="17" t="n">
        <f aca="false">IFERROR(AVERAGEIFS(D_DAMP!$C$2:$C$155,D_DAMP!$B$2:$B$155,"Wednesday",D_DAMP!$C$2:$C$155,"&gt;0"),0)</f>
        <v>7845.35714285714</v>
      </c>
      <c r="D16" s="17" t="n">
        <f aca="false" t="array" ref="D16:D16">MAX(IF(D_DAMP!$B$2:$B$155="Wednesday",D_DAMP!$C$2:$C$155))</f>
        <v>25087.5</v>
      </c>
      <c r="E16" s="17" t="n">
        <f aca="false">IFERROR(AVERAGEIFS(D_DAMP!$C$2:$C$155,D_DAMP!$B$2:$B$155,"Wednesday",D_DAMP!$C$2:$C$155,"&lt;0"),0)</f>
        <v>-10420.5833333333</v>
      </c>
      <c r="F16" s="17" t="n">
        <f aca="false" t="array" ref="F16:F16">MIN(IF(D_DAMP!$B$2:$B$155="Wednesday",D_DAMP!$C$2:$C$155))</f>
        <v>-36400</v>
      </c>
      <c r="G16" s="17" t="n">
        <f aca="false">SUMIFS(D_DAMP!$C$2:$C$155,D_DAMP!$B$2:$B$155,"Wednesday")</f>
        <v>-46473.75</v>
      </c>
      <c r="H16" s="20" t="n">
        <f aca="false">COUNTIF(D_DAMP!$B$2:$B$155,"Wednesday")</f>
        <v>29</v>
      </c>
    </row>
    <row r="17" customFormat="false" ht="15" hidden="false" customHeight="false" outlineLevel="0" collapsed="false">
      <c r="A17" s="19" t="s">
        <v>82</v>
      </c>
      <c r="B17" s="11" t="n">
        <f aca="false">IFERROR(COUNTIFS(D_DAMP!$B$2:$B$155,"Thursday",D_DAMP!$C$2:$C$155,"&gt;0")/(COUNTIFS(D_DAMP!$B$2:$B$155,"Thursday",D_DAMP!$C$2:$C$155,"&gt;0")+COUNTIFS(D_DAMP!$B$2:$B$155,"Thursday",D_DAMP!$C$2:$C$155,"&lt;0"))*100,0)</f>
        <v>65.5172413793104</v>
      </c>
      <c r="C17" s="17" t="n">
        <f aca="false">IFERROR(AVERAGEIFS(D_DAMP!$C$2:$C$155,D_DAMP!$B$2:$B$155,"Thursday",D_DAMP!$C$2:$C$155,"&gt;0"),0)</f>
        <v>11661.3157894737</v>
      </c>
      <c r="D17" s="17" t="n">
        <f aca="false" t="array" ref="D17:D17">MAX(IF(D_DAMP!$B$2:$B$155="Thursday",D_DAMP!$C$2:$C$155))</f>
        <v>24098.75</v>
      </c>
      <c r="E17" s="17" t="n">
        <f aca="false">IFERROR(AVERAGEIFS(D_DAMP!$C$2:$C$155,D_DAMP!$B$2:$B$155,"Thursday",D_DAMP!$C$2:$C$155,"&lt;0"),0)</f>
        <v>-9899.825</v>
      </c>
      <c r="F17" s="17" t="n">
        <f aca="false" t="array" ref="F17:F17">MIN(IF(D_DAMP!$B$2:$B$155="Thursday",D_DAMP!$C$2:$C$155))</f>
        <v>-17306.25</v>
      </c>
      <c r="G17" s="17" t="n">
        <f aca="false">SUMIFS(D_DAMP!$C$2:$C$155,D_DAMP!$B$2:$B$155,"Thursday")</f>
        <v>122566.75</v>
      </c>
      <c r="H17" s="20" t="n">
        <f aca="false">COUNTIF(D_DAMP!$B$2:$B$155,"Thursday")</f>
        <v>29</v>
      </c>
    </row>
    <row r="18" customFormat="false" ht="15" hidden="false" customHeight="false" outlineLevel="0" collapsed="false">
      <c r="A18" s="19" t="s">
        <v>83</v>
      </c>
      <c r="B18" s="11" t="n">
        <f aca="false">IFERROR(COUNTIFS(D_DAMP!$B$2:$B$155,"Friday",D_DAMP!$C$2:$C$155,"&gt;0")/(COUNTIFS(D_DAMP!$B$2:$B$155,"Friday",D_DAMP!$C$2:$C$155,"&gt;0")+COUNTIFS(D_DAMP!$B$2:$B$155,"Friday",D_DAMP!$C$2:$C$155,"&lt;0"))*100,0)</f>
        <v>71.875</v>
      </c>
      <c r="C18" s="17" t="n">
        <f aca="false">IFERROR(AVERAGEIFS(D_DAMP!$C$2:$C$155,D_DAMP!$B$2:$B$155,"Friday",D_DAMP!$C$2:$C$155,"&gt;0"),0)</f>
        <v>10818.0760869565</v>
      </c>
      <c r="D18" s="17" t="n">
        <f aca="false" t="array" ref="D18:D18">MAX(IF(D_DAMP!$B$2:$B$155="Friday",D_DAMP!$C$2:$C$155))</f>
        <v>27657.5</v>
      </c>
      <c r="E18" s="17" t="n">
        <f aca="false">IFERROR(AVERAGEIFS(D_DAMP!$C$2:$C$155,D_DAMP!$B$2:$B$155,"Friday",D_DAMP!$C$2:$C$155,"&lt;0"),0)</f>
        <v>-15355.2777777778</v>
      </c>
      <c r="F18" s="17" t="n">
        <f aca="false" t="array" ref="F18:F18">MIN(IF(D_DAMP!$B$2:$B$155="Friday",D_DAMP!$C$2:$C$155))</f>
        <v>-28395</v>
      </c>
      <c r="G18" s="17" t="n">
        <f aca="false">SUMIFS(D_DAMP!$C$2:$C$155,D_DAMP!$B$2:$B$155,"Friday")</f>
        <v>110618.25</v>
      </c>
      <c r="H18" s="20" t="n">
        <f aca="false">COUNTIF(D_DAMP!$B$2:$B$155,"Friday")</f>
        <v>32</v>
      </c>
    </row>
    <row r="19" customFormat="false" ht="15" hidden="false" customHeight="false" outlineLevel="0" collapsed="false">
      <c r="A19" s="21" t="s">
        <v>84</v>
      </c>
      <c r="B19" s="22" t="str">
        <f aca="false">INDEX($A$14:$A$18,MATCH(MAX($G$14:$G$18),$G$14:$G$18,0))</f>
        <v>Thursday</v>
      </c>
      <c r="D19" s="21" t="s">
        <v>85</v>
      </c>
      <c r="E19" s="22" t="str">
        <f aca="false">INDEX($A$14:$A$18,MATCH(MAX($G$14:$G$15,$G$17:$G$18),$G$14:$G$18,0))</f>
        <v>Thursday</v>
      </c>
    </row>
    <row r="21" customFormat="false" ht="15" hidden="false" customHeight="false" outlineLevel="0" collapsed="false">
      <c r="A21" s="2" t="s">
        <v>45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8" t="s">
        <v>71</v>
      </c>
      <c r="B22" s="8" t="s">
        <v>72</v>
      </c>
      <c r="C22" s="8" t="s">
        <v>73</v>
      </c>
      <c r="D22" s="8" t="s">
        <v>74</v>
      </c>
      <c r="E22" s="8" t="s">
        <v>75</v>
      </c>
      <c r="F22" s="8" t="s">
        <v>76</v>
      </c>
      <c r="G22" s="8" t="s">
        <v>77</v>
      </c>
      <c r="H22" s="8" t="s">
        <v>78</v>
      </c>
    </row>
    <row r="23" customFormat="false" ht="15" hidden="false" customHeight="false" outlineLevel="0" collapsed="false">
      <c r="A23" s="19" t="s">
        <v>79</v>
      </c>
      <c r="B23" s="11" t="n">
        <f aca="false">IFERROR(COUNTIFS(D_ZEN!$B$2:$B$137,"Monday",D_ZEN!$C$2:$C$137,"&gt;0")/(COUNTIFS(D_ZEN!$B$2:$B$137,"Monday",D_ZEN!$C$2:$C$137,"&gt;0")+COUNTIFS(D_ZEN!$B$2:$B$137,"Monday",D_ZEN!$C$2:$C$137,"&lt;0"))*100,0)</f>
        <v>67.6470588235294</v>
      </c>
      <c r="C23" s="17" t="n">
        <f aca="false">IFERROR(AVERAGEIFS(D_ZEN!$C$2:$C$137,D_ZEN!$B$2:$B$137,"Monday",D_ZEN!$C$2:$C$137,"&gt;0"),0)</f>
        <v>18654.4239130435</v>
      </c>
      <c r="D23" s="17" t="n">
        <f aca="false" t="array" ref="D23:D23">MAX(IF(D_ZEN!$B$2:$B$137="Monday",D_ZEN!$C$2:$C$137))</f>
        <v>41827.5</v>
      </c>
      <c r="E23" s="17" t="n">
        <f aca="false">IFERROR(AVERAGEIFS(D_ZEN!$C$2:$C$137,D_ZEN!$B$2:$B$137,"Monday",D_ZEN!$C$2:$C$137,"&lt;0"),0)</f>
        <v>-24836.1363636364</v>
      </c>
      <c r="F23" s="17" t="n">
        <f aca="false" t="array" ref="F23:F23">MIN(IF(D_ZEN!$B$2:$B$137="Monday",D_ZEN!$C$2:$C$137))</f>
        <v>-65503.75</v>
      </c>
      <c r="G23" s="17" t="n">
        <f aca="false">SUMIFS(D_ZEN!$C$2:$C$137,D_ZEN!$B$2:$B$137,"Monday")</f>
        <v>155854.25</v>
      </c>
      <c r="H23" s="20" t="n">
        <f aca="false">COUNTIF(D_ZEN!$B$2:$B$137,"Monday")</f>
        <v>34</v>
      </c>
    </row>
    <row r="24" customFormat="false" ht="15" hidden="false" customHeight="false" outlineLevel="0" collapsed="false">
      <c r="A24" s="19" t="s">
        <v>80</v>
      </c>
      <c r="B24" s="11" t="n">
        <f aca="false">IFERROR(COUNTIFS(D_ZEN!$B$2:$B$137,"Tuesday",D_ZEN!$C$2:$C$137,"&gt;0")/(COUNTIFS(D_ZEN!$B$2:$B$137,"Tuesday",D_ZEN!$C$2:$C$137,"&gt;0")+COUNTIFS(D_ZEN!$B$2:$B$137,"Tuesday",D_ZEN!$C$2:$C$137,"&lt;0"))*100,0)</f>
        <v>75.7575757575758</v>
      </c>
      <c r="C24" s="17" t="n">
        <f aca="false">IFERROR(AVERAGEIFS(D_ZEN!$C$2:$C$137,D_ZEN!$B$2:$B$137,"Tuesday",D_ZEN!$C$2:$C$137,"&gt;0"),0)</f>
        <v>16558.95</v>
      </c>
      <c r="D24" s="17" t="n">
        <f aca="false" t="array" ref="D24:D24">MAX(IF(D_ZEN!$B$2:$B$137="Tuesday",D_ZEN!$C$2:$C$137))</f>
        <v>35055</v>
      </c>
      <c r="E24" s="17" t="n">
        <f aca="false">IFERROR(AVERAGEIFS(D_ZEN!$C$2:$C$137,D_ZEN!$B$2:$B$137,"Tuesday",D_ZEN!$C$2:$C$137,"&lt;0"),0)</f>
        <v>-8082.65625</v>
      </c>
      <c r="F24" s="17" t="n">
        <f aca="false" t="array" ref="F24:F24">MIN(IF(D_ZEN!$B$2:$B$137="Tuesday",D_ZEN!$C$2:$C$137))</f>
        <v>-14310</v>
      </c>
      <c r="G24" s="17" t="n">
        <f aca="false">SUMIFS(D_ZEN!$C$2:$C$137,D_ZEN!$B$2:$B$137,"Tuesday")</f>
        <v>349312.5</v>
      </c>
      <c r="H24" s="20" t="n">
        <f aca="false">COUNTIF(D_ZEN!$B$2:$B$137,"Tuesday")</f>
        <v>33</v>
      </c>
    </row>
    <row r="25" customFormat="false" ht="15" hidden="false" customHeight="false" outlineLevel="0" collapsed="false">
      <c r="A25" s="19" t="s">
        <v>81</v>
      </c>
      <c r="B25" s="11" t="n">
        <f aca="false">IFERROR(COUNTIFS(D_ZEN!$B$2:$B$137,"Wednesday",D_ZEN!$C$2:$C$137,"&gt;0")/(COUNTIFS(D_ZEN!$B$2:$B$137,"Wednesday",D_ZEN!$C$2:$C$137,"&gt;0")+COUNTIFS(D_ZEN!$B$2:$B$137,"Wednesday",D_ZEN!$C$2:$C$137,"&lt;0"))*100,0)</f>
        <v>46.6666666666667</v>
      </c>
      <c r="C25" s="17" t="n">
        <f aca="false">IFERROR(AVERAGEIFS(D_ZEN!$C$2:$C$137,D_ZEN!$B$2:$B$137,"Wednesday",D_ZEN!$C$2:$C$137,"&gt;0"),0)</f>
        <v>10188.2142857143</v>
      </c>
      <c r="D25" s="17" t="n">
        <f aca="false" t="array" ref="D25:D25">MAX(IF(D_ZEN!$B$2:$B$137="Wednesday",D_ZEN!$C$2:$C$137))</f>
        <v>15420</v>
      </c>
      <c r="E25" s="17" t="n">
        <f aca="false">IFERROR(AVERAGEIFS(D_ZEN!$C$2:$C$137,D_ZEN!$B$2:$B$137,"Wednesday",D_ZEN!$C$2:$C$137,"&lt;0"),0)</f>
        <v>-17409.53125</v>
      </c>
      <c r="F25" s="17" t="n">
        <f aca="false" t="array" ref="F25:F25">MIN(IF(D_ZEN!$B$2:$B$137="Wednesday",D_ZEN!$C$2:$C$137))</f>
        <v>-37180</v>
      </c>
      <c r="G25" s="17" t="n">
        <f aca="false">SUMIFS(D_ZEN!$C$2:$C$137,D_ZEN!$B$2:$B$137,"Wednesday")</f>
        <v>-67958.75</v>
      </c>
      <c r="H25" s="20" t="n">
        <f aca="false">COUNTIF(D_ZEN!$B$2:$B$137,"Wednesday")</f>
        <v>15</v>
      </c>
    </row>
    <row r="26" customFormat="false" ht="15" hidden="false" customHeight="false" outlineLevel="0" collapsed="false">
      <c r="A26" s="19" t="s">
        <v>82</v>
      </c>
      <c r="B26" s="11" t="n">
        <f aca="false">IFERROR(COUNTIFS(D_ZEN!$B$2:$B$137,"Thursday",D_ZEN!$C$2:$C$137,"&gt;0")/(COUNTIFS(D_ZEN!$B$2:$B$137,"Thursday",D_ZEN!$C$2:$C$137,"&gt;0")+COUNTIFS(D_ZEN!$B$2:$B$137,"Thursday",D_ZEN!$C$2:$C$137,"&lt;0"))*100,0)</f>
        <v>64.5161290322581</v>
      </c>
      <c r="C26" s="17" t="n">
        <f aca="false">IFERROR(AVERAGEIFS(D_ZEN!$C$2:$C$137,D_ZEN!$B$2:$B$137,"Thursday",D_ZEN!$C$2:$C$137,"&gt;0"),0)</f>
        <v>16202.25</v>
      </c>
      <c r="D26" s="17" t="n">
        <f aca="false" t="array" ref="D26:D26">MAX(IF(D_ZEN!$B$2:$B$137="Thursday",D_ZEN!$C$2:$C$137))</f>
        <v>40950</v>
      </c>
      <c r="E26" s="17" t="n">
        <f aca="false">IFERROR(AVERAGEIFS(D_ZEN!$C$2:$C$137,D_ZEN!$B$2:$B$137,"Thursday",D_ZEN!$C$2:$C$137,"&lt;0"),0)</f>
        <v>-16916.0227272727</v>
      </c>
      <c r="F26" s="17" t="n">
        <f aca="false" t="array" ref="F26:F26">MIN(IF(D_ZEN!$B$2:$B$137="Thursday",D_ZEN!$C$2:$C$137))</f>
        <v>-34190</v>
      </c>
      <c r="G26" s="17" t="n">
        <f aca="false">SUMIFS(D_ZEN!$C$2:$C$137,D_ZEN!$B$2:$B$137,"Thursday")</f>
        <v>137968.75</v>
      </c>
      <c r="H26" s="20" t="n">
        <f aca="false">COUNTIF(D_ZEN!$B$2:$B$137,"Thursday")</f>
        <v>31</v>
      </c>
    </row>
    <row r="27" customFormat="false" ht="15" hidden="false" customHeight="false" outlineLevel="0" collapsed="false">
      <c r="A27" s="19" t="s">
        <v>83</v>
      </c>
      <c r="B27" s="11" t="n">
        <f aca="false">IFERROR(COUNTIFS(D_ZEN!$B$2:$B$137,"Friday",D_ZEN!$C$2:$C$137,"&gt;0")/(COUNTIFS(D_ZEN!$B$2:$B$137,"Friday",D_ZEN!$C$2:$C$137,"&gt;0")+COUNTIFS(D_ZEN!$B$2:$B$137,"Friday",D_ZEN!$C$2:$C$137,"&lt;0"))*100,0)</f>
        <v>39.1304347826087</v>
      </c>
      <c r="C27" s="17" t="n">
        <f aca="false">IFERROR(AVERAGEIFS(D_ZEN!$C$2:$C$137,D_ZEN!$B$2:$B$137,"Friday",D_ZEN!$C$2:$C$137,"&gt;0"),0)</f>
        <v>16927.0833333333</v>
      </c>
      <c r="D27" s="17" t="n">
        <f aca="false" t="array" ref="D27:D27">MAX(IF(D_ZEN!$B$2:$B$137="Friday",D_ZEN!$C$2:$C$137))</f>
        <v>39150</v>
      </c>
      <c r="E27" s="17" t="n">
        <f aca="false">IFERROR(AVERAGEIFS(D_ZEN!$C$2:$C$137,D_ZEN!$B$2:$B$137,"Friday",D_ZEN!$C$2:$C$137,"&lt;0"),0)</f>
        <v>-14568.125</v>
      </c>
      <c r="F27" s="17" t="n">
        <f aca="false" t="array" ref="F27:F27">MIN(IF(D_ZEN!$B$2:$B$137="Friday",D_ZEN!$C$2:$C$137))</f>
        <v>-28095</v>
      </c>
      <c r="G27" s="17" t="n">
        <f aca="false">SUMIFS(D_ZEN!$C$2:$C$137,D_ZEN!$B$2:$B$137,"Friday")</f>
        <v>-51610</v>
      </c>
      <c r="H27" s="20" t="n">
        <f aca="false">COUNTIF(D_ZEN!$B$2:$B$137,"Friday")</f>
        <v>23</v>
      </c>
    </row>
    <row r="28" customFormat="false" ht="15" hidden="false" customHeight="false" outlineLevel="0" collapsed="false">
      <c r="A28" s="21" t="s">
        <v>84</v>
      </c>
      <c r="B28" s="22" t="str">
        <f aca="false">INDEX($A$23:$A$27,MATCH(MAX($G$23:$G$27),$G$23:$G$27,0))</f>
        <v>Tuesday</v>
      </c>
      <c r="D28" s="21" t="s">
        <v>85</v>
      </c>
      <c r="E28" s="22" t="str">
        <f aca="false">INDEX($A$23:$A$27,MATCH(MAX($G$23:$G$24,$G$26:$G$27),$G$23:$G$27,0))</f>
        <v>Tuesday</v>
      </c>
    </row>
    <row r="30" customFormat="false" ht="15" hidden="false" customHeight="false" outlineLevel="0" collapsed="false">
      <c r="A30" s="2" t="s">
        <v>46</v>
      </c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8" t="s">
        <v>71</v>
      </c>
      <c r="B31" s="8" t="s">
        <v>72</v>
      </c>
      <c r="C31" s="8" t="s">
        <v>73</v>
      </c>
      <c r="D31" s="8" t="s">
        <v>74</v>
      </c>
      <c r="E31" s="8" t="s">
        <v>75</v>
      </c>
      <c r="F31" s="8" t="s">
        <v>76</v>
      </c>
      <c r="G31" s="8" t="s">
        <v>77</v>
      </c>
      <c r="H31" s="8" t="s">
        <v>78</v>
      </c>
    </row>
    <row r="32" customFormat="false" ht="15" hidden="false" customHeight="false" outlineLevel="0" collapsed="false">
      <c r="A32" s="19" t="s">
        <v>79</v>
      </c>
      <c r="B32" s="11" t="n">
        <f aca="false">IFERROR(COUNTIFS(D_DRIP!$B$2:$B$128,"Monday",D_DRIP!$C$2:$C$128,"&gt;0")/(COUNTIFS(D_DRIP!$B$2:$B$128,"Monday",D_DRIP!$C$2:$C$128,"&gt;0")+COUNTIFS(D_DRIP!$B$2:$B$128,"Monday",D_DRIP!$C$2:$C$128,"&lt;0"))*100,0)</f>
        <v>61.5384615384615</v>
      </c>
      <c r="C32" s="17" t="n">
        <f aca="false">IFERROR(AVERAGEIFS(D_DRIP!$C$2:$C$128,D_DRIP!$B$2:$B$128,"Monday",D_DRIP!$C$2:$C$128,"&gt;0"),0)</f>
        <v>20464.3954166667</v>
      </c>
      <c r="D32" s="17" t="n">
        <f aca="false" t="array" ref="D32:D32">MAX(IF(D_DRIP!$B$2:$B$128="Monday",D_DRIP!$C$2:$C$128))</f>
        <v>50066.25</v>
      </c>
      <c r="E32" s="17" t="n">
        <f aca="false">IFERROR(AVERAGEIFS(D_DRIP!$C$2:$C$128,D_DRIP!$B$2:$B$128,"Monday",D_DRIP!$C$2:$C$128,"&lt;0"),0)</f>
        <v>-14624.0593333333</v>
      </c>
      <c r="F32" s="17" t="n">
        <f aca="false" t="array" ref="F32:F32">MIN(IF(D_DRIP!$B$2:$B$128="Monday",D_DRIP!$C$2:$C$128))</f>
        <v>-32516.25</v>
      </c>
      <c r="G32" s="17" t="n">
        <f aca="false">SUMIFS(D_DRIP!$C$2:$C$128,D_DRIP!$B$2:$B$128,"Monday")</f>
        <v>271784.6</v>
      </c>
      <c r="H32" s="20" t="n">
        <f aca="false">COUNTIF(D_DRIP!$B$2:$B$128,"Monday")</f>
        <v>39</v>
      </c>
    </row>
    <row r="33" customFormat="false" ht="15" hidden="false" customHeight="false" outlineLevel="0" collapsed="false">
      <c r="A33" s="19" t="s">
        <v>80</v>
      </c>
      <c r="B33" s="11" t="n">
        <f aca="false">IFERROR(COUNTIFS(D_DRIP!$B$2:$B$128,"Tuesday",D_DRIP!$C$2:$C$128,"&gt;0")/(COUNTIFS(D_DRIP!$B$2:$B$128,"Tuesday",D_DRIP!$C$2:$C$128,"&gt;0")+COUNTIFS(D_DRIP!$B$2:$B$128,"Tuesday",D_DRIP!$C$2:$C$128,"&lt;0"))*100,0)</f>
        <v>52.3809523809524</v>
      </c>
      <c r="C33" s="17" t="n">
        <f aca="false">IFERROR(AVERAGEIFS(D_DRIP!$C$2:$C$128,D_DRIP!$B$2:$B$128,"Tuesday",D_DRIP!$C$2:$C$128,"&gt;0"),0)</f>
        <v>24778.8972727273</v>
      </c>
      <c r="D33" s="17" t="n">
        <f aca="false" t="array" ref="D33:D33">MAX(IF(D_DRIP!$B$2:$B$128="Tuesday",D_DRIP!$C$2:$C$128))</f>
        <v>32344</v>
      </c>
      <c r="E33" s="17" t="n">
        <f aca="false">IFERROR(AVERAGEIFS(D_DRIP!$C$2:$C$128,D_DRIP!$B$2:$B$128,"Tuesday",D_DRIP!$C$2:$C$128,"&lt;0"),0)</f>
        <v>-14760.175</v>
      </c>
      <c r="F33" s="17" t="n">
        <f aca="false" t="array" ref="F33:F33">MIN(IF(D_DRIP!$B$2:$B$128="Tuesday",D_DRIP!$C$2:$C$128))</f>
        <v>-20462</v>
      </c>
      <c r="G33" s="17" t="n">
        <f aca="false">SUMIFS(D_DRIP!$C$2:$C$128,D_DRIP!$B$2:$B$128,"Tuesday")</f>
        <v>124966.12</v>
      </c>
      <c r="H33" s="20" t="n">
        <f aca="false">COUNTIF(D_DRIP!$B$2:$B$128,"Tuesday")</f>
        <v>21</v>
      </c>
    </row>
    <row r="34" customFormat="false" ht="15" hidden="false" customHeight="false" outlineLevel="0" collapsed="false">
      <c r="A34" s="19" t="s">
        <v>81</v>
      </c>
      <c r="B34" s="11" t="n">
        <f aca="false">IFERROR(COUNTIFS(D_DRIP!$B$2:$B$128,"Wednesday",D_DRIP!$C$2:$C$128,"&gt;0")/(COUNTIFS(D_DRIP!$B$2:$B$128,"Wednesday",D_DRIP!$C$2:$C$128,"&gt;0")+COUNTIFS(D_DRIP!$B$2:$B$128,"Wednesday",D_DRIP!$C$2:$C$128,"&lt;0"))*100,0)</f>
        <v>36.8421052631579</v>
      </c>
      <c r="C34" s="17" t="n">
        <f aca="false">IFERROR(AVERAGEIFS(D_DRIP!$C$2:$C$128,D_DRIP!$B$2:$B$128,"Wednesday",D_DRIP!$C$2:$C$128,"&gt;0"),0)</f>
        <v>15731.1685714286</v>
      </c>
      <c r="D34" s="17" t="n">
        <f aca="false" t="array" ref="D34:D34">MAX(IF(D_DRIP!$B$2:$B$128="Wednesday",D_DRIP!$C$2:$C$128))</f>
        <v>23447.68</v>
      </c>
      <c r="E34" s="17" t="n">
        <f aca="false">IFERROR(AVERAGEIFS(D_DRIP!$C$2:$C$128,D_DRIP!$B$2:$B$128,"Wednesday",D_DRIP!$C$2:$C$128,"&lt;0"),0)</f>
        <v>-16710.8791666667</v>
      </c>
      <c r="F34" s="17" t="n">
        <f aca="false" t="array" ref="F34:F34">MIN(IF(D_DRIP!$B$2:$B$128="Wednesday",D_DRIP!$C$2:$C$128))</f>
        <v>-31294.95</v>
      </c>
      <c r="G34" s="17" t="n">
        <f aca="false">SUMIFS(D_DRIP!$C$2:$C$128,D_DRIP!$B$2:$B$128,"Wednesday")</f>
        <v>-90412.37</v>
      </c>
      <c r="H34" s="20" t="n">
        <f aca="false">COUNTIF(D_DRIP!$B$2:$B$128,"Wednesday")</f>
        <v>19</v>
      </c>
    </row>
    <row r="35" customFormat="false" ht="15" hidden="false" customHeight="false" outlineLevel="0" collapsed="false">
      <c r="A35" s="19" t="s">
        <v>82</v>
      </c>
      <c r="B35" s="11" t="n">
        <f aca="false">IFERROR(COUNTIFS(D_DRIP!$B$2:$B$128,"Thursday",D_DRIP!$C$2:$C$128,"&gt;0")/(COUNTIFS(D_DRIP!$B$2:$B$128,"Thursday",D_DRIP!$C$2:$C$128,"&gt;0")+COUNTIFS(D_DRIP!$B$2:$B$128,"Thursday",D_DRIP!$C$2:$C$128,"&lt;0"))*100,0)</f>
        <v>77.7777777777778</v>
      </c>
      <c r="C35" s="17" t="n">
        <f aca="false">IFERROR(AVERAGEIFS(D_DRIP!$C$2:$C$128,D_DRIP!$B$2:$B$128,"Thursday",D_DRIP!$C$2:$C$128,"&gt;0"),0)</f>
        <v>19058.8328571429</v>
      </c>
      <c r="D35" s="17" t="n">
        <f aca="false" t="array" ref="D35:D35">MAX(IF(D_DRIP!$B$2:$B$128="Thursday",D_DRIP!$C$2:$C$128))</f>
        <v>33751.25</v>
      </c>
      <c r="E35" s="17" t="n">
        <f aca="false">IFERROR(AVERAGEIFS(D_DRIP!$C$2:$C$128,D_DRIP!$B$2:$B$128,"Thursday",D_DRIP!$C$2:$C$128,"&lt;0"),0)</f>
        <v>-15698.405</v>
      </c>
      <c r="F35" s="17" t="n">
        <f aca="false" t="array" ref="F35:F35">MIN(IF(D_DRIP!$B$2:$B$128="Thursday",D_DRIP!$C$2:$C$128))</f>
        <v>-35589.96</v>
      </c>
      <c r="G35" s="17" t="n">
        <f aca="false">SUMIFS(D_DRIP!$C$2:$C$128,D_DRIP!$B$2:$B$128,"Thursday")</f>
        <v>306045.06</v>
      </c>
      <c r="H35" s="20" t="n">
        <f aca="false">COUNTIF(D_DRIP!$B$2:$B$128,"Thursday")</f>
        <v>27</v>
      </c>
    </row>
    <row r="36" customFormat="false" ht="15" hidden="false" customHeight="false" outlineLevel="0" collapsed="false">
      <c r="A36" s="19" t="s">
        <v>83</v>
      </c>
      <c r="B36" s="11" t="n">
        <f aca="false">IFERROR(COUNTIFS(D_DRIP!$B$2:$B$128,"Friday",D_DRIP!$C$2:$C$128,"&gt;0")/(COUNTIFS(D_DRIP!$B$2:$B$128,"Friday",D_DRIP!$C$2:$C$128,"&gt;0")+COUNTIFS(D_DRIP!$B$2:$B$128,"Friday",D_DRIP!$C$2:$C$128,"&lt;0"))*100,0)</f>
        <v>35</v>
      </c>
      <c r="C36" s="17" t="n">
        <f aca="false">IFERROR(AVERAGEIFS(D_DRIP!$C$2:$C$128,D_DRIP!$B$2:$B$128,"Friday",D_DRIP!$C$2:$C$128,"&gt;0"),0)</f>
        <v>15314.3242857143</v>
      </c>
      <c r="D36" s="17" t="n">
        <f aca="false" t="array" ref="D36:D36">MAX(IF(D_DRIP!$B$2:$B$128="Friday",D_DRIP!$C$2:$C$128))</f>
        <v>28161.25</v>
      </c>
      <c r="E36" s="17" t="n">
        <f aca="false">IFERROR(AVERAGEIFS(D_DRIP!$C$2:$C$128,D_DRIP!$B$2:$B$128,"Friday",D_DRIP!$C$2:$C$128,"&lt;0"),0)</f>
        <v>-15651.3123076923</v>
      </c>
      <c r="F36" s="17" t="n">
        <f aca="false" t="array" ref="F36:F36">MIN(IF(D_DRIP!$B$2:$B$128="Friday",D_DRIP!$C$2:$C$128))</f>
        <v>-38242.07</v>
      </c>
      <c r="G36" s="17" t="n">
        <f aca="false">SUMIFS(D_DRIP!$C$2:$C$128,D_DRIP!$B$2:$B$128,"Friday")</f>
        <v>-96266.79</v>
      </c>
      <c r="H36" s="20" t="n">
        <f aca="false">COUNTIF(D_DRIP!$B$2:$B$128,"Friday")</f>
        <v>20</v>
      </c>
    </row>
    <row r="37" customFormat="false" ht="15" hidden="false" customHeight="false" outlineLevel="0" collapsed="false">
      <c r="A37" s="21" t="s">
        <v>84</v>
      </c>
      <c r="B37" s="22" t="str">
        <f aca="false">INDEX($A$32:$A$36,MATCH(MAX($G$32:$G$36),$G$32:$G$36,0))</f>
        <v>Thursday</v>
      </c>
      <c r="D37" s="21" t="s">
        <v>85</v>
      </c>
      <c r="E37" s="22" t="str">
        <f aca="false">INDEX($A$32:$A$36,MATCH(MAX($G$32:$G$33,$G$35:$G$36),$G$32:$G$36,0))</f>
        <v>Thursday</v>
      </c>
    </row>
    <row r="39" customFormat="false" ht="15" hidden="false" customHeight="false" outlineLevel="0" collapsed="false">
      <c r="A39" s="2" t="s">
        <v>47</v>
      </c>
      <c r="B39" s="2"/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8" t="s">
        <v>71</v>
      </c>
      <c r="B40" s="8" t="s">
        <v>72</v>
      </c>
      <c r="C40" s="8" t="s">
        <v>73</v>
      </c>
      <c r="D40" s="8" t="s">
        <v>74</v>
      </c>
      <c r="E40" s="8" t="s">
        <v>75</v>
      </c>
      <c r="F40" s="8" t="s">
        <v>76</v>
      </c>
      <c r="G40" s="8" t="s">
        <v>77</v>
      </c>
      <c r="H40" s="8" t="s">
        <v>78</v>
      </c>
    </row>
    <row r="41" customFormat="false" ht="15" hidden="false" customHeight="false" outlineLevel="0" collapsed="false">
      <c r="A41" s="19" t="s">
        <v>79</v>
      </c>
      <c r="B41" s="11" t="n">
        <f aca="false">IFERROR(COUNTIFS(D_DROT!$B$2:$B$122,"Monday",D_DROT!$C$2:$C$122,"&gt;0")/(COUNTIFS(D_DROT!$B$2:$B$122,"Monday",D_DROT!$C$2:$C$122,"&gt;0")+COUNTIFS(D_DROT!$B$2:$B$122,"Monday",D_DROT!$C$2:$C$122,"&lt;0"))*100,0)</f>
        <v>33.3333333333333</v>
      </c>
      <c r="C41" s="17" t="n">
        <f aca="false">IFERROR(AVERAGEIFS(D_DROT!$C$2:$C$122,D_DROT!$B$2:$B$122,"Monday",D_DROT!$C$2:$C$122,"&gt;0"),0)</f>
        <v>14310.7366666667</v>
      </c>
      <c r="D41" s="17" t="n">
        <f aca="false" t="array" ref="D41:D41">MAX(IF(D_DROT!$B$2:$B$122="Monday",D_DROT!$C$2:$C$122))</f>
        <v>39081.25</v>
      </c>
      <c r="E41" s="17" t="n">
        <f aca="false">IFERROR(AVERAGEIFS(D_DROT!$C$2:$C$122,D_DROT!$B$2:$B$122,"Monday",D_DROT!$C$2:$C$122,"&lt;0"),0)</f>
        <v>-15783.98</v>
      </c>
      <c r="F41" s="17" t="n">
        <f aca="false" t="array" ref="F41:F41">MIN(IF(D_DROT!$B$2:$B$122="Monday",D_DROT!$C$2:$C$122))</f>
        <v>-47034</v>
      </c>
      <c r="G41" s="17" t="n">
        <f aca="false">SUMIFS(D_DROT!$C$2:$C$122,D_DROT!$B$2:$B$122,"Monday")</f>
        <v>-155315.01</v>
      </c>
      <c r="H41" s="20" t="n">
        <f aca="false">COUNTIF(D_DROT!$B$2:$B$122,"Monday")</f>
        <v>27</v>
      </c>
    </row>
    <row r="42" customFormat="false" ht="15" hidden="false" customHeight="false" outlineLevel="0" collapsed="false">
      <c r="A42" s="19" t="s">
        <v>80</v>
      </c>
      <c r="B42" s="11" t="n">
        <f aca="false">IFERROR(COUNTIFS(D_DROT!$B$2:$B$122,"Tuesday",D_DROT!$C$2:$C$122,"&gt;0")/(COUNTIFS(D_DROT!$B$2:$B$122,"Tuesday",D_DROT!$C$2:$C$122,"&gt;0")+COUNTIFS(D_DROT!$B$2:$B$122,"Tuesday",D_DROT!$C$2:$C$122,"&lt;0"))*100,0)</f>
        <v>78.5714285714286</v>
      </c>
      <c r="C42" s="17" t="n">
        <f aca="false">IFERROR(AVERAGEIFS(D_DROT!$C$2:$C$122,D_DROT!$B$2:$B$122,"Tuesday",D_DROT!$C$2:$C$122,"&gt;0"),0)</f>
        <v>21694.2204545455</v>
      </c>
      <c r="D42" s="17" t="n">
        <f aca="false" t="array" ref="D42:D42">MAX(IF(D_DROT!$B$2:$B$122="Tuesday",D_DROT!$C$2:$C$122))</f>
        <v>51187.5</v>
      </c>
      <c r="E42" s="17" t="n">
        <f aca="false">IFERROR(AVERAGEIFS(D_DROT!$C$2:$C$122,D_DROT!$B$2:$B$122,"Tuesday",D_DROT!$C$2:$C$122,"&lt;0"),0)</f>
        <v>-11340.4166666667</v>
      </c>
      <c r="F42" s="17" t="n">
        <f aca="false" t="array" ref="F42:F42">MIN(IF(D_DROT!$B$2:$B$122="Tuesday",D_DROT!$C$2:$C$122))</f>
        <v>-16103.75</v>
      </c>
      <c r="G42" s="17" t="n">
        <f aca="false">SUMIFS(D_DROT!$C$2:$C$122,D_DROT!$B$2:$B$122,"Tuesday")</f>
        <v>409230.35</v>
      </c>
      <c r="H42" s="20" t="n">
        <f aca="false">COUNTIF(D_DROT!$B$2:$B$122,"Tuesday")</f>
        <v>28</v>
      </c>
    </row>
    <row r="43" customFormat="false" ht="15" hidden="false" customHeight="false" outlineLevel="0" collapsed="false">
      <c r="A43" s="19" t="s">
        <v>81</v>
      </c>
      <c r="B43" s="11" t="n">
        <f aca="false">IFERROR(COUNTIFS(D_DROT!$B$2:$B$122,"Wednesday",D_DROT!$C$2:$C$122,"&gt;0")/(COUNTIFS(D_DROT!$B$2:$B$122,"Wednesday",D_DROT!$C$2:$C$122,"&gt;0")+COUNTIFS(D_DROT!$B$2:$B$122,"Wednesday",D_DROT!$C$2:$C$122,"&lt;0"))*100,0)</f>
        <v>25</v>
      </c>
      <c r="C43" s="17" t="n">
        <f aca="false">IFERROR(AVERAGEIFS(D_DROT!$C$2:$C$122,D_DROT!$B$2:$B$122,"Wednesday",D_DROT!$C$2:$C$122,"&gt;0"),0)</f>
        <v>7644.84</v>
      </c>
      <c r="D43" s="17" t="n">
        <f aca="false" t="array" ref="D43:D43">MAX(IF(D_DROT!$B$2:$B$122="Wednesday",D_DROT!$C$2:$C$122))</f>
        <v>8385.36</v>
      </c>
      <c r="E43" s="17" t="n">
        <f aca="false">IFERROR(AVERAGEIFS(D_DROT!$C$2:$C$122,D_DROT!$B$2:$B$122,"Wednesday",D_DROT!$C$2:$C$122,"&lt;0"),0)</f>
        <v>-13839.7583333333</v>
      </c>
      <c r="F43" s="17" t="n">
        <f aca="false" t="array" ref="F43:F43">MIN(IF(D_DROT!$B$2:$B$122="Wednesday",D_DROT!$C$2:$C$122))</f>
        <v>-14885</v>
      </c>
      <c r="G43" s="17" t="n">
        <f aca="false">SUMIFS(D_DROT!$C$2:$C$122,D_DROT!$B$2:$B$122,"Wednesday")</f>
        <v>-67748.87</v>
      </c>
      <c r="H43" s="20" t="n">
        <f aca="false">COUNTIF(D_DROT!$B$2:$B$122,"Wednesday")</f>
        <v>8</v>
      </c>
    </row>
    <row r="44" customFormat="false" ht="15" hidden="false" customHeight="false" outlineLevel="0" collapsed="false">
      <c r="A44" s="19" t="s">
        <v>82</v>
      </c>
      <c r="B44" s="11" t="n">
        <f aca="false">IFERROR(COUNTIFS(D_DROT!$B$2:$B$122,"Thursday",D_DROT!$C$2:$C$122,"&gt;0")/(COUNTIFS(D_DROT!$B$2:$B$122,"Thursday",D_DROT!$C$2:$C$122,"&gt;0")+COUNTIFS(D_DROT!$B$2:$B$122,"Thursday",D_DROT!$C$2:$C$122,"&lt;0"))*100,0)</f>
        <v>54.8387096774194</v>
      </c>
      <c r="C44" s="17" t="n">
        <f aca="false">IFERROR(AVERAGEIFS(D_DROT!$C$2:$C$122,D_DROT!$B$2:$B$122,"Thursday",D_DROT!$C$2:$C$122,"&gt;0"),0)</f>
        <v>19747.7411764706</v>
      </c>
      <c r="D44" s="17" t="n">
        <f aca="false" t="array" ref="D44:D44">MAX(IF(D_DROT!$B$2:$B$122="Thursday",D_DROT!$C$2:$C$122))</f>
        <v>48217</v>
      </c>
      <c r="E44" s="17" t="n">
        <f aca="false">IFERROR(AVERAGEIFS(D_DROT!$C$2:$C$122,D_DROT!$B$2:$B$122,"Thursday",D_DROT!$C$2:$C$122,"&lt;0"),0)</f>
        <v>-15285.8471428571</v>
      </c>
      <c r="F44" s="17" t="n">
        <f aca="false" t="array" ref="F44:F44">MIN(IF(D_DROT!$B$2:$B$122="Thursday",D_DROT!$C$2:$C$122))</f>
        <v>-41778.75</v>
      </c>
      <c r="G44" s="17" t="n">
        <f aca="false">SUMIFS(D_DROT!$C$2:$C$122,D_DROT!$B$2:$B$122,"Thursday")</f>
        <v>121709.74</v>
      </c>
      <c r="H44" s="20" t="n">
        <f aca="false">COUNTIF(D_DROT!$B$2:$B$122,"Thursday")</f>
        <v>31</v>
      </c>
    </row>
    <row r="45" customFormat="false" ht="15" hidden="false" customHeight="false" outlineLevel="0" collapsed="false">
      <c r="A45" s="19" t="s">
        <v>83</v>
      </c>
      <c r="B45" s="11" t="n">
        <f aca="false">IFERROR(COUNTIFS(D_DROT!$B$2:$B$122,"Friday",D_DROT!$C$2:$C$122,"&gt;0")/(COUNTIFS(D_DROT!$B$2:$B$122,"Friday",D_DROT!$C$2:$C$122,"&gt;0")+COUNTIFS(D_DROT!$B$2:$B$122,"Friday",D_DROT!$C$2:$C$122,"&lt;0"))*100,0)</f>
        <v>46.1538461538462</v>
      </c>
      <c r="C45" s="17" t="n">
        <f aca="false">IFERROR(AVERAGEIFS(D_DROT!$C$2:$C$122,D_DROT!$B$2:$B$122,"Friday",D_DROT!$C$2:$C$122,"&gt;0"),0)</f>
        <v>18566.6266666667</v>
      </c>
      <c r="D45" s="17" t="n">
        <f aca="false" t="array" ref="D45:D45">MAX(IF(D_DROT!$B$2:$B$122="Friday",D_DROT!$C$2:$C$122))</f>
        <v>38821.25</v>
      </c>
      <c r="E45" s="17" t="n">
        <f aca="false">IFERROR(AVERAGEIFS(D_DROT!$C$2:$C$122,D_DROT!$B$2:$B$122,"Friday",D_DROT!$C$2:$C$122,"&lt;0"),0)</f>
        <v>-15386.95</v>
      </c>
      <c r="F45" s="17" t="n">
        <f aca="false" t="array" ref="F45:F45">MIN(IF(D_DROT!$B$2:$B$122="Friday",D_DROT!$C$2:$C$122))</f>
        <v>-27987.87</v>
      </c>
      <c r="G45" s="17" t="n">
        <f aca="false">SUMIFS(D_DROT!$C$2:$C$122,D_DROT!$B$2:$B$122,"Friday")</f>
        <v>7382.22</v>
      </c>
      <c r="H45" s="20" t="n">
        <f aca="false">COUNTIF(D_DROT!$B$2:$B$122,"Friday")</f>
        <v>26</v>
      </c>
    </row>
    <row r="46" customFormat="false" ht="15" hidden="false" customHeight="false" outlineLevel="0" collapsed="false">
      <c r="A46" s="21" t="s">
        <v>84</v>
      </c>
      <c r="B46" s="22" t="str">
        <f aca="false">INDEX($A$41:$A$45,MATCH(MAX($G$41:$G$45),$G$41:$G$45,0))</f>
        <v>Tuesday</v>
      </c>
      <c r="D46" s="21" t="s">
        <v>85</v>
      </c>
      <c r="E46" s="22" t="str">
        <f aca="false">INDEX($A$41:$A$45,MATCH(MAX($G$41:$G$42,$G$44:$G$45),$G$41:$G$45,0))</f>
        <v>Tuesday</v>
      </c>
    </row>
    <row r="48" customFormat="false" ht="15" hidden="false" customHeight="false" outlineLevel="0" collapsed="false">
      <c r="A48" s="2" t="s">
        <v>48</v>
      </c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8" t="s">
        <v>71</v>
      </c>
      <c r="B49" s="8" t="s">
        <v>72</v>
      </c>
      <c r="C49" s="8" t="s">
        <v>73</v>
      </c>
      <c r="D49" s="8" t="s">
        <v>74</v>
      </c>
      <c r="E49" s="8" t="s">
        <v>75</v>
      </c>
      <c r="F49" s="8" t="s">
        <v>76</v>
      </c>
      <c r="G49" s="8" t="s">
        <v>77</v>
      </c>
      <c r="H49" s="8" t="s">
        <v>78</v>
      </c>
    </row>
    <row r="50" customFormat="false" ht="15" hidden="false" customHeight="false" outlineLevel="0" collapsed="false">
      <c r="A50" s="19" t="s">
        <v>79</v>
      </c>
      <c r="B50" s="11" t="n">
        <f aca="false">IFERROR(COUNTIFS(D_SKEW!$B$2:$B$236,"Monday",D_SKEW!$C$2:$C$236,"&gt;0")/(COUNTIFS(D_SKEW!$B$2:$B$236,"Monday",D_SKEW!$C$2:$C$236,"&gt;0")+COUNTIFS(D_SKEW!$B$2:$B$236,"Monday",D_SKEW!$C$2:$C$236,"&lt;0"))*100,0)</f>
        <v>48.9795918367347</v>
      </c>
      <c r="C50" s="17" t="n">
        <f aca="false">IFERROR(AVERAGEIFS(D_SKEW!$C$2:$C$236,D_SKEW!$B$2:$B$236,"Monday",D_SKEW!$C$2:$C$236,"&gt;0"),0)</f>
        <v>50997.1145833333</v>
      </c>
      <c r="D50" s="17" t="n">
        <f aca="false" t="array" ref="D50:D50">MAX(IF(D_SKEW!$B$2:$B$236="Monday",D_SKEW!$C$2:$C$236))</f>
        <v>194707.5</v>
      </c>
      <c r="E50" s="17" t="n">
        <f aca="false">IFERROR(AVERAGEIFS(D_SKEW!$C$2:$C$236,D_SKEW!$B$2:$B$236,"Monday",D_SKEW!$C$2:$C$236,"&lt;0"),0)</f>
        <v>-23600.93</v>
      </c>
      <c r="F50" s="17" t="n">
        <f aca="false" t="array" ref="F50:F50">MIN(IF(D_SKEW!$B$2:$B$236="Monday",D_SKEW!$C$2:$C$236))</f>
        <v>-59835.75</v>
      </c>
      <c r="G50" s="17" t="n">
        <f aca="false">SUMIFS(D_SKEW!$C$2:$C$236,D_SKEW!$B$2:$B$236,"Monday")</f>
        <v>633907.5</v>
      </c>
      <c r="H50" s="20" t="n">
        <f aca="false">COUNTIF(D_SKEW!$B$2:$B$236,"Monday")</f>
        <v>49</v>
      </c>
    </row>
    <row r="51" customFormat="false" ht="15" hidden="false" customHeight="false" outlineLevel="0" collapsed="false">
      <c r="A51" s="19" t="s">
        <v>80</v>
      </c>
      <c r="B51" s="11" t="n">
        <f aca="false">IFERROR(COUNTIFS(D_SKEW!$B$2:$B$236,"Tuesday",D_SKEW!$C$2:$C$236,"&gt;0")/(COUNTIFS(D_SKEW!$B$2:$B$236,"Tuesday",D_SKEW!$C$2:$C$236,"&gt;0")+COUNTIFS(D_SKEW!$B$2:$B$236,"Tuesday",D_SKEW!$C$2:$C$236,"&lt;0"))*100,0)</f>
        <v>36.3636363636364</v>
      </c>
      <c r="C51" s="17" t="n">
        <f aca="false">IFERROR(AVERAGEIFS(D_SKEW!$C$2:$C$236,D_SKEW!$B$2:$B$236,"Tuesday",D_SKEW!$C$2:$C$236,"&gt;0"),0)</f>
        <v>104460.09375</v>
      </c>
      <c r="D51" s="17" t="n">
        <f aca="false" t="array" ref="D51:D51">MAX(IF(D_SKEW!$B$2:$B$236="Tuesday",D_SKEW!$C$2:$C$236))</f>
        <v>350302.5</v>
      </c>
      <c r="E51" s="17" t="n">
        <f aca="false">IFERROR(AVERAGEIFS(D_SKEW!$C$2:$C$236,D_SKEW!$B$2:$B$236,"Tuesday",D_SKEW!$C$2:$C$236,"&lt;0"),0)</f>
        <v>-33029.2410714286</v>
      </c>
      <c r="F51" s="17" t="n">
        <f aca="false" t="array" ref="F51:F51">MIN(IF(D_SKEW!$B$2:$B$236="Tuesday",D_SKEW!$C$2:$C$236))</f>
        <v>-59966.25</v>
      </c>
      <c r="G51" s="17" t="n">
        <f aca="false">SUMIFS(D_SKEW!$C$2:$C$236,D_SKEW!$B$2:$B$236,"Tuesday")</f>
        <v>746542.75</v>
      </c>
      <c r="H51" s="20" t="n">
        <f aca="false">COUNTIF(D_SKEW!$B$2:$B$236,"Tuesday")</f>
        <v>44</v>
      </c>
    </row>
    <row r="52" customFormat="false" ht="15" hidden="false" customHeight="false" outlineLevel="0" collapsed="false">
      <c r="A52" s="19" t="s">
        <v>81</v>
      </c>
      <c r="B52" s="11" t="n">
        <f aca="false">IFERROR(COUNTIFS(D_SKEW!$B$2:$B$236,"Wednesday",D_SKEW!$C$2:$C$236,"&gt;0")/(COUNTIFS(D_SKEW!$B$2:$B$236,"Wednesday",D_SKEW!$C$2:$C$236,"&gt;0")+COUNTIFS(D_SKEW!$B$2:$B$236,"Wednesday",D_SKEW!$C$2:$C$236,"&lt;0"))*100,0)</f>
        <v>50</v>
      </c>
      <c r="C52" s="17" t="n">
        <f aca="false">IFERROR(AVERAGEIFS(D_SKEW!$C$2:$C$236,D_SKEW!$B$2:$B$236,"Wednesday",D_SKEW!$C$2:$C$236,"&gt;0"),0)</f>
        <v>16993.7395833333</v>
      </c>
      <c r="D52" s="17" t="n">
        <f aca="false" t="array" ref="D52:D52">MAX(IF(D_SKEW!$B$2:$B$236="Wednesday",D_SKEW!$C$2:$C$236))</f>
        <v>63300</v>
      </c>
      <c r="E52" s="17" t="n">
        <f aca="false">IFERROR(AVERAGEIFS(D_SKEW!$C$2:$C$236,D_SKEW!$B$2:$B$236,"Wednesday",D_SKEW!$C$2:$C$236,"&lt;0"),0)</f>
        <v>-20969.8125</v>
      </c>
      <c r="F52" s="17" t="n">
        <f aca="false" t="array" ref="F52:F52">MIN(IF(D_SKEW!$B$2:$B$236="Wednesday",D_SKEW!$C$2:$C$236))</f>
        <v>-40634.75</v>
      </c>
      <c r="G52" s="17" t="n">
        <f aca="false">SUMIFS(D_SKEW!$C$2:$C$236,D_SKEW!$B$2:$B$236,"Wednesday")</f>
        <v>-95425.75</v>
      </c>
      <c r="H52" s="20" t="n">
        <f aca="false">COUNTIF(D_SKEW!$B$2:$B$236,"Wednesday")</f>
        <v>48</v>
      </c>
    </row>
    <row r="53" customFormat="false" ht="15" hidden="false" customHeight="false" outlineLevel="0" collapsed="false">
      <c r="A53" s="19" t="s">
        <v>82</v>
      </c>
      <c r="B53" s="11" t="n">
        <f aca="false">IFERROR(COUNTIFS(D_SKEW!$B$2:$B$236,"Thursday",D_SKEW!$C$2:$C$236,"&gt;0")/(COUNTIFS(D_SKEW!$B$2:$B$236,"Thursday",D_SKEW!$C$2:$C$236,"&gt;0")+COUNTIFS(D_SKEW!$B$2:$B$236,"Thursday",D_SKEW!$C$2:$C$236,"&lt;0"))*100,0)</f>
        <v>41.304347826087</v>
      </c>
      <c r="C53" s="17" t="n">
        <f aca="false">IFERROR(AVERAGEIFS(D_SKEW!$C$2:$C$236,D_SKEW!$B$2:$B$236,"Thursday",D_SKEW!$C$2:$C$236,"&gt;0"),0)</f>
        <v>60989.052631579</v>
      </c>
      <c r="D53" s="17" t="n">
        <f aca="false" t="array" ref="D53:D53">MAX(IF(D_SKEW!$B$2:$B$236="Thursday",D_SKEW!$C$2:$C$236))</f>
        <v>235800</v>
      </c>
      <c r="E53" s="17" t="n">
        <f aca="false">IFERROR(AVERAGEIFS(D_SKEW!$C$2:$C$236,D_SKEW!$B$2:$B$236,"Thursday",D_SKEW!$C$2:$C$236,"&lt;0"),0)</f>
        <v>-24495.1296296296</v>
      </c>
      <c r="F53" s="17" t="n">
        <f aca="false" t="array" ref="F53:F53">MIN(IF(D_SKEW!$B$2:$B$236="Thursday",D_SKEW!$C$2:$C$236))</f>
        <v>-58095</v>
      </c>
      <c r="G53" s="17" t="n">
        <f aca="false">SUMIFS(D_SKEW!$C$2:$C$236,D_SKEW!$B$2:$B$236,"Thursday")</f>
        <v>497423.5</v>
      </c>
      <c r="H53" s="20" t="n">
        <f aca="false">COUNTIF(D_SKEW!$B$2:$B$236,"Thursday")</f>
        <v>46</v>
      </c>
    </row>
    <row r="54" customFormat="false" ht="15" hidden="false" customHeight="false" outlineLevel="0" collapsed="false">
      <c r="A54" s="19" t="s">
        <v>83</v>
      </c>
      <c r="B54" s="11" t="n">
        <f aca="false">IFERROR(COUNTIFS(D_SKEW!$B$2:$B$236,"Friday",D_SKEW!$C$2:$C$236,"&gt;0")/(COUNTIFS(D_SKEW!$B$2:$B$236,"Friday",D_SKEW!$C$2:$C$236,"&gt;0")+COUNTIFS(D_SKEW!$B$2:$B$236,"Friday",D_SKEW!$C$2:$C$236,"&lt;0"))*100,0)</f>
        <v>45.8333333333333</v>
      </c>
      <c r="C54" s="17" t="n">
        <f aca="false">IFERROR(AVERAGEIFS(D_SKEW!$C$2:$C$236,D_SKEW!$B$2:$B$236,"Friday",D_SKEW!$C$2:$C$236,"&gt;0"),0)</f>
        <v>21595.5454545455</v>
      </c>
      <c r="D54" s="17" t="n">
        <f aca="false" t="array" ref="D54:D54">MAX(IF(D_SKEW!$B$2:$B$236="Friday",D_SKEW!$C$2:$C$236))</f>
        <v>117450</v>
      </c>
      <c r="E54" s="17" t="n">
        <f aca="false">IFERROR(AVERAGEIFS(D_SKEW!$C$2:$C$236,D_SKEW!$B$2:$B$236,"Friday",D_SKEW!$C$2:$C$236,"&lt;0"),0)</f>
        <v>-21060.2307692308</v>
      </c>
      <c r="F54" s="17" t="n">
        <f aca="false" t="array" ref="F54:F54">MIN(IF(D_SKEW!$B$2:$B$236="Friday",D_SKEW!$C$2:$C$236))</f>
        <v>-59651.25</v>
      </c>
      <c r="G54" s="17" t="n">
        <f aca="false">SUMIFS(D_SKEW!$C$2:$C$236,D_SKEW!$B$2:$B$236,"Friday")</f>
        <v>-72464</v>
      </c>
      <c r="H54" s="20" t="n">
        <f aca="false">COUNTIF(D_SKEW!$B$2:$B$236,"Friday")</f>
        <v>48</v>
      </c>
    </row>
    <row r="55" customFormat="false" ht="15" hidden="false" customHeight="false" outlineLevel="0" collapsed="false">
      <c r="A55" s="21" t="s">
        <v>84</v>
      </c>
      <c r="B55" s="22" t="str">
        <f aca="false">INDEX($A$50:$A$54,MATCH(MAX($G$50:$G$54),$G$50:$G$54,0))</f>
        <v>Tuesday</v>
      </c>
      <c r="D55" s="21" t="s">
        <v>85</v>
      </c>
      <c r="E55" s="22" t="str">
        <f aca="false">INDEX($A$50:$A$54,MATCH(MAX($G$50:$G$51,$G$53:$G$54),$G$50:$G$54,0))</f>
        <v>Tuesday</v>
      </c>
    </row>
    <row r="57" customFormat="false" ht="15" hidden="false" customHeight="false" outlineLevel="0" collapsed="false">
      <c r="A57" s="2" t="s">
        <v>49</v>
      </c>
      <c r="B57" s="2"/>
      <c r="C57" s="2"/>
      <c r="D57" s="2"/>
      <c r="E57" s="2"/>
      <c r="F57" s="2"/>
      <c r="G57" s="2"/>
      <c r="H57" s="2"/>
    </row>
    <row r="58" customFormat="false" ht="15" hidden="false" customHeight="false" outlineLevel="0" collapsed="false">
      <c r="A58" s="8" t="s">
        <v>71</v>
      </c>
      <c r="B58" s="8" t="s">
        <v>72</v>
      </c>
      <c r="C58" s="8" t="s">
        <v>73</v>
      </c>
      <c r="D58" s="8" t="s">
        <v>74</v>
      </c>
      <c r="E58" s="8" t="s">
        <v>75</v>
      </c>
      <c r="F58" s="8" t="s">
        <v>76</v>
      </c>
      <c r="G58" s="8" t="s">
        <v>77</v>
      </c>
      <c r="H58" s="8" t="s">
        <v>78</v>
      </c>
    </row>
    <row r="59" customFormat="false" ht="15" hidden="false" customHeight="false" outlineLevel="0" collapsed="false">
      <c r="A59" s="19" t="s">
        <v>79</v>
      </c>
      <c r="B59" s="11" t="n">
        <f aca="false">IFERROR(COUNTIFS(D_SKEWTSL!$B$2:$B$237,"Monday",D_SKEWTSL!$C$2:$C$237,"&gt;0")/(COUNTIFS(D_SKEWTSL!$B$2:$B$237,"Monday",D_SKEWTSL!$C$2:$C$237,"&gt;0")+COUNTIFS(D_SKEWTSL!$B$2:$B$237,"Monday",D_SKEWTSL!$C$2:$C$237,"&lt;0"))*100,0)</f>
        <v>46</v>
      </c>
      <c r="C59" s="17" t="n">
        <f aca="false">IFERROR(AVERAGEIFS(D_SKEWTSL!$C$2:$C$237,D_SKEWTSL!$B$2:$B$237,"Monday",D_SKEWTSL!$C$2:$C$237,"&gt;0"),0)</f>
        <v>51679.8260869565</v>
      </c>
      <c r="D59" s="17" t="n">
        <f aca="false" t="array" ref="D59:D59">MAX(IF(D_SKEWTSL!$B$2:$B$237="Monday",D_SKEWTSL!$C$2:$C$237))</f>
        <v>194707.5</v>
      </c>
      <c r="E59" s="17" t="n">
        <f aca="false">IFERROR(AVERAGEIFS(D_SKEWTSL!$C$2:$C$237,D_SKEWTSL!$B$2:$B$237,"Monday",D_SKEWTSL!$C$2:$C$237,"&lt;0"),0)</f>
        <v>-20118.3981481482</v>
      </c>
      <c r="F59" s="17" t="n">
        <f aca="false" t="array" ref="F59:F59">MIN(IF(D_SKEWTSL!$B$2:$B$237="Monday",D_SKEWTSL!$C$2:$C$237))</f>
        <v>-59835.75</v>
      </c>
      <c r="G59" s="17" t="n">
        <f aca="false">SUMIFS(D_SKEWTSL!$C$2:$C$237,D_SKEWTSL!$B$2:$B$237,"Monday")</f>
        <v>645439.25</v>
      </c>
      <c r="H59" s="20" t="n">
        <f aca="false">COUNTIF(D_SKEWTSL!$B$2:$B$237,"Monday")</f>
        <v>50</v>
      </c>
    </row>
    <row r="60" customFormat="false" ht="15" hidden="false" customHeight="false" outlineLevel="0" collapsed="false">
      <c r="A60" s="19" t="s">
        <v>80</v>
      </c>
      <c r="B60" s="11" t="n">
        <f aca="false">IFERROR(COUNTIFS(D_SKEWTSL!$B$2:$B$237,"Tuesday",D_SKEWTSL!$C$2:$C$237,"&gt;0")/(COUNTIFS(D_SKEWTSL!$B$2:$B$237,"Tuesday",D_SKEWTSL!$C$2:$C$237,"&gt;0")+COUNTIFS(D_SKEWTSL!$B$2:$B$237,"Tuesday",D_SKEWTSL!$C$2:$C$237,"&lt;0"))*100,0)</f>
        <v>31.8181818181818</v>
      </c>
      <c r="C60" s="17" t="n">
        <f aca="false">IFERROR(AVERAGEIFS(D_SKEWTSL!$C$2:$C$237,D_SKEWTSL!$B$2:$B$237,"Tuesday",D_SKEWTSL!$C$2:$C$237,"&gt;0"),0)</f>
        <v>60038.9821428571</v>
      </c>
      <c r="D60" s="17" t="n">
        <f aca="false" t="array" ref="D60:D60">MAX(IF(D_SKEWTSL!$B$2:$B$237="Tuesday",D_SKEWTSL!$C$2:$C$237))</f>
        <v>355878.75</v>
      </c>
      <c r="E60" s="17" t="n">
        <f aca="false">IFERROR(AVERAGEIFS(D_SKEWTSL!$C$2:$C$237,D_SKEWTSL!$B$2:$B$237,"Tuesday",D_SKEWTSL!$C$2:$C$237,"&lt;0"),0)</f>
        <v>-21087.5416666667</v>
      </c>
      <c r="F60" s="17" t="n">
        <f aca="false" t="array" ref="F60:F60">MIN(IF(D_SKEWTSL!$B$2:$B$237="Tuesday",D_SKEWTSL!$C$2:$C$237))</f>
        <v>-60240</v>
      </c>
      <c r="G60" s="17" t="n">
        <f aca="false">SUMIFS(D_SKEWTSL!$C$2:$C$237,D_SKEWTSL!$B$2:$B$237,"Tuesday")</f>
        <v>207919.5</v>
      </c>
      <c r="H60" s="20" t="n">
        <f aca="false">COUNTIF(D_SKEWTSL!$B$2:$B$237,"Tuesday")</f>
        <v>44</v>
      </c>
    </row>
    <row r="61" customFormat="false" ht="15" hidden="false" customHeight="false" outlineLevel="0" collapsed="false">
      <c r="A61" s="19" t="s">
        <v>81</v>
      </c>
      <c r="B61" s="11" t="n">
        <f aca="false">IFERROR(COUNTIFS(D_SKEWTSL!$B$2:$B$237,"Wednesday",D_SKEWTSL!$C$2:$C$237,"&gt;0")/(COUNTIFS(D_SKEWTSL!$B$2:$B$237,"Wednesday",D_SKEWTSL!$C$2:$C$237,"&gt;0")+COUNTIFS(D_SKEWTSL!$B$2:$B$237,"Wednesday",D_SKEWTSL!$C$2:$C$237,"&lt;0"))*100,0)</f>
        <v>47.9166666666667</v>
      </c>
      <c r="C61" s="17" t="n">
        <f aca="false">IFERROR(AVERAGEIFS(D_SKEWTSL!$C$2:$C$237,D_SKEWTSL!$B$2:$B$237,"Wednesday",D_SKEWTSL!$C$2:$C$237,"&gt;0"),0)</f>
        <v>17633.5760869565</v>
      </c>
      <c r="D61" s="17" t="n">
        <f aca="false" t="array" ref="D61:D61">MAX(IF(D_SKEWTSL!$B$2:$B$237="Wednesday",D_SKEWTSL!$C$2:$C$237))</f>
        <v>63180</v>
      </c>
      <c r="E61" s="17" t="n">
        <f aca="false">IFERROR(AVERAGEIFS(D_SKEWTSL!$C$2:$C$237,D_SKEWTSL!$B$2:$B$237,"Wednesday",D_SKEWTSL!$C$2:$C$237,"&lt;0"),0)</f>
        <v>-19752.6</v>
      </c>
      <c r="F61" s="17" t="n">
        <f aca="false" t="array" ref="F61:F61">MIN(IF(D_SKEWTSL!$B$2:$B$237="Wednesday",D_SKEWTSL!$C$2:$C$237))</f>
        <v>-38872.5</v>
      </c>
      <c r="G61" s="17" t="n">
        <f aca="false">SUMIFS(D_SKEWTSL!$C$2:$C$237,D_SKEWTSL!$B$2:$B$237,"Wednesday")</f>
        <v>-88242.75</v>
      </c>
      <c r="H61" s="20" t="n">
        <f aca="false">COUNTIF(D_SKEWTSL!$B$2:$B$237,"Wednesday")</f>
        <v>48</v>
      </c>
    </row>
    <row r="62" customFormat="false" ht="15" hidden="false" customHeight="false" outlineLevel="0" collapsed="false">
      <c r="A62" s="19" t="s">
        <v>82</v>
      </c>
      <c r="B62" s="11" t="n">
        <f aca="false">IFERROR(COUNTIFS(D_SKEWTSL!$B$2:$B$237,"Thursday",D_SKEWTSL!$C$2:$C$237,"&gt;0")/(COUNTIFS(D_SKEWTSL!$B$2:$B$237,"Thursday",D_SKEWTSL!$C$2:$C$237,"&gt;0")+COUNTIFS(D_SKEWTSL!$B$2:$B$237,"Thursday",D_SKEWTSL!$C$2:$C$237,"&lt;0"))*100,0)</f>
        <v>41.304347826087</v>
      </c>
      <c r="C62" s="17" t="n">
        <f aca="false">IFERROR(AVERAGEIFS(D_SKEWTSL!$C$2:$C$237,D_SKEWTSL!$B$2:$B$237,"Thursday",D_SKEWTSL!$C$2:$C$237,"&gt;0"),0)</f>
        <v>47958.0657894737</v>
      </c>
      <c r="D62" s="17" t="n">
        <f aca="false" t="array" ref="D62:D62">MAX(IF(D_SKEWTSL!$B$2:$B$237="Thursday",D_SKEWTSL!$C$2:$C$237))</f>
        <v>145875</v>
      </c>
      <c r="E62" s="17" t="n">
        <f aca="false">IFERROR(AVERAGEIFS(D_SKEWTSL!$C$2:$C$237,D_SKEWTSL!$B$2:$B$237,"Thursday",D_SKEWTSL!$C$2:$C$237,"&lt;0"),0)</f>
        <v>-21858.8796296296</v>
      </c>
      <c r="F62" s="17" t="n">
        <f aca="false" t="array" ref="F62:F62">MIN(IF(D_SKEWTSL!$B$2:$B$237="Thursday",D_SKEWTSL!$C$2:$C$237))</f>
        <v>-59808.75</v>
      </c>
      <c r="G62" s="17" t="n">
        <f aca="false">SUMIFS(D_SKEWTSL!$C$2:$C$237,D_SKEWTSL!$B$2:$B$237,"Thursday")</f>
        <v>321013.5</v>
      </c>
      <c r="H62" s="20" t="n">
        <f aca="false">COUNTIF(D_SKEWTSL!$B$2:$B$237,"Thursday")</f>
        <v>46</v>
      </c>
    </row>
    <row r="63" customFormat="false" ht="15" hidden="false" customHeight="false" outlineLevel="0" collapsed="false">
      <c r="A63" s="19" t="s">
        <v>83</v>
      </c>
      <c r="B63" s="11" t="n">
        <f aca="false">IFERROR(COUNTIFS(D_SKEWTSL!$B$2:$B$237,"Friday",D_SKEWTSL!$C$2:$C$237,"&gt;0")/(COUNTIFS(D_SKEWTSL!$B$2:$B$237,"Friday",D_SKEWTSL!$C$2:$C$237,"&gt;0")+COUNTIFS(D_SKEWTSL!$B$2:$B$237,"Friday",D_SKEWTSL!$C$2:$C$237,"&lt;0"))*100,0)</f>
        <v>50</v>
      </c>
      <c r="C63" s="17" t="n">
        <f aca="false">IFERROR(AVERAGEIFS(D_SKEWTSL!$C$2:$C$237,D_SKEWTSL!$B$2:$B$237,"Friday",D_SKEWTSL!$C$2:$C$237,"&gt;0"),0)</f>
        <v>19321.2083333333</v>
      </c>
      <c r="D63" s="17" t="n">
        <f aca="false" t="array" ref="D63:D63">MAX(IF(D_SKEWTSL!$B$2:$B$237="Friday",D_SKEWTSL!$C$2:$C$237))</f>
        <v>117618.75</v>
      </c>
      <c r="E63" s="17" t="n">
        <f aca="false">IFERROR(AVERAGEIFS(D_SKEWTSL!$C$2:$C$237,D_SKEWTSL!$B$2:$B$237,"Friday",D_SKEWTSL!$C$2:$C$237,"&lt;0"),0)</f>
        <v>-18787.3125</v>
      </c>
      <c r="F63" s="17" t="n">
        <f aca="false" t="array" ref="F63:F63">MIN(IF(D_SKEWTSL!$B$2:$B$237="Friday",D_SKEWTSL!$C$2:$C$237))</f>
        <v>-60705</v>
      </c>
      <c r="G63" s="17" t="n">
        <f aca="false">SUMIFS(D_SKEWTSL!$C$2:$C$237,D_SKEWTSL!$B$2:$B$237,"Friday")</f>
        <v>12813.5</v>
      </c>
      <c r="H63" s="20" t="n">
        <f aca="false">COUNTIF(D_SKEWTSL!$B$2:$B$237,"Friday")</f>
        <v>48</v>
      </c>
    </row>
    <row r="64" customFormat="false" ht="15" hidden="false" customHeight="false" outlineLevel="0" collapsed="false">
      <c r="A64" s="21" t="s">
        <v>84</v>
      </c>
      <c r="B64" s="22" t="str">
        <f aca="false">INDEX($A$59:$A$63,MATCH(MAX($G$59:$G$63),$G$59:$G$63,0))</f>
        <v>Monday</v>
      </c>
      <c r="D64" s="21" t="s">
        <v>85</v>
      </c>
      <c r="E64" s="22" t="str">
        <f aca="false">INDEX($A$59:$A$63,MATCH(MAX($G$59:$G$60,$G$62:$G$63),$G$59:$G$63,0))</f>
        <v>Monday</v>
      </c>
    </row>
    <row r="66" customFormat="false" ht="27.75" hidden="false" customHeight="true" outlineLevel="0" collapsed="false">
      <c r="A66" s="15" t="s">
        <v>86</v>
      </c>
      <c r="B66" s="15"/>
      <c r="C66" s="15"/>
      <c r="D66" s="15"/>
      <c r="E66" s="15"/>
      <c r="F66" s="15"/>
      <c r="G66" s="15"/>
      <c r="H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</row>
  </sheetData>
  <mergeCells count="9">
    <mergeCell ref="A1:H1"/>
    <mergeCell ref="A3:H3"/>
    <mergeCell ref="A12:H12"/>
    <mergeCell ref="A21:H21"/>
    <mergeCell ref="A30:H30"/>
    <mergeCell ref="A39:H39"/>
    <mergeCell ref="A48:H48"/>
    <mergeCell ref="A57:H57"/>
    <mergeCell ref="A66:H67"/>
  </mergeCells>
  <conditionalFormatting sqref="C5:C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D5:D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E5:E9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F5:F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G5:G9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C14:C18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D14:D18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E14:E18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F14:F18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G14:G18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C23:C27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D23:D27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E23:E27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F23:F27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G23:G27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C32:C36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D32:D36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E32:E36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F32:F36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G32:G36"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C41:C45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D41:D45"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E41:E45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F41:F45"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conditionalFormatting sqref="G41:G45">
    <cfRule type="cellIs" priority="50" operator="greaterThan" aboveAverage="0" equalAverage="0" bottom="0" percent="0" rank="0" text="" dxfId="0">
      <formula>0</formula>
    </cfRule>
    <cfRule type="cellIs" priority="51" operator="lessThan" aboveAverage="0" equalAverage="0" bottom="0" percent="0" rank="0" text="" dxfId="1">
      <formula>0</formula>
    </cfRule>
  </conditionalFormatting>
  <conditionalFormatting sqref="C50:C54">
    <cfRule type="cellIs" priority="52" operator="greaterThan" aboveAverage="0" equalAverage="0" bottom="0" percent="0" rank="0" text="" dxfId="0">
      <formula>0</formula>
    </cfRule>
    <cfRule type="cellIs" priority="53" operator="lessThan" aboveAverage="0" equalAverage="0" bottom="0" percent="0" rank="0" text="" dxfId="1">
      <formula>0</formula>
    </cfRule>
  </conditionalFormatting>
  <conditionalFormatting sqref="D50:D54">
    <cfRule type="cellIs" priority="54" operator="greaterThan" aboveAverage="0" equalAverage="0" bottom="0" percent="0" rank="0" text="" dxfId="0">
      <formula>0</formula>
    </cfRule>
    <cfRule type="cellIs" priority="55" operator="lessThan" aboveAverage="0" equalAverage="0" bottom="0" percent="0" rank="0" text="" dxfId="1">
      <formula>0</formula>
    </cfRule>
  </conditionalFormatting>
  <conditionalFormatting sqref="E50:E54">
    <cfRule type="cellIs" priority="56" operator="greaterThan" aboveAverage="0" equalAverage="0" bottom="0" percent="0" rank="0" text="" dxfId="0">
      <formula>0</formula>
    </cfRule>
    <cfRule type="cellIs" priority="57" operator="lessThan" aboveAverage="0" equalAverage="0" bottom="0" percent="0" rank="0" text="" dxfId="1">
      <formula>0</formula>
    </cfRule>
  </conditionalFormatting>
  <conditionalFormatting sqref="F50:F54">
    <cfRule type="cellIs" priority="58" operator="greaterThan" aboveAverage="0" equalAverage="0" bottom="0" percent="0" rank="0" text="" dxfId="0">
      <formula>0</formula>
    </cfRule>
    <cfRule type="cellIs" priority="59" operator="lessThan" aboveAverage="0" equalAverage="0" bottom="0" percent="0" rank="0" text="" dxfId="1">
      <formula>0</formula>
    </cfRule>
  </conditionalFormatting>
  <conditionalFormatting sqref="G50:G54">
    <cfRule type="cellIs" priority="60" operator="greaterThan" aboveAverage="0" equalAverage="0" bottom="0" percent="0" rank="0" text="" dxfId="0">
      <formula>0</formula>
    </cfRule>
    <cfRule type="cellIs" priority="61" operator="lessThan" aboveAverage="0" equalAverage="0" bottom="0" percent="0" rank="0" text="" dxfId="1">
      <formula>0</formula>
    </cfRule>
  </conditionalFormatting>
  <conditionalFormatting sqref="C59:C63">
    <cfRule type="cellIs" priority="62" operator="greaterThan" aboveAverage="0" equalAverage="0" bottom="0" percent="0" rank="0" text="" dxfId="0">
      <formula>0</formula>
    </cfRule>
    <cfRule type="cellIs" priority="63" operator="lessThan" aboveAverage="0" equalAverage="0" bottom="0" percent="0" rank="0" text="" dxfId="1">
      <formula>0</formula>
    </cfRule>
  </conditionalFormatting>
  <conditionalFormatting sqref="D59:D63">
    <cfRule type="cellIs" priority="64" operator="greaterThan" aboveAverage="0" equalAverage="0" bottom="0" percent="0" rank="0" text="" dxfId="0">
      <formula>0</formula>
    </cfRule>
    <cfRule type="cellIs" priority="65" operator="lessThan" aboveAverage="0" equalAverage="0" bottom="0" percent="0" rank="0" text="" dxfId="1">
      <formula>0</formula>
    </cfRule>
  </conditionalFormatting>
  <conditionalFormatting sqref="E59:E63">
    <cfRule type="cellIs" priority="66" operator="greaterThan" aboveAverage="0" equalAverage="0" bottom="0" percent="0" rank="0" text="" dxfId="0">
      <formula>0</formula>
    </cfRule>
    <cfRule type="cellIs" priority="67" operator="lessThan" aboveAverage="0" equalAverage="0" bottom="0" percent="0" rank="0" text="" dxfId="1">
      <formula>0</formula>
    </cfRule>
  </conditionalFormatting>
  <conditionalFormatting sqref="F59:F63">
    <cfRule type="cellIs" priority="68" operator="greaterThan" aboveAverage="0" equalAverage="0" bottom="0" percent="0" rank="0" text="" dxfId="0">
      <formula>0</formula>
    </cfRule>
    <cfRule type="cellIs" priority="69" operator="lessThan" aboveAverage="0" equalAverage="0" bottom="0" percent="0" rank="0" text="" dxfId="1">
      <formula>0</formula>
    </cfRule>
  </conditionalFormatting>
  <conditionalFormatting sqref="G59:G63">
    <cfRule type="cellIs" priority="70" operator="greaterThan" aboveAverage="0" equalAverage="0" bottom="0" percent="0" rank="0" text="" dxfId="0">
      <formula>0</formula>
    </cfRule>
    <cfRule type="cellIs" priority="71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5"/>
  </cols>
  <sheetData>
    <row r="1" customFormat="false" ht="21.75" hidden="false" customHeight="true" outlineLevel="0" collapsed="false">
      <c r="A1" s="16" t="s">
        <v>87</v>
      </c>
      <c r="B1" s="16"/>
      <c r="C1" s="16"/>
      <c r="D1" s="16"/>
    </row>
    <row r="2" customFormat="false" ht="15" hidden="false" customHeight="false" outlineLevel="0" collapsed="false">
      <c r="A2" s="2" t="s">
        <v>41</v>
      </c>
      <c r="B2" s="2"/>
      <c r="C2" s="2"/>
      <c r="D2" s="2"/>
    </row>
    <row r="3" customFormat="false" ht="15" hidden="false" customHeight="false" outlineLevel="0" collapsed="false">
      <c r="A3" s="8" t="s">
        <v>42</v>
      </c>
      <c r="B3" s="8" t="s">
        <v>30</v>
      </c>
      <c r="C3" s="8" t="s">
        <v>32</v>
      </c>
      <c r="D3" s="8" t="s">
        <v>33</v>
      </c>
    </row>
    <row r="4" customFormat="false" ht="15" hidden="false" customHeight="false" outlineLevel="0" collapsed="false">
      <c r="A4" s="9" t="s">
        <v>50</v>
      </c>
      <c r="B4" s="10" t="s">
        <v>88</v>
      </c>
      <c r="C4" s="10" t="s">
        <v>88</v>
      </c>
      <c r="D4" s="10" t="s">
        <v>88</v>
      </c>
    </row>
    <row r="5" customFormat="false" ht="15" hidden="false" customHeight="false" outlineLevel="0" collapsed="false">
      <c r="A5" s="9" t="s">
        <v>53</v>
      </c>
      <c r="B5" s="17" t="n">
        <f aca="false">D_COMBO1!$T$1</f>
        <v>1600000</v>
      </c>
      <c r="C5" s="17" t="n">
        <f aca="false">D_COMBO2!$T$1</f>
        <v>1600000</v>
      </c>
      <c r="D5" s="17" t="n">
        <f aca="false">D_COMBO3!$T$1</f>
        <v>1700000</v>
      </c>
    </row>
    <row r="6" customFormat="false" ht="15" hidden="false" customHeight="false" outlineLevel="0" collapsed="false">
      <c r="A6" s="9" t="s">
        <v>54</v>
      </c>
      <c r="B6" s="11" t="n">
        <f aca="false">SUMIFS(D_COMBO1!$C$2:$C$233,D_COMBO1!$A$2:$A$233,"&gt;="&amp;D_COMBO1!$T$3)/D_COMBO1!$T$1*100</f>
        <v>12.06603125</v>
      </c>
      <c r="C6" s="11" t="n">
        <f aca="false">SUMIFS(D_COMBO2!$C$2:$C$233,D_COMBO2!$A$2:$A$233,"&gt;="&amp;D_COMBO2!$T$3)/D_COMBO2!$T$1*100</f>
        <v>12.06603125</v>
      </c>
      <c r="D6" s="11" t="n">
        <f aca="false">SUMIFS(D_COMBO3!$C$2:$C$249,D_COMBO3!$A$2:$A$249,"&gt;="&amp;D_COMBO3!$T$3)/D_COMBO3!$T$1*100</f>
        <v>13.1973323529412</v>
      </c>
    </row>
    <row r="7" customFormat="false" ht="15" hidden="false" customHeight="false" outlineLevel="0" collapsed="false">
      <c r="A7" s="9" t="s">
        <v>55</v>
      </c>
      <c r="B7" s="11" t="n">
        <f aca="false">SUMIFS(D_COMBO1!$C$2:$C$233,D_COMBO1!$A$2:$A$233,"&gt;="&amp;D_COMBO1!$T$4)/D_COMBO1!$T$1*100</f>
        <v>52.923203125</v>
      </c>
      <c r="C7" s="11" t="n">
        <f aca="false">SUMIFS(D_COMBO2!$C$2:$C$233,D_COMBO2!$A$2:$A$233,"&gt;="&amp;D_COMBO2!$T$4)/D_COMBO2!$T$1*100</f>
        <v>52.923203125</v>
      </c>
      <c r="D7" s="11" t="n">
        <f aca="false">SUMIFS(D_COMBO3!$C$2:$C$249,D_COMBO3!$A$2:$A$249,"&gt;="&amp;D_COMBO3!$T$4)/D_COMBO3!$T$1*100</f>
        <v>53.0566323529412</v>
      </c>
    </row>
    <row r="8" customFormat="false" ht="15" hidden="false" customHeight="false" outlineLevel="0" collapsed="false">
      <c r="A8" s="9" t="s">
        <v>56</v>
      </c>
      <c r="B8" s="11" t="n">
        <f aca="false">SUMIFS(D_COMBO1!$C$2:$C$233,D_COMBO1!$A$2:$A$233,"&gt;="&amp;D_COMBO1!$T$5)/D_COMBO1!$T$1*100</f>
        <v>91.216270625</v>
      </c>
      <c r="C8" s="11" t="n">
        <f aca="false">SUMIFS(D_COMBO2!$C$2:$C$233,D_COMBO2!$A$2:$A$233,"&gt;="&amp;D_COMBO2!$T$5)/D_COMBO2!$T$1*100</f>
        <v>91.216270625</v>
      </c>
      <c r="D8" s="11" t="n">
        <f aca="false">SUMIFS(D_COMBO3!$C$2:$C$249,D_COMBO3!$A$2:$A$249,"&gt;="&amp;D_COMBO3!$T$5)/D_COMBO3!$T$1*100</f>
        <v>92.27354</v>
      </c>
    </row>
    <row r="9" customFormat="false" ht="15" hidden="false" customHeight="false" outlineLevel="0" collapsed="false">
      <c r="A9" s="9" t="s">
        <v>57</v>
      </c>
      <c r="B9" s="11" t="n">
        <f aca="false">SUMIFS(D_COMBO1!$C$2:$C$233,D_COMBO1!$A$2:$A$233,"&gt;="&amp;D_COMBO1!$T$6)/D_COMBO1!$T$1*100</f>
        <v>142.0105525</v>
      </c>
      <c r="C9" s="11" t="n">
        <f aca="false">SUMIFS(D_COMBO2!$C$2:$C$233,D_COMBO2!$A$2:$A$233,"&gt;="&amp;D_COMBO2!$T$6)/D_COMBO2!$T$1*100</f>
        <v>142.0105525</v>
      </c>
      <c r="D9" s="11" t="n">
        <f aca="false">SUMIFS(D_COMBO3!$C$2:$C$249,D_COMBO3!$A$2:$A$249,"&gt;="&amp;D_COMBO3!$T$6)/D_COMBO3!$T$1*100</f>
        <v>146.585731764706</v>
      </c>
    </row>
    <row r="10" customFormat="false" ht="15" hidden="false" customHeight="false" outlineLevel="0" collapsed="false">
      <c r="A10" s="9" t="s">
        <v>58</v>
      </c>
      <c r="B10" s="11" t="n">
        <f aca="false">SUM(D_COMBO1!$C$2:$C$233)/D_COMBO1!$T$1*100</f>
        <v>142.0105525</v>
      </c>
      <c r="C10" s="11" t="n">
        <f aca="false">SUM(D_COMBO2!$C$2:$C$233)/D_COMBO2!$T$1*100</f>
        <v>142.0105525</v>
      </c>
      <c r="D10" s="11" t="n">
        <f aca="false">SUM(D_COMBO3!$C$2:$C$249)/D_COMBO3!$T$1*100</f>
        <v>146.585731764706</v>
      </c>
    </row>
    <row r="11" customFormat="false" ht="15" hidden="false" customHeight="false" outlineLevel="0" collapsed="false">
      <c r="A11" s="9" t="s">
        <v>59</v>
      </c>
      <c r="B11" s="17" t="n">
        <f aca="false">SUM(D_COMBO1!$C$2:$C$233)</f>
        <v>2272168.84</v>
      </c>
      <c r="C11" s="17" t="n">
        <f aca="false">SUM(D_COMBO2!$C$2:$C$233)</f>
        <v>2272168.84</v>
      </c>
      <c r="D11" s="17" t="n">
        <f aca="false">SUM(D_COMBO3!$C$2:$C$249)</f>
        <v>2491957.44</v>
      </c>
    </row>
    <row r="12" customFormat="false" ht="15" hidden="false" customHeight="false" outlineLevel="0" collapsed="false">
      <c r="A12" s="9" t="s">
        <v>28</v>
      </c>
      <c r="B12" s="11" t="n">
        <f aca="false">((1+SUM(D_COMBO1!$C$2:$C$233)/D_COMBO1!$T$1)^(365/(D_COMBO1!$T$2-D_COMBO1!$T$9))-1)*100</f>
        <v>144.999577331055</v>
      </c>
      <c r="C12" s="11" t="n">
        <f aca="false">((1+SUM(D_COMBO2!$C$2:$C$233)/D_COMBO2!$T$1)^(365/(D_COMBO2!$T$2-D_COMBO2!$T$9))-1)*100</f>
        <v>144.999577331055</v>
      </c>
      <c r="D12" s="11" t="n">
        <f aca="false">((1+SUM(D_COMBO3!$C$2:$C$249)/D_COMBO3!$T$1)^(365/(D_COMBO3!$T$2-D_COMBO3!$T$9))-1)*100</f>
        <v>147.197900756227</v>
      </c>
    </row>
    <row r="13" customFormat="false" ht="15" hidden="false" customHeight="false" outlineLevel="0" collapsed="false">
      <c r="A13" s="9" t="s">
        <v>60</v>
      </c>
      <c r="B13" s="11" t="n">
        <v>252.3</v>
      </c>
      <c r="C13" s="11" t="n">
        <v>252.3</v>
      </c>
      <c r="D13" s="11" t="n">
        <v>256</v>
      </c>
    </row>
    <row r="14" customFormat="false" ht="15" hidden="false" customHeight="false" outlineLevel="0" collapsed="false">
      <c r="A14" s="9" t="s">
        <v>61</v>
      </c>
      <c r="B14" s="11" t="n">
        <f aca="false">AVERAGE(D_COMBO1!$G$2:$G$233)</f>
        <v>-1.26160356142241</v>
      </c>
      <c r="C14" s="11" t="n">
        <f aca="false">AVERAGE(D_COMBO2!$G$2:$G$233)</f>
        <v>-1.26160356142241</v>
      </c>
      <c r="D14" s="11" t="n">
        <f aca="false">AVERAGE(D_COMBO3!$G$2:$G$249)</f>
        <v>-1.23500853178368</v>
      </c>
    </row>
    <row r="15" customFormat="false" ht="15" hidden="false" customHeight="false" outlineLevel="0" collapsed="false">
      <c r="A15" s="9" t="s">
        <v>27</v>
      </c>
      <c r="B15" s="11" t="n">
        <f aca="false">MIN(D_COMBO1!$G$2:$G$233)</f>
        <v>-8.3109575</v>
      </c>
      <c r="C15" s="11" t="n">
        <f aca="false">MIN(D_COMBO2!$G$2:$G$233)</f>
        <v>-8.3109575</v>
      </c>
      <c r="D15" s="11" t="n">
        <f aca="false">MIN(D_COMBO3!$G$2:$G$249)</f>
        <v>-9.3471688235294</v>
      </c>
    </row>
    <row r="16" customFormat="false" ht="15" hidden="false" customHeight="false" outlineLevel="0" collapsed="false">
      <c r="A16" s="9" t="s">
        <v>62</v>
      </c>
      <c r="B16" s="11" t="n">
        <f aca="false">COUNTIF(D_COMBO1!$C$2:$C$233,"&gt;0")/(COUNTIF(D_COMBO1!$C$2:$C$233,"&gt;0")+COUNTIF(D_COMBO1!$C$2:$C$233,"&lt;0"))*100</f>
        <v>60.7758620689655</v>
      </c>
      <c r="C16" s="11" t="n">
        <f aca="false">COUNTIF(D_COMBO2!$C$2:$C$233,"&gt;0")/(COUNTIF(D_COMBO2!$C$2:$C$233,"&gt;0")+COUNTIF(D_COMBO2!$C$2:$C$233,"&lt;0"))*100</f>
        <v>60.7758620689655</v>
      </c>
      <c r="D16" s="11" t="n">
        <f aca="false">COUNTIF(D_COMBO3!$C$2:$C$249,"&gt;0")/(COUNTIF(D_COMBO3!$C$2:$C$249,"&gt;0")+COUNTIF(D_COMBO3!$C$2:$C$249,"&lt;0"))*100</f>
        <v>61.6935483870968</v>
      </c>
    </row>
    <row r="17" customFormat="false" ht="15" hidden="false" customHeight="false" outlineLevel="0" collapsed="false">
      <c r="A17" s="9" t="s">
        <v>63</v>
      </c>
      <c r="B17" s="12" t="n">
        <f aca="false">AVERAGEIF(D_COMBO1!$C$2:$C$233,"&gt;0")/-AVERAGEIF(D_COMBO1!$C$2:$C$233,"&lt;0")</f>
        <v>1.34591957462276</v>
      </c>
      <c r="C17" s="12" t="n">
        <f aca="false">AVERAGEIF(D_COMBO2!$C$2:$C$233,"&gt;0")/-AVERAGEIF(D_COMBO2!$C$2:$C$233,"&lt;0")</f>
        <v>1.34591957462276</v>
      </c>
      <c r="D17" s="12" t="n">
        <f aca="false">AVERAGEIF(D_COMBO3!$C$2:$C$249,"&gt;0")/-AVERAGEIF(D_COMBO3!$C$2:$C$249,"&lt;0")</f>
        <v>1.32208958621204</v>
      </c>
    </row>
    <row r="18" customFormat="false" ht="15" hidden="false" customHeight="false" outlineLevel="0" collapsed="false">
      <c r="A18" s="9" t="s">
        <v>64</v>
      </c>
      <c r="B18" s="17" t="n">
        <f aca="false">AVERAGEIF(D_COMBO1!$C$2:$C$233,"&gt;0")</f>
        <v>30960.9419858156</v>
      </c>
      <c r="C18" s="17" t="n">
        <f aca="false">AVERAGEIF(D_COMBO2!$C$2:$C$233,"&gt;0")</f>
        <v>30960.9419858156</v>
      </c>
      <c r="D18" s="17" t="n">
        <f aca="false">AVERAGEIF(D_COMBO3!$C$2:$C$249,"&gt;0")</f>
        <v>30710.2907189543</v>
      </c>
    </row>
    <row r="19" customFormat="false" ht="15" hidden="false" customHeight="false" outlineLevel="0" collapsed="false">
      <c r="A19" s="9" t="s">
        <v>65</v>
      </c>
      <c r="B19" s="17" t="n">
        <f aca="false">AVERAGEIF(D_COMBO1!$C$2:$C$233,"&lt;0")</f>
        <v>-23003.5602197802</v>
      </c>
      <c r="C19" s="17" t="n">
        <f aca="false">AVERAGEIF(D_COMBO2!$C$2:$C$233,"&lt;0")</f>
        <v>-23003.5602197802</v>
      </c>
      <c r="D19" s="17" t="n">
        <f aca="false">AVERAGEIF(D_COMBO3!$C$2:$C$249,"&lt;0")</f>
        <v>-23228.6004210526</v>
      </c>
    </row>
    <row r="20" customFormat="false" ht="15" hidden="false" customHeight="false" outlineLevel="0" collapsed="false">
      <c r="A20" s="9" t="s">
        <v>66</v>
      </c>
      <c r="B20" s="18" t="n">
        <f aca="false">AVERAGEIF(D_COMBO1!$J$2:$J$233,"&gt;0")</f>
        <v>6.52173913043478</v>
      </c>
      <c r="C20" s="18" t="n">
        <f aca="false">AVERAGEIF(D_COMBO2!$J$2:$J$233,"&gt;0")</f>
        <v>6.52173913043478</v>
      </c>
      <c r="D20" s="18" t="n">
        <f aca="false">AVERAGEIF(D_COMBO3!$J$2:$J$249,"&gt;0")</f>
        <v>6.7906976744186</v>
      </c>
    </row>
    <row r="21" customFormat="false" ht="15" hidden="false" customHeight="false" outlineLevel="0" collapsed="false">
      <c r="A21" s="9" t="s">
        <v>67</v>
      </c>
      <c r="B21" s="18" t="n">
        <f aca="false">MAX(MAX(D_COMBO1!$J$2:$J$233),D_COMBO1!$T$7)</f>
        <v>25</v>
      </c>
      <c r="C21" s="18" t="n">
        <f aca="false">MAX(MAX(D_COMBO2!$J$2:$J$233),D_COMBO2!$T$7)</f>
        <v>25</v>
      </c>
      <c r="D21" s="18" t="n">
        <f aca="false">MAX(MAX(D_COMBO3!$J$2:$J$249),D_COMBO3!$T$7)</f>
        <v>23</v>
      </c>
    </row>
    <row r="23" customFormat="false" ht="15" hidden="false" customHeight="false" outlineLevel="0" collapsed="false">
      <c r="A23" s="2" t="s">
        <v>68</v>
      </c>
      <c r="B23" s="2"/>
      <c r="C23" s="2"/>
      <c r="D23" s="2"/>
    </row>
    <row r="24" customFormat="false" ht="15" hidden="false" customHeight="false" outlineLevel="0" collapsed="false">
      <c r="A24" s="8" t="s">
        <v>42</v>
      </c>
      <c r="B24" s="8" t="s">
        <v>30</v>
      </c>
      <c r="C24" s="8" t="s">
        <v>32</v>
      </c>
      <c r="D24" s="8" t="s">
        <v>33</v>
      </c>
    </row>
    <row r="25" customFormat="false" ht="15" hidden="false" customHeight="false" outlineLevel="0" collapsed="false">
      <c r="A25" s="9" t="s">
        <v>50</v>
      </c>
      <c r="B25" s="10" t="s">
        <v>88</v>
      </c>
      <c r="C25" s="10" t="s">
        <v>88</v>
      </c>
      <c r="D25" s="10" t="s">
        <v>88</v>
      </c>
    </row>
    <row r="26" customFormat="false" ht="15" hidden="false" customHeight="false" outlineLevel="0" collapsed="false">
      <c r="A26" s="9" t="s">
        <v>53</v>
      </c>
      <c r="B26" s="17" t="n">
        <f aca="false">D_COMBO1!$T$1</f>
        <v>1600000</v>
      </c>
      <c r="C26" s="17" t="n">
        <f aca="false">D_COMBO2!$T$1</f>
        <v>1600000</v>
      </c>
      <c r="D26" s="17" t="n">
        <f aca="false">D_COMBO3!$T$1</f>
        <v>1700000</v>
      </c>
    </row>
    <row r="27" customFormat="false" ht="15" hidden="false" customHeight="false" outlineLevel="0" collapsed="false">
      <c r="A27" s="9" t="s">
        <v>54</v>
      </c>
      <c r="B27" s="11" t="n">
        <f aca="false">SUMIFS(D_COMBO1!$K$2:$K$233,D_COMBO1!$A$2:$A$233,"&gt;="&amp;D_COMBO1!$T$3)/D_COMBO1!$T$1*100</f>
        <v>16.49009375</v>
      </c>
      <c r="C27" s="11" t="n">
        <f aca="false">SUMIFS(D_COMBO2!$K$2:$K$233,D_COMBO2!$A$2:$A$233,"&gt;="&amp;D_COMBO2!$T$3)/D_COMBO2!$T$1*100</f>
        <v>16.49009375</v>
      </c>
      <c r="D27" s="11" t="n">
        <f aca="false">SUMIFS(D_COMBO3!$K$2:$K$249,D_COMBO3!$A$2:$A$249,"&gt;="&amp;D_COMBO3!$T$3)/D_COMBO3!$T$1*100</f>
        <v>16.5873117647059</v>
      </c>
    </row>
    <row r="28" customFormat="false" ht="15" hidden="false" customHeight="false" outlineLevel="0" collapsed="false">
      <c r="A28" s="9" t="s">
        <v>55</v>
      </c>
      <c r="B28" s="11" t="n">
        <f aca="false">SUMIFS(D_COMBO1!$K$2:$K$233,D_COMBO1!$A$2:$A$233,"&gt;="&amp;D_COMBO1!$T$4)/D_COMBO1!$T$1*100</f>
        <v>59.382375</v>
      </c>
      <c r="C28" s="11" t="n">
        <f aca="false">SUMIFS(D_COMBO2!$K$2:$K$233,D_COMBO2!$A$2:$A$233,"&gt;="&amp;D_COMBO2!$T$4)/D_COMBO2!$T$1*100</f>
        <v>59.382375</v>
      </c>
      <c r="D28" s="11" t="n">
        <f aca="false">SUMIFS(D_COMBO3!$K$2:$K$249,D_COMBO3!$A$2:$A$249,"&gt;="&amp;D_COMBO3!$T$4)/D_COMBO3!$T$1*100</f>
        <v>57.71155</v>
      </c>
    </row>
    <row r="29" customFormat="false" ht="15" hidden="false" customHeight="false" outlineLevel="0" collapsed="false">
      <c r="A29" s="9" t="s">
        <v>56</v>
      </c>
      <c r="B29" s="11" t="n">
        <f aca="false">SUMIFS(D_COMBO1!$K$2:$K$233,D_COMBO1!$A$2:$A$233,"&gt;="&amp;D_COMBO1!$T$5)/D_COMBO1!$T$1*100</f>
        <v>112.076236875</v>
      </c>
      <c r="C29" s="11" t="n">
        <f aca="false">SUMIFS(D_COMBO2!$K$2:$K$233,D_COMBO2!$A$2:$A$233,"&gt;="&amp;D_COMBO2!$T$5)/D_COMBO2!$T$1*100</f>
        <v>112.076236875</v>
      </c>
      <c r="D29" s="11" t="n">
        <f aca="false">SUMIFS(D_COMBO3!$K$2:$K$249,D_COMBO3!$A$2:$A$249,"&gt;="&amp;D_COMBO3!$T$5)/D_COMBO3!$T$1*100</f>
        <v>112.141217058824</v>
      </c>
    </row>
    <row r="30" customFormat="false" ht="15" hidden="false" customHeight="false" outlineLevel="0" collapsed="false">
      <c r="A30" s="9" t="s">
        <v>57</v>
      </c>
      <c r="B30" s="11" t="n">
        <f aca="false">SUMIFS(D_COMBO1!$K$2:$K$233,D_COMBO1!$A$2:$A$233,"&gt;="&amp;D_COMBO1!$T$6)/D_COMBO1!$T$1*100</f>
        <v>164.380005</v>
      </c>
      <c r="C30" s="11" t="n">
        <f aca="false">SUMIFS(D_COMBO2!$K$2:$K$233,D_COMBO2!$A$2:$A$233,"&gt;="&amp;D_COMBO2!$T$6)/D_COMBO2!$T$1*100</f>
        <v>164.380005</v>
      </c>
      <c r="D30" s="11" t="n">
        <f aca="false">SUMIFS(D_COMBO3!$K$2:$K$249,D_COMBO3!$A$2:$A$249,"&gt;="&amp;D_COMBO3!$T$6)/D_COMBO3!$T$1*100</f>
        <v>168.677484117647</v>
      </c>
    </row>
    <row r="31" customFormat="false" ht="15" hidden="false" customHeight="false" outlineLevel="0" collapsed="false">
      <c r="A31" s="9" t="s">
        <v>58</v>
      </c>
      <c r="B31" s="11" t="n">
        <f aca="false">SUM(D_COMBO1!$K$2:$K$233)/D_COMBO1!$T$1*100</f>
        <v>164.380005</v>
      </c>
      <c r="C31" s="11" t="n">
        <f aca="false">SUM(D_COMBO2!$K$2:$K$233)/D_COMBO2!$T$1*100</f>
        <v>164.380005</v>
      </c>
      <c r="D31" s="11" t="n">
        <f aca="false">SUM(D_COMBO3!$K$2:$K$249)/D_COMBO3!$T$1*100</f>
        <v>168.677484117647</v>
      </c>
    </row>
    <row r="32" customFormat="false" ht="15" hidden="false" customHeight="false" outlineLevel="0" collapsed="false">
      <c r="A32" s="9" t="s">
        <v>59</v>
      </c>
      <c r="B32" s="17" t="n">
        <f aca="false">SUM(D_COMBO1!$K$2:$K$233)</f>
        <v>2630080.08</v>
      </c>
      <c r="C32" s="17" t="n">
        <f aca="false">SUM(D_COMBO2!$K$2:$K$233)</f>
        <v>2630080.08</v>
      </c>
      <c r="D32" s="17" t="n">
        <f aca="false">SUM(D_COMBO3!$K$2:$K$249)</f>
        <v>2867517.23</v>
      </c>
    </row>
    <row r="33" customFormat="false" ht="15" hidden="false" customHeight="false" outlineLevel="0" collapsed="false">
      <c r="A33" s="9" t="s">
        <v>28</v>
      </c>
      <c r="B33" s="11" t="n">
        <f aca="false">((1+SUM(D_COMBO1!$K$2:$K$233)/D_COMBO1!$T$1)^(365/(D_COMBO1!$T$2-D_COMBO1!$T$9))-1)*100</f>
        <v>167.974144215969</v>
      </c>
      <c r="C33" s="11" t="n">
        <f aca="false">((1+SUM(D_COMBO2!$K$2:$K$233)/D_COMBO2!$T$1)^(365/(D_COMBO2!$T$2-D_COMBO2!$T$9))-1)*100</f>
        <v>167.974144215969</v>
      </c>
      <c r="D33" s="11" t="n">
        <f aca="false">((1+SUM(D_COMBO3!$K$2:$K$249)/D_COMBO3!$T$1)^(365/(D_COMBO3!$T$2-D_COMBO3!$T$9))-1)*100</f>
        <v>169.407994968214</v>
      </c>
    </row>
    <row r="34" customFormat="false" ht="15" hidden="false" customHeight="false" outlineLevel="0" collapsed="false">
      <c r="A34" s="9" t="s">
        <v>60</v>
      </c>
      <c r="B34" s="11" t="n">
        <v>299.9</v>
      </c>
      <c r="C34" s="11" t="n">
        <v>299.9</v>
      </c>
      <c r="D34" s="11" t="n">
        <v>304.8</v>
      </c>
    </row>
    <row r="35" customFormat="false" ht="15" hidden="false" customHeight="false" outlineLevel="0" collapsed="false">
      <c r="A35" s="9" t="s">
        <v>61</v>
      </c>
      <c r="B35" s="11" t="n">
        <f aca="false">AVERAGE(D_COMBO1!$N$2:$N$233)</f>
        <v>-1.11559254579741</v>
      </c>
      <c r="C35" s="11" t="n">
        <f aca="false">AVERAGE(D_COMBO2!$N$2:$N$233)</f>
        <v>-1.11559254579741</v>
      </c>
      <c r="D35" s="11" t="n">
        <f aca="false">AVERAGE(D_COMBO3!$N$2:$N$249)</f>
        <v>-1.03228449003795</v>
      </c>
    </row>
    <row r="36" customFormat="false" ht="15" hidden="false" customHeight="false" outlineLevel="0" collapsed="false">
      <c r="A36" s="9" t="s">
        <v>27</v>
      </c>
      <c r="B36" s="11" t="n">
        <f aca="false">MIN(D_COMBO1!$N$2:$N$233)</f>
        <v>-7.53268749999998</v>
      </c>
      <c r="C36" s="11" t="n">
        <f aca="false">MIN(D_COMBO2!$N$2:$N$233)</f>
        <v>-7.53268749999998</v>
      </c>
      <c r="D36" s="11" t="n">
        <f aca="false">MIN(D_COMBO3!$N$2:$N$249)</f>
        <v>-7.78917941176471</v>
      </c>
    </row>
    <row r="37" customFormat="false" ht="15" hidden="false" customHeight="false" outlineLevel="0" collapsed="false">
      <c r="A37" s="9" t="s">
        <v>62</v>
      </c>
      <c r="B37" s="11" t="n">
        <f aca="false">COUNTIF(D_COMBO1!$K$2:$K$233,"&gt;0")/(COUNTIF(D_COMBO1!$K$2:$K$233,"&gt;0")+COUNTIF(D_COMBO1!$K$2:$K$233,"&lt;0"))*100</f>
        <v>64.7058823529412</v>
      </c>
      <c r="C37" s="11" t="n">
        <f aca="false">COUNTIF(D_COMBO2!$K$2:$K$233,"&gt;0")/(COUNTIF(D_COMBO2!$K$2:$K$233,"&gt;0")+COUNTIF(D_COMBO2!$K$2:$K$233,"&lt;0"))*100</f>
        <v>64.7058823529412</v>
      </c>
      <c r="D37" s="11" t="n">
        <f aca="false">COUNTIF(D_COMBO3!$K$2:$K$249,"&gt;0")/(COUNTIF(D_COMBO3!$K$2:$K$249,"&gt;0")+COUNTIF(D_COMBO3!$K$2:$K$249,"&lt;0"))*100</f>
        <v>65.6565656565657</v>
      </c>
    </row>
    <row r="38" customFormat="false" ht="15" hidden="false" customHeight="false" outlineLevel="0" collapsed="false">
      <c r="A38" s="9" t="s">
        <v>63</v>
      </c>
      <c r="B38" s="12" t="n">
        <f aca="false">AVERAGEIF(D_COMBO1!$K$2:$K$233,"&gt;0")/-AVERAGEIF(D_COMBO1!$K$2:$K$233,"&lt;0")</f>
        <v>1.49618444397085</v>
      </c>
      <c r="C38" s="12" t="n">
        <f aca="false">AVERAGEIF(D_COMBO2!$K$2:$K$233,"&gt;0")/-AVERAGEIF(D_COMBO2!$K$2:$K$233,"&lt;0")</f>
        <v>1.49618444397085</v>
      </c>
      <c r="D38" s="12" t="n">
        <f aca="false">AVERAGEIF(D_COMBO3!$K$2:$K$249,"&gt;0")/-AVERAGEIF(D_COMBO3!$K$2:$K$249,"&lt;0")</f>
        <v>1.46872524149999</v>
      </c>
    </row>
    <row r="39" customFormat="false" ht="15" hidden="false" customHeight="false" outlineLevel="0" collapsed="false">
      <c r="A39" s="9" t="s">
        <v>64</v>
      </c>
      <c r="B39" s="17" t="n">
        <f aca="false">AVERAGEIF(D_COMBO1!$K$2:$K$233,"&gt;0")</f>
        <v>34206.7319834711</v>
      </c>
      <c r="C39" s="17" t="n">
        <f aca="false">AVERAGEIF(D_COMBO2!$K$2:$K$233,"&gt;0")</f>
        <v>34206.7319834711</v>
      </c>
      <c r="D39" s="17" t="n">
        <f aca="false">AVERAGEIF(D_COMBO3!$K$2:$K$249,"&gt;0")</f>
        <v>34258.9136923077</v>
      </c>
    </row>
    <row r="40" customFormat="false" ht="15" hidden="false" customHeight="false" outlineLevel="0" collapsed="false">
      <c r="A40" s="9" t="s">
        <v>65</v>
      </c>
      <c r="B40" s="17" t="n">
        <f aca="false">AVERAGEIF(D_COMBO1!$K$2:$K$233,"&lt;0")</f>
        <v>-22862.6437878788</v>
      </c>
      <c r="C40" s="17" t="n">
        <f aca="false">AVERAGEIF(D_COMBO2!$K$2:$K$233,"&lt;0")</f>
        <v>-22862.6437878788</v>
      </c>
      <c r="D40" s="17" t="n">
        <f aca="false">AVERAGEIF(D_COMBO3!$K$2:$K$249,"&lt;0")</f>
        <v>-23325.6110294118</v>
      </c>
    </row>
    <row r="41" customFormat="false" ht="15" hidden="false" customHeight="false" outlineLevel="0" collapsed="false">
      <c r="A41" s="9" t="s">
        <v>66</v>
      </c>
      <c r="B41" s="18" t="n">
        <f aca="false">AVERAGEIF(D_COMBO1!$Q$2:$Q$233,"&gt;0")</f>
        <v>6.66666666666667</v>
      </c>
      <c r="C41" s="18" t="n">
        <f aca="false">AVERAGEIF(D_COMBO2!$Q$2:$Q$233,"&gt;0")</f>
        <v>6.66666666666667</v>
      </c>
      <c r="D41" s="18" t="n">
        <f aca="false">AVERAGEIF(D_COMBO3!$Q$2:$Q$249,"&gt;0")</f>
        <v>7.22222222222222</v>
      </c>
    </row>
    <row r="42" customFormat="false" ht="15" hidden="false" customHeight="false" outlineLevel="0" collapsed="false">
      <c r="A42" s="9" t="s">
        <v>67</v>
      </c>
      <c r="B42" s="18" t="n">
        <f aca="false">MAX(MAX(D_COMBO1!$Q$2:$Q$233),D_COMBO1!$T$8)</f>
        <v>38</v>
      </c>
      <c r="C42" s="18" t="n">
        <f aca="false">MAX(MAX(D_COMBO2!$Q$2:$Q$233),D_COMBO2!$T$8)</f>
        <v>38</v>
      </c>
      <c r="D42" s="18" t="n">
        <f aca="false">MAX(MAX(D_COMBO3!$Q$2:$Q$249),D_COMBO3!$T$8)</f>
        <v>31</v>
      </c>
    </row>
    <row r="44" customFormat="false" ht="13.5" hidden="false" customHeight="true" outlineLevel="0" collapsed="false">
      <c r="A44" s="15" t="s">
        <v>89</v>
      </c>
      <c r="B44" s="15"/>
      <c r="C44" s="15"/>
      <c r="D44" s="15"/>
    </row>
  </sheetData>
  <mergeCells count="4">
    <mergeCell ref="A1:D1"/>
    <mergeCell ref="A2:D2"/>
    <mergeCell ref="A23:D23"/>
    <mergeCell ref="A44:D44"/>
  </mergeCells>
  <conditionalFormatting sqref="B6:D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7:D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B8:D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B9:D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B10:D10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B11:D11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B12:D12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B13:D13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B14:D14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B15:D15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B18:D18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B19:D19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B27:D27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B28:D28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B29:D29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B30:D30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B31:D31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B32:D32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B33:D33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B34:D34"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B35:D35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B36:D36"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B39:D39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B40:D40"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5"/>
  </cols>
  <sheetData>
    <row r="1" customFormat="false" ht="21.75" hidden="false" customHeight="true" outlineLevel="0" collapsed="false">
      <c r="A1" s="16" t="s">
        <v>90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" t="s">
        <v>30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</row>
    <row r="5" customFormat="false" ht="15" hidden="false" customHeight="false" outlineLevel="0" collapsed="false">
      <c r="A5" s="19" t="s">
        <v>79</v>
      </c>
      <c r="B5" s="11" t="n">
        <f aca="false">IFERROR(COUNTIFS(D_COMBO1!$B$2:$B$233,"Monday",D_COMBO1!$C$2:$C$233,"&gt;0")/(COUNTIFS(D_COMBO1!$B$2:$B$233,"Monday",D_COMBO1!$C$2:$C$233,"&gt;0")+COUNTIFS(D_COMBO1!$B$2:$B$233,"Monday",D_COMBO1!$C$2:$C$233,"&lt;0"))*100,0)</f>
        <v>54.9019607843137</v>
      </c>
      <c r="C5" s="17" t="n">
        <f aca="false">IFERROR(AVERAGEIFS(D_COMBO1!$C$2:$C$233,D_COMBO1!$B$2:$B$233,"Monday",D_COMBO1!$C$2:$C$233,"&gt;0"),0)</f>
        <v>34434.9292857143</v>
      </c>
      <c r="D5" s="17" t="n">
        <f aca="false" t="array" ref="D5:D5">MAX(IF(D_COMBO1!$B$2:$B$233="Monday",D_COMBO1!$C$2:$C$233))</f>
        <v>80707.25</v>
      </c>
      <c r="E5" s="17" t="n">
        <f aca="false">IFERROR(AVERAGEIFS(D_COMBO1!$C$2:$C$233,D_COMBO1!$B$2:$B$233,"Monday",D_COMBO1!$C$2:$C$233,"&lt;0"),0)</f>
        <v>-21439.2795652174</v>
      </c>
      <c r="F5" s="17" t="n">
        <f aca="false" t="array" ref="F5:F5">MIN(IF(D_COMBO1!$B$2:$B$233="Monday",D_COMBO1!$C$2:$C$233))</f>
        <v>-110740.5</v>
      </c>
      <c r="G5" s="17" t="n">
        <f aca="false">SUMIFS(D_COMBO1!$C$2:$C$233,D_COMBO1!$B$2:$B$233,"Monday")</f>
        <v>471074.59</v>
      </c>
      <c r="H5" s="20" t="n">
        <f aca="false">COUNTIF(D_COMBO1!$B$2:$B$233,"Monday")</f>
        <v>51</v>
      </c>
    </row>
    <row r="6" customFormat="false" ht="15" hidden="false" customHeight="false" outlineLevel="0" collapsed="false">
      <c r="A6" s="19" t="s">
        <v>80</v>
      </c>
      <c r="B6" s="11" t="n">
        <f aca="false">IFERROR(COUNTIFS(D_COMBO1!$B$2:$B$233,"Tuesday",D_COMBO1!$C$2:$C$233,"&gt;0")/(COUNTIFS(D_COMBO1!$B$2:$B$233,"Tuesday",D_COMBO1!$C$2:$C$233,"&gt;0")+COUNTIFS(D_COMBO1!$B$2:$B$233,"Tuesday",D_COMBO1!$C$2:$C$233,"&lt;0"))*100,0)</f>
        <v>76.7441860465116</v>
      </c>
      <c r="C6" s="17" t="n">
        <f aca="false">IFERROR(AVERAGEIFS(D_COMBO1!$C$2:$C$233,D_COMBO1!$B$2:$B$233,"Tuesday",D_COMBO1!$C$2:$C$233,"&gt;0"),0)</f>
        <v>43400.5872727273</v>
      </c>
      <c r="D6" s="17" t="n">
        <f aca="false" t="array" ref="D6:D6">MAX(IF(D_COMBO1!$B$2:$B$233="Tuesday",D_COMBO1!$C$2:$C$233))</f>
        <v>116109.5</v>
      </c>
      <c r="E6" s="17" t="n">
        <f aca="false">IFERROR(AVERAGEIFS(D_COMBO1!$C$2:$C$233,D_COMBO1!$B$2:$B$233,"Tuesday",D_COMBO1!$C$2:$C$233,"&lt;0"),0)</f>
        <v>-16486.016</v>
      </c>
      <c r="F6" s="17" t="n">
        <f aca="false" t="array" ref="F6:F6">MIN(IF(D_COMBO1!$B$2:$B$233="Tuesday",D_COMBO1!$C$2:$C$233))</f>
        <v>-26783.7</v>
      </c>
      <c r="G6" s="17" t="n">
        <f aca="false">SUMIFS(D_COMBO1!$C$2:$C$233,D_COMBO1!$B$2:$B$233,"Tuesday")</f>
        <v>1267359.22</v>
      </c>
      <c r="H6" s="20" t="n">
        <f aca="false">COUNTIF(D_COMBO1!$B$2:$B$233,"Tuesday")</f>
        <v>43</v>
      </c>
    </row>
    <row r="7" customFormat="false" ht="15" hidden="false" customHeight="false" outlineLevel="0" collapsed="false">
      <c r="A7" s="19" t="s">
        <v>81</v>
      </c>
      <c r="B7" s="11" t="n">
        <f aca="false">IFERROR(COUNTIFS(D_COMBO1!$B$2:$B$233,"Wednesday",D_COMBO1!$C$2:$C$233,"&gt;0")/(COUNTIFS(D_COMBO1!$B$2:$B$233,"Wednesday",D_COMBO1!$C$2:$C$233,"&gt;0")+COUNTIFS(D_COMBO1!$B$2:$B$233,"Wednesday",D_COMBO1!$C$2:$C$233,"&lt;0"))*100,0)</f>
        <v>44.4444444444444</v>
      </c>
      <c r="C7" s="17" t="n">
        <f aca="false">IFERROR(AVERAGEIFS(D_COMBO1!$C$2:$C$233,D_COMBO1!$B$2:$B$233,"Wednesday",D_COMBO1!$C$2:$C$233,"&gt;0"),0)</f>
        <v>11323.9125</v>
      </c>
      <c r="D7" s="17" t="n">
        <f aca="false" t="array" ref="D7:D7">MAX(IF(D_COMBO1!$B$2:$B$233="Wednesday",D_COMBO1!$C$2:$C$233))</f>
        <v>47388.37</v>
      </c>
      <c r="E7" s="17" t="n">
        <f aca="false">IFERROR(AVERAGEIFS(D_COMBO1!$C$2:$C$233,D_COMBO1!$B$2:$B$233,"Wednesday",D_COMBO1!$C$2:$C$233,"&lt;0"),0)</f>
        <v>-23375.5796</v>
      </c>
      <c r="F7" s="17" t="n">
        <f aca="false" t="array" ref="F7:F7">MIN(IF(D_COMBO1!$B$2:$B$233="Wednesday",D_COMBO1!$C$2:$C$233))</f>
        <v>-104874.95</v>
      </c>
      <c r="G7" s="17" t="n">
        <f aca="false">SUMIFS(D_COMBO1!$C$2:$C$233,D_COMBO1!$B$2:$B$233,"Wednesday")</f>
        <v>-357911.24</v>
      </c>
      <c r="H7" s="20" t="n">
        <f aca="false">COUNTIF(D_COMBO1!$B$2:$B$233,"Wednesday")</f>
        <v>45</v>
      </c>
    </row>
    <row r="8" customFormat="false" ht="15" hidden="false" customHeight="false" outlineLevel="0" collapsed="false">
      <c r="A8" s="19" t="s">
        <v>82</v>
      </c>
      <c r="B8" s="11" t="n">
        <f aca="false">IFERROR(COUNTIFS(D_COMBO1!$B$2:$B$233,"Thursday",D_COMBO1!$C$2:$C$233,"&gt;0")/(COUNTIFS(D_COMBO1!$B$2:$B$233,"Thursday",D_COMBO1!$C$2:$C$233,"&gt;0")+COUNTIFS(D_COMBO1!$B$2:$B$233,"Thursday",D_COMBO1!$C$2:$C$233,"&lt;0"))*100,0)</f>
        <v>73.9130434782609</v>
      </c>
      <c r="C8" s="17" t="n">
        <f aca="false">IFERROR(AVERAGEIFS(D_COMBO1!$C$2:$C$233,D_COMBO1!$B$2:$B$233,"Thursday",D_COMBO1!$C$2:$C$233,"&gt;0"),0)</f>
        <v>30598.1832352941</v>
      </c>
      <c r="D8" s="17" t="n">
        <f aca="false" t="array" ref="D8:D8">MAX(IF(D_COMBO1!$B$2:$B$233="Thursday",D_COMBO1!$C$2:$C$233))</f>
        <v>80093</v>
      </c>
      <c r="E8" s="17" t="n">
        <f aca="false">IFERROR(AVERAGEIFS(D_COMBO1!$C$2:$C$233,D_COMBO1!$B$2:$B$233,"Thursday",D_COMBO1!$C$2:$C$233,"&lt;0"),0)</f>
        <v>-27163.2441666667</v>
      </c>
      <c r="F8" s="17" t="n">
        <f aca="false" t="array" ref="F8:F8">MIN(IF(D_COMBO1!$B$2:$B$233="Thursday",D_COMBO1!$C$2:$C$233))</f>
        <v>-63389.12</v>
      </c>
      <c r="G8" s="17" t="n">
        <f aca="false">SUMIFS(D_COMBO1!$C$2:$C$233,D_COMBO1!$B$2:$B$233,"Thursday")</f>
        <v>714379.3</v>
      </c>
      <c r="H8" s="20" t="n">
        <f aca="false">COUNTIF(D_COMBO1!$B$2:$B$233,"Thursday")</f>
        <v>46</v>
      </c>
    </row>
    <row r="9" customFormat="false" ht="15" hidden="false" customHeight="false" outlineLevel="0" collapsed="false">
      <c r="A9" s="19" t="s">
        <v>83</v>
      </c>
      <c r="B9" s="11" t="n">
        <f aca="false">IFERROR(COUNTIFS(D_COMBO1!$B$2:$B$233,"Friday",D_COMBO1!$C$2:$C$233,"&gt;0")/(COUNTIFS(D_COMBO1!$B$2:$B$233,"Friday",D_COMBO1!$C$2:$C$233,"&gt;0")+COUNTIFS(D_COMBO1!$B$2:$B$233,"Friday",D_COMBO1!$C$2:$C$233,"&lt;0"))*100,0)</f>
        <v>55.5555555555556</v>
      </c>
      <c r="C9" s="17" t="n">
        <f aca="false">IFERROR(AVERAGEIFS(D_COMBO1!$C$2:$C$233,D_COMBO1!$B$2:$B$233,"Friday",D_COMBO1!$C$2:$C$233,"&gt;0"),0)</f>
        <v>27256.3696</v>
      </c>
      <c r="D9" s="17" t="n">
        <f aca="false" t="array" ref="D9:D9">MAX(IF(D_COMBO1!$B$2:$B$233="Friday",D_COMBO1!$C$2:$C$233))</f>
        <v>139664.37</v>
      </c>
      <c r="E9" s="17" t="n">
        <f aca="false">IFERROR(AVERAGEIFS(D_COMBO1!$C$2:$C$233,D_COMBO1!$B$2:$B$233,"Friday",D_COMBO1!$C$2:$C$233,"&lt;0"),0)</f>
        <v>-23404.428</v>
      </c>
      <c r="F9" s="17" t="n">
        <f aca="false" t="array" ref="F9:F9">MIN(IF(D_COMBO1!$B$2:$B$233="Friday",D_COMBO1!$C$2:$C$233))</f>
        <v>-96417.87</v>
      </c>
      <c r="G9" s="17" t="n">
        <f aca="false">SUMIFS(D_COMBO1!$C$2:$C$233,D_COMBO1!$B$2:$B$233,"Friday")</f>
        <v>213320.68</v>
      </c>
      <c r="H9" s="20" t="n">
        <f aca="false">COUNTIF(D_COMBO1!$B$2:$B$233,"Friday")</f>
        <v>45</v>
      </c>
    </row>
    <row r="10" customFormat="false" ht="15" hidden="false" customHeight="false" outlineLevel="0" collapsed="false">
      <c r="A10" s="21" t="s">
        <v>84</v>
      </c>
      <c r="B10" s="22" t="str">
        <f aca="false">INDEX($A$5:$A$9,MATCH(MAX($G$5:$G$9),$G$5:$G$9,0))</f>
        <v>Tuesday</v>
      </c>
      <c r="D10" s="21" t="s">
        <v>85</v>
      </c>
      <c r="E10" s="22" t="str">
        <f aca="false">INDEX($A$5:$A$9,MATCH(MAX($G$5:$G$6,$G$8:$G$9),$G$5:$G$9,0))</f>
        <v>Tuesday</v>
      </c>
    </row>
    <row r="12" customFormat="false" ht="15" hidden="false" customHeight="false" outlineLevel="0" collapsed="false">
      <c r="A12" s="2" t="s">
        <v>32</v>
      </c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8" t="s">
        <v>71</v>
      </c>
      <c r="B13" s="8" t="s">
        <v>72</v>
      </c>
      <c r="C13" s="8" t="s">
        <v>73</v>
      </c>
      <c r="D13" s="8" t="s">
        <v>74</v>
      </c>
      <c r="E13" s="8" t="s">
        <v>75</v>
      </c>
      <c r="F13" s="8" t="s">
        <v>76</v>
      </c>
      <c r="G13" s="8" t="s">
        <v>77</v>
      </c>
      <c r="H13" s="8" t="s">
        <v>78</v>
      </c>
    </row>
    <row r="14" customFormat="false" ht="15" hidden="false" customHeight="false" outlineLevel="0" collapsed="false">
      <c r="A14" s="19" t="s">
        <v>79</v>
      </c>
      <c r="B14" s="11" t="n">
        <f aca="false">IFERROR(COUNTIFS(D_COMBO2!$B$2:$B$233,"Monday",D_COMBO2!$C$2:$C$233,"&gt;0")/(COUNTIFS(D_COMBO2!$B$2:$B$233,"Monday",D_COMBO2!$C$2:$C$233,"&gt;0")+COUNTIFS(D_COMBO2!$B$2:$B$233,"Monday",D_COMBO2!$C$2:$C$233,"&lt;0"))*100,0)</f>
        <v>54.9019607843137</v>
      </c>
      <c r="C14" s="17" t="n">
        <f aca="false">IFERROR(AVERAGEIFS(D_COMBO2!$C$2:$C$233,D_COMBO2!$B$2:$B$233,"Monday",D_COMBO2!$C$2:$C$233,"&gt;0"),0)</f>
        <v>34434.9292857143</v>
      </c>
      <c r="D14" s="17" t="n">
        <f aca="false" t="array" ref="D14:D14">MAX(IF(D_COMBO2!$B$2:$B$233="Monday",D_COMBO2!$C$2:$C$233))</f>
        <v>80707.25</v>
      </c>
      <c r="E14" s="17" t="n">
        <f aca="false">IFERROR(AVERAGEIFS(D_COMBO2!$C$2:$C$233,D_COMBO2!$B$2:$B$233,"Monday",D_COMBO2!$C$2:$C$233,"&lt;0"),0)</f>
        <v>-21439.2795652174</v>
      </c>
      <c r="F14" s="17" t="n">
        <f aca="false" t="array" ref="F14:F14">MIN(IF(D_COMBO2!$B$2:$B$233="Monday",D_COMBO2!$C$2:$C$233))</f>
        <v>-110740.5</v>
      </c>
      <c r="G14" s="17" t="n">
        <f aca="false">SUMIFS(D_COMBO2!$C$2:$C$233,D_COMBO2!$B$2:$B$233,"Monday")</f>
        <v>471074.59</v>
      </c>
      <c r="H14" s="20" t="n">
        <f aca="false">COUNTIF(D_COMBO2!$B$2:$B$233,"Monday")</f>
        <v>51</v>
      </c>
    </row>
    <row r="15" customFormat="false" ht="15" hidden="false" customHeight="false" outlineLevel="0" collapsed="false">
      <c r="A15" s="19" t="s">
        <v>80</v>
      </c>
      <c r="B15" s="11" t="n">
        <f aca="false">IFERROR(COUNTIFS(D_COMBO2!$B$2:$B$233,"Tuesday",D_COMBO2!$C$2:$C$233,"&gt;0")/(COUNTIFS(D_COMBO2!$B$2:$B$233,"Tuesday",D_COMBO2!$C$2:$C$233,"&gt;0")+COUNTIFS(D_COMBO2!$B$2:$B$233,"Tuesday",D_COMBO2!$C$2:$C$233,"&lt;0"))*100,0)</f>
        <v>76.7441860465116</v>
      </c>
      <c r="C15" s="17" t="n">
        <f aca="false">IFERROR(AVERAGEIFS(D_COMBO2!$C$2:$C$233,D_COMBO2!$B$2:$B$233,"Tuesday",D_COMBO2!$C$2:$C$233,"&gt;0"),0)</f>
        <v>43400.5872727273</v>
      </c>
      <c r="D15" s="17" t="n">
        <f aca="false" t="array" ref="D15:D15">MAX(IF(D_COMBO2!$B$2:$B$233="Tuesday",D_COMBO2!$C$2:$C$233))</f>
        <v>116109.5</v>
      </c>
      <c r="E15" s="17" t="n">
        <f aca="false">IFERROR(AVERAGEIFS(D_COMBO2!$C$2:$C$233,D_COMBO2!$B$2:$B$233,"Tuesday",D_COMBO2!$C$2:$C$233,"&lt;0"),0)</f>
        <v>-16486.016</v>
      </c>
      <c r="F15" s="17" t="n">
        <f aca="false" t="array" ref="F15:F15">MIN(IF(D_COMBO2!$B$2:$B$233="Tuesday",D_COMBO2!$C$2:$C$233))</f>
        <v>-26783.7</v>
      </c>
      <c r="G15" s="17" t="n">
        <f aca="false">SUMIFS(D_COMBO2!$C$2:$C$233,D_COMBO2!$B$2:$B$233,"Tuesday")</f>
        <v>1267359.22</v>
      </c>
      <c r="H15" s="20" t="n">
        <f aca="false">COUNTIF(D_COMBO2!$B$2:$B$233,"Tuesday")</f>
        <v>43</v>
      </c>
    </row>
    <row r="16" customFormat="false" ht="15" hidden="false" customHeight="false" outlineLevel="0" collapsed="false">
      <c r="A16" s="19" t="s">
        <v>81</v>
      </c>
      <c r="B16" s="11" t="n">
        <f aca="false">IFERROR(COUNTIFS(D_COMBO2!$B$2:$B$233,"Wednesday",D_COMBO2!$C$2:$C$233,"&gt;0")/(COUNTIFS(D_COMBO2!$B$2:$B$233,"Wednesday",D_COMBO2!$C$2:$C$233,"&gt;0")+COUNTIFS(D_COMBO2!$B$2:$B$233,"Wednesday",D_COMBO2!$C$2:$C$233,"&lt;0"))*100,0)</f>
        <v>44.4444444444444</v>
      </c>
      <c r="C16" s="17" t="n">
        <f aca="false">IFERROR(AVERAGEIFS(D_COMBO2!$C$2:$C$233,D_COMBO2!$B$2:$B$233,"Wednesday",D_COMBO2!$C$2:$C$233,"&gt;0"),0)</f>
        <v>11323.9125</v>
      </c>
      <c r="D16" s="17" t="n">
        <f aca="false" t="array" ref="D16:D16">MAX(IF(D_COMBO2!$B$2:$B$233="Wednesday",D_COMBO2!$C$2:$C$233))</f>
        <v>47388.37</v>
      </c>
      <c r="E16" s="17" t="n">
        <f aca="false">IFERROR(AVERAGEIFS(D_COMBO2!$C$2:$C$233,D_COMBO2!$B$2:$B$233,"Wednesday",D_COMBO2!$C$2:$C$233,"&lt;0"),0)</f>
        <v>-23375.5796</v>
      </c>
      <c r="F16" s="17" t="n">
        <f aca="false" t="array" ref="F16:F16">MIN(IF(D_COMBO2!$B$2:$B$233="Wednesday",D_COMBO2!$C$2:$C$233))</f>
        <v>-104874.95</v>
      </c>
      <c r="G16" s="17" t="n">
        <f aca="false">SUMIFS(D_COMBO2!$C$2:$C$233,D_COMBO2!$B$2:$B$233,"Wednesday")</f>
        <v>-357911.24</v>
      </c>
      <c r="H16" s="20" t="n">
        <f aca="false">COUNTIF(D_COMBO2!$B$2:$B$233,"Wednesday")</f>
        <v>45</v>
      </c>
    </row>
    <row r="17" customFormat="false" ht="15" hidden="false" customHeight="false" outlineLevel="0" collapsed="false">
      <c r="A17" s="19" t="s">
        <v>82</v>
      </c>
      <c r="B17" s="11" t="n">
        <f aca="false">IFERROR(COUNTIFS(D_COMBO2!$B$2:$B$233,"Thursday",D_COMBO2!$C$2:$C$233,"&gt;0")/(COUNTIFS(D_COMBO2!$B$2:$B$233,"Thursday",D_COMBO2!$C$2:$C$233,"&gt;0")+COUNTIFS(D_COMBO2!$B$2:$B$233,"Thursday",D_COMBO2!$C$2:$C$233,"&lt;0"))*100,0)</f>
        <v>73.9130434782609</v>
      </c>
      <c r="C17" s="17" t="n">
        <f aca="false">IFERROR(AVERAGEIFS(D_COMBO2!$C$2:$C$233,D_COMBO2!$B$2:$B$233,"Thursday",D_COMBO2!$C$2:$C$233,"&gt;0"),0)</f>
        <v>30598.1832352941</v>
      </c>
      <c r="D17" s="17" t="n">
        <f aca="false" t="array" ref="D17:D17">MAX(IF(D_COMBO2!$B$2:$B$233="Thursday",D_COMBO2!$C$2:$C$233))</f>
        <v>80093</v>
      </c>
      <c r="E17" s="17" t="n">
        <f aca="false">IFERROR(AVERAGEIFS(D_COMBO2!$C$2:$C$233,D_COMBO2!$B$2:$B$233,"Thursday",D_COMBO2!$C$2:$C$233,"&lt;0"),0)</f>
        <v>-27163.2441666667</v>
      </c>
      <c r="F17" s="17" t="n">
        <f aca="false" t="array" ref="F17:F17">MIN(IF(D_COMBO2!$B$2:$B$233="Thursday",D_COMBO2!$C$2:$C$233))</f>
        <v>-63389.12</v>
      </c>
      <c r="G17" s="17" t="n">
        <f aca="false">SUMIFS(D_COMBO2!$C$2:$C$233,D_COMBO2!$B$2:$B$233,"Thursday")</f>
        <v>714379.3</v>
      </c>
      <c r="H17" s="20" t="n">
        <f aca="false">COUNTIF(D_COMBO2!$B$2:$B$233,"Thursday")</f>
        <v>46</v>
      </c>
    </row>
    <row r="18" customFormat="false" ht="15" hidden="false" customHeight="false" outlineLevel="0" collapsed="false">
      <c r="A18" s="19" t="s">
        <v>83</v>
      </c>
      <c r="B18" s="11" t="n">
        <f aca="false">IFERROR(COUNTIFS(D_COMBO2!$B$2:$B$233,"Friday",D_COMBO2!$C$2:$C$233,"&gt;0")/(COUNTIFS(D_COMBO2!$B$2:$B$233,"Friday",D_COMBO2!$C$2:$C$233,"&gt;0")+COUNTIFS(D_COMBO2!$B$2:$B$233,"Friday",D_COMBO2!$C$2:$C$233,"&lt;0"))*100,0)</f>
        <v>55.5555555555556</v>
      </c>
      <c r="C18" s="17" t="n">
        <f aca="false">IFERROR(AVERAGEIFS(D_COMBO2!$C$2:$C$233,D_COMBO2!$B$2:$B$233,"Friday",D_COMBO2!$C$2:$C$233,"&gt;0"),0)</f>
        <v>27256.3696</v>
      </c>
      <c r="D18" s="17" t="n">
        <f aca="false" t="array" ref="D18:D18">MAX(IF(D_COMBO2!$B$2:$B$233="Friday",D_COMBO2!$C$2:$C$233))</f>
        <v>139664.37</v>
      </c>
      <c r="E18" s="17" t="n">
        <f aca="false">IFERROR(AVERAGEIFS(D_COMBO2!$C$2:$C$233,D_COMBO2!$B$2:$B$233,"Friday",D_COMBO2!$C$2:$C$233,"&lt;0"),0)</f>
        <v>-23404.428</v>
      </c>
      <c r="F18" s="17" t="n">
        <f aca="false" t="array" ref="F18:F18">MIN(IF(D_COMBO2!$B$2:$B$233="Friday",D_COMBO2!$C$2:$C$233))</f>
        <v>-96417.87</v>
      </c>
      <c r="G18" s="17" t="n">
        <f aca="false">SUMIFS(D_COMBO2!$C$2:$C$233,D_COMBO2!$B$2:$B$233,"Friday")</f>
        <v>213320.68</v>
      </c>
      <c r="H18" s="20" t="n">
        <f aca="false">COUNTIF(D_COMBO2!$B$2:$B$233,"Friday")</f>
        <v>45</v>
      </c>
    </row>
    <row r="19" customFormat="false" ht="15" hidden="false" customHeight="false" outlineLevel="0" collapsed="false">
      <c r="A19" s="21" t="s">
        <v>84</v>
      </c>
      <c r="B19" s="22" t="str">
        <f aca="false">INDEX($A$14:$A$18,MATCH(MAX($G$14:$G$18),$G$14:$G$18,0))</f>
        <v>Tuesday</v>
      </c>
      <c r="D19" s="21" t="s">
        <v>85</v>
      </c>
      <c r="E19" s="22" t="str">
        <f aca="false">INDEX($A$14:$A$18,MATCH(MAX($G$14:$G$15,$G$17:$G$18),$G$14:$G$18,0))</f>
        <v>Tuesday</v>
      </c>
    </row>
    <row r="21" customFormat="false" ht="15" hidden="false" customHeight="false" outlineLevel="0" collapsed="false">
      <c r="A21" s="2" t="s">
        <v>33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8" t="s">
        <v>71</v>
      </c>
      <c r="B22" s="8" t="s">
        <v>72</v>
      </c>
      <c r="C22" s="8" t="s">
        <v>73</v>
      </c>
      <c r="D22" s="8" t="s">
        <v>74</v>
      </c>
      <c r="E22" s="8" t="s">
        <v>75</v>
      </c>
      <c r="F22" s="8" t="s">
        <v>76</v>
      </c>
      <c r="G22" s="8" t="s">
        <v>77</v>
      </c>
      <c r="H22" s="8" t="s">
        <v>78</v>
      </c>
    </row>
    <row r="23" customFormat="false" ht="15" hidden="false" customHeight="false" outlineLevel="0" collapsed="false">
      <c r="A23" s="19" t="s">
        <v>79</v>
      </c>
      <c r="B23" s="11" t="n">
        <f aca="false">IFERROR(COUNTIFS(D_COMBO3!$B$2:$B$249,"Monday",D_COMBO3!$C$2:$C$249,"&gt;0")/(COUNTIFS(D_COMBO3!$B$2:$B$249,"Monday",D_COMBO3!$C$2:$C$249,"&gt;0")+COUNTIFS(D_COMBO3!$B$2:$B$249,"Monday",D_COMBO3!$C$2:$C$249,"&lt;0"))*100,0)</f>
        <v>65.3846153846154</v>
      </c>
      <c r="C23" s="17" t="n">
        <f aca="false">IFERROR(AVERAGEIFS(D_COMBO3!$C$2:$C$249,D_COMBO3!$B$2:$B$249,"Monday",D_COMBO3!$C$2:$C$249,"&gt;0"),0)</f>
        <v>32212.1129411765</v>
      </c>
      <c r="D23" s="17" t="n">
        <f aca="false" t="array" ref="D23:D23">MAX(IF(D_COMBO3!$B$2:$B$249="Monday",D_COMBO3!$C$2:$C$249))</f>
        <v>90059.52</v>
      </c>
      <c r="E23" s="17" t="n">
        <f aca="false">IFERROR(AVERAGEIFS(D_COMBO3!$C$2:$C$249,D_COMBO3!$B$2:$B$249,"Monday",D_COMBO3!$C$2:$C$249,"&lt;0"),0)</f>
        <v>-27502.7444444444</v>
      </c>
      <c r="F23" s="17" t="n">
        <f aca="false" t="array" ref="F23:F23">MIN(IF(D_COMBO3!$B$2:$B$249="Monday",D_COMBO3!$C$2:$C$249))</f>
        <v>-122707.65</v>
      </c>
      <c r="G23" s="17" t="n">
        <f aca="false">SUMIFS(D_COMBO3!$C$2:$C$249,D_COMBO3!$B$2:$B$249,"Monday")</f>
        <v>600162.44</v>
      </c>
      <c r="H23" s="20" t="n">
        <f aca="false">COUNTIF(D_COMBO3!$B$2:$B$249,"Monday")</f>
        <v>52</v>
      </c>
    </row>
    <row r="24" customFormat="false" ht="15" hidden="false" customHeight="false" outlineLevel="0" collapsed="false">
      <c r="A24" s="19" t="s">
        <v>80</v>
      </c>
      <c r="B24" s="11" t="n">
        <f aca="false">IFERROR(COUNTIFS(D_COMBO3!$B$2:$B$249,"Tuesday",D_COMBO3!$C$2:$C$249,"&gt;0")/(COUNTIFS(D_COMBO3!$B$2:$B$249,"Tuesday",D_COMBO3!$C$2:$C$249,"&gt;0")+COUNTIFS(D_COMBO3!$B$2:$B$249,"Tuesday",D_COMBO3!$C$2:$C$249,"&lt;0"))*100,0)</f>
        <v>72.9166666666667</v>
      </c>
      <c r="C24" s="17" t="n">
        <f aca="false">IFERROR(AVERAGEIFS(D_COMBO3!$C$2:$C$249,D_COMBO3!$B$2:$B$249,"Tuesday",D_COMBO3!$C$2:$C$249,"&gt;0"),0)</f>
        <v>42980.0537142857</v>
      </c>
      <c r="D24" s="17" t="n">
        <f aca="false" t="array" ref="D24:D24">MAX(IF(D_COMBO3!$B$2:$B$249="Tuesday",D_COMBO3!$C$2:$C$249))</f>
        <v>115979.5</v>
      </c>
      <c r="E24" s="17" t="n">
        <f aca="false">IFERROR(AVERAGEIFS(D_COMBO3!$C$2:$C$249,D_COMBO3!$B$2:$B$249,"Tuesday",D_COMBO3!$C$2:$C$249,"&lt;0"),0)</f>
        <v>-15027.5969230769</v>
      </c>
      <c r="F24" s="17" t="n">
        <f aca="false" t="array" ref="F24:F24">MIN(IF(D_COMBO3!$B$2:$B$249="Tuesday",D_COMBO3!$C$2:$C$249))</f>
        <v>-30408.45</v>
      </c>
      <c r="G24" s="17" t="n">
        <f aca="false">SUMIFS(D_COMBO3!$C$2:$C$249,D_COMBO3!$B$2:$B$249,"Tuesday")</f>
        <v>1308943.12</v>
      </c>
      <c r="H24" s="20" t="n">
        <f aca="false">COUNTIF(D_COMBO3!$B$2:$B$249,"Tuesday")</f>
        <v>48</v>
      </c>
    </row>
    <row r="25" customFormat="false" ht="15" hidden="false" customHeight="false" outlineLevel="0" collapsed="false">
      <c r="A25" s="19" t="s">
        <v>81</v>
      </c>
      <c r="B25" s="11" t="n">
        <f aca="false">IFERROR(COUNTIFS(D_COMBO3!$B$2:$B$249,"Wednesday",D_COMBO3!$C$2:$C$249,"&gt;0")/(COUNTIFS(D_COMBO3!$B$2:$B$249,"Wednesday",D_COMBO3!$C$2:$C$249,"&gt;0")+COUNTIFS(D_COMBO3!$B$2:$B$249,"Wednesday",D_COMBO3!$C$2:$C$249,"&lt;0"))*100,0)</f>
        <v>46</v>
      </c>
      <c r="C25" s="17" t="n">
        <f aca="false">IFERROR(AVERAGEIFS(D_COMBO3!$C$2:$C$249,D_COMBO3!$B$2:$B$249,"Wednesday",D_COMBO3!$C$2:$C$249,"&gt;0"),0)</f>
        <v>10652.8565217391</v>
      </c>
      <c r="D25" s="17" t="n">
        <f aca="false" t="array" ref="D25:D25">MAX(IF(D_COMBO3!$B$2:$B$249="Wednesday",D_COMBO3!$C$2:$C$249))</f>
        <v>50833.12</v>
      </c>
      <c r="E25" s="17" t="n">
        <f aca="false">IFERROR(AVERAGEIFS(D_COMBO3!$C$2:$C$249,D_COMBO3!$B$2:$B$249,"Wednesday",D_COMBO3!$C$2:$C$249,"&lt;0"),0)</f>
        <v>-22984.2774074074</v>
      </c>
      <c r="F25" s="17" t="n">
        <f aca="false" t="array" ref="F25:F25">MIN(IF(D_COMBO3!$B$2:$B$249="Wednesday",D_COMBO3!$C$2:$C$249))</f>
        <v>-111019.4</v>
      </c>
      <c r="G25" s="17" t="n">
        <f aca="false">SUMIFS(D_COMBO3!$C$2:$C$249,D_COMBO3!$B$2:$B$249,"Wednesday")</f>
        <v>-375559.79</v>
      </c>
      <c r="H25" s="20" t="n">
        <f aca="false">COUNTIF(D_COMBO3!$B$2:$B$249,"Wednesday")</f>
        <v>50</v>
      </c>
    </row>
    <row r="26" customFormat="false" ht="15" hidden="false" customHeight="false" outlineLevel="0" collapsed="false">
      <c r="A26" s="19" t="s">
        <v>82</v>
      </c>
      <c r="B26" s="11" t="n">
        <f aca="false">IFERROR(COUNTIFS(D_COMBO3!$B$2:$B$249,"Thursday",D_COMBO3!$C$2:$C$249,"&gt;0")/(COUNTIFS(D_COMBO3!$B$2:$B$249,"Thursday",D_COMBO3!$C$2:$C$249,"&gt;0")+COUNTIFS(D_COMBO3!$B$2:$B$249,"Thursday",D_COMBO3!$C$2:$C$249,"&lt;0"))*100,0)</f>
        <v>72.3404255319149</v>
      </c>
      <c r="C26" s="17" t="n">
        <f aca="false">IFERROR(AVERAGEIFS(D_COMBO3!$C$2:$C$249,D_COMBO3!$B$2:$B$249,"Thursday",D_COMBO3!$C$2:$C$249,"&gt;0"),0)</f>
        <v>32580.0785294118</v>
      </c>
      <c r="D26" s="17" t="n">
        <f aca="false" t="array" ref="D26:D26">MAX(IF(D_COMBO3!$B$2:$B$249="Thursday",D_COMBO3!$C$2:$C$249))</f>
        <v>87236.5</v>
      </c>
      <c r="E26" s="17" t="n">
        <f aca="false">IFERROR(AVERAGEIFS(D_COMBO3!$C$2:$C$249,D_COMBO3!$B$2:$B$249,"Thursday",D_COMBO3!$C$2:$C$249,"&lt;0"),0)</f>
        <v>-25318.5130769231</v>
      </c>
      <c r="F26" s="17" t="n">
        <f aca="false" t="array" ref="F26:F26">MIN(IF(D_COMBO3!$B$2:$B$249="Thursday",D_COMBO3!$C$2:$C$249))</f>
        <v>-58583.12</v>
      </c>
      <c r="G26" s="17" t="n">
        <f aca="false">SUMIFS(D_COMBO3!$C$2:$C$249,D_COMBO3!$B$2:$B$249,"Thursday")</f>
        <v>778582</v>
      </c>
      <c r="H26" s="20" t="n">
        <f aca="false">COUNTIF(D_COMBO3!$B$2:$B$249,"Thursday")</f>
        <v>47</v>
      </c>
    </row>
    <row r="27" customFormat="false" ht="15" hidden="false" customHeight="false" outlineLevel="0" collapsed="false">
      <c r="A27" s="19" t="s">
        <v>83</v>
      </c>
      <c r="B27" s="11" t="n">
        <f aca="false">IFERROR(COUNTIFS(D_COMBO3!$B$2:$B$249,"Friday",D_COMBO3!$C$2:$C$249,"&gt;0")/(COUNTIFS(D_COMBO3!$B$2:$B$249,"Friday",D_COMBO3!$C$2:$C$249,"&gt;0")+COUNTIFS(D_COMBO3!$B$2:$B$249,"Friday",D_COMBO3!$C$2:$C$249,"&lt;0"))*100,0)</f>
        <v>53.0612244897959</v>
      </c>
      <c r="C27" s="17" t="n">
        <f aca="false">IFERROR(AVERAGEIFS(D_COMBO3!$C$2:$C$249,D_COMBO3!$B$2:$B$249,"Friday",D_COMBO3!$C$2:$C$249,"&gt;0"),0)</f>
        <v>27905.8726923077</v>
      </c>
      <c r="D27" s="17" t="n">
        <f aca="false" t="array" ref="D27:D27">MAX(IF(D_COMBO3!$B$2:$B$249="Friday",D_COMBO3!$C$2:$C$249))</f>
        <v>142380.72</v>
      </c>
      <c r="E27" s="17" t="n">
        <f aca="false">IFERROR(AVERAGEIFS(D_COMBO3!$C$2:$C$249,D_COMBO3!$B$2:$B$249,"Friday",D_COMBO3!$C$2:$C$249,"&lt;0"),0)</f>
        <v>-22159.5352173913</v>
      </c>
      <c r="F27" s="17" t="n">
        <f aca="false" t="array" ref="F27:F27">MIN(IF(D_COMBO3!$B$2:$B$249="Friday",D_COMBO3!$C$2:$C$249))</f>
        <v>-96576.87</v>
      </c>
      <c r="G27" s="17" t="n">
        <f aca="false">SUMIFS(D_COMBO3!$C$2:$C$249,D_COMBO3!$B$2:$B$249,"Friday")</f>
        <v>215883.38</v>
      </c>
      <c r="H27" s="20" t="n">
        <f aca="false">COUNTIF(D_COMBO3!$B$2:$B$249,"Friday")</f>
        <v>49</v>
      </c>
    </row>
    <row r="28" customFormat="false" ht="15" hidden="false" customHeight="false" outlineLevel="0" collapsed="false">
      <c r="A28" s="21" t="s">
        <v>84</v>
      </c>
      <c r="B28" s="22" t="str">
        <f aca="false">INDEX($A$23:$A$27,MATCH(MAX($G$23:$G$27),$G$23:$G$27,0))</f>
        <v>Tuesday</v>
      </c>
      <c r="D28" s="21" t="s">
        <v>85</v>
      </c>
      <c r="E28" s="22" t="str">
        <f aca="false">INDEX($A$23:$A$27,MATCH(MAX($G$23:$G$24,$G$26:$G$27),$G$23:$G$27,0))</f>
        <v>Tuesday</v>
      </c>
    </row>
    <row r="30" customFormat="false" ht="27.75" hidden="false" customHeight="true" outlineLevel="0" collapsed="false">
      <c r="A30" s="15" t="s">
        <v>86</v>
      </c>
      <c r="B30" s="15"/>
      <c r="C30" s="15"/>
      <c r="D30" s="15"/>
      <c r="E30" s="15"/>
      <c r="F30" s="15"/>
      <c r="G30" s="15"/>
      <c r="H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</row>
  </sheetData>
  <mergeCells count="5">
    <mergeCell ref="A1:H1"/>
    <mergeCell ref="A3:H3"/>
    <mergeCell ref="A12:H12"/>
    <mergeCell ref="A21:H21"/>
    <mergeCell ref="A30:H31"/>
  </mergeCells>
  <conditionalFormatting sqref="C5:C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D5:D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E5:E9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F5:F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G5:G9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C14:C18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D14:D18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E14:E18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F14:F18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G14:G18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C23:C27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D23:D27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E23:E27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F23:F27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G23:G27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320000</v>
      </c>
    </row>
    <row r="2" customFormat="false" ht="15" hidden="false" customHeight="false" outlineLevel="0" collapsed="false">
      <c r="A2" s="25" t="n">
        <v>45860</v>
      </c>
      <c r="B2" s="26" t="s">
        <v>80</v>
      </c>
      <c r="C2" s="27" t="n">
        <v>-14085</v>
      </c>
      <c r="D2" s="28" t="n">
        <f aca="false">C2/$T$1*100</f>
        <v>-4.4015625</v>
      </c>
      <c r="E2" s="28" t="n">
        <f aca="false">D2</f>
        <v>-4.4015625</v>
      </c>
      <c r="F2" s="28" t="n">
        <f aca="false">MAX(0,MAX($E$2:E2))</f>
        <v>0</v>
      </c>
      <c r="G2" s="28" t="n">
        <f aca="false">E2-F2</f>
        <v>-4.4015625</v>
      </c>
      <c r="H2" s="25" t="n">
        <f aca="false">IF(G2&gt;=-0.0000001,A2,A2)</f>
        <v>45860</v>
      </c>
      <c r="I2" s="29" t="n">
        <v>0</v>
      </c>
      <c r="J2" s="30"/>
      <c r="K2" s="27" t="n">
        <f aca="false">IF(B2="Wednesday",0,C2)</f>
        <v>-14085</v>
      </c>
      <c r="L2" s="28" t="n">
        <f aca="false">K2/$T$1*100</f>
        <v>-4.4015625</v>
      </c>
      <c r="M2" s="28" t="n">
        <f aca="false">MAX(0,MAX($L$2:L2))</f>
        <v>0</v>
      </c>
      <c r="N2" s="28" t="n">
        <f aca="false">L2-M2</f>
        <v>-4.4015625</v>
      </c>
      <c r="O2" s="25" t="n">
        <f aca="false">IF(N2&gt;=-0.0000001,A2,A2)</f>
        <v>45860</v>
      </c>
      <c r="P2" s="29" t="n">
        <v>0</v>
      </c>
      <c r="Q2" s="30"/>
      <c r="S2" s="23" t="s">
        <v>108</v>
      </c>
      <c r="T2" s="31" t="n">
        <f aca="false">MAX(A2:A116)</f>
        <v>46171</v>
      </c>
    </row>
    <row r="3" customFormat="false" ht="15" hidden="false" customHeight="false" outlineLevel="0" collapsed="false">
      <c r="A3" s="25" t="n">
        <v>45861</v>
      </c>
      <c r="B3" s="26" t="s">
        <v>81</v>
      </c>
      <c r="C3" s="27" t="n">
        <v>-13725</v>
      </c>
      <c r="D3" s="28" t="n">
        <f aca="false">C3/$T$1*100</f>
        <v>-4.2890625</v>
      </c>
      <c r="E3" s="28" t="n">
        <f aca="false">E2+D3</f>
        <v>-8.690625</v>
      </c>
      <c r="F3" s="28" t="n">
        <f aca="false">MAX(0,MAX($E$2:E3))</f>
        <v>0</v>
      </c>
      <c r="G3" s="28" t="n">
        <f aca="false">E3-F3</f>
        <v>-8.690625</v>
      </c>
      <c r="H3" s="25" t="n">
        <f aca="false">IF(G3&gt;=-0.0000001,A3,H2)</f>
        <v>45860</v>
      </c>
      <c r="I3" s="29" t="n">
        <f aca="false">IF(AND(G3&gt;=-0.0000001,G2&lt;0),1,0)</f>
        <v>0</v>
      </c>
      <c r="J3" s="30" t="str">
        <f aca="false">IF(I3=1,A3-H2,"")</f>
        <v/>
      </c>
      <c r="K3" s="27" t="n">
        <f aca="false">IF(B3="Wednesday",0,C3)</f>
        <v>0</v>
      </c>
      <c r="L3" s="28" t="n">
        <f aca="false">L2+K3/$T$1*100</f>
        <v>-4.4015625</v>
      </c>
      <c r="M3" s="28" t="n">
        <f aca="false">MAX(0,MAX($L$2:L3))</f>
        <v>0</v>
      </c>
      <c r="N3" s="28" t="n">
        <f aca="false">L3-M3</f>
        <v>-4.4015625</v>
      </c>
      <c r="O3" s="25" t="n">
        <f aca="false">IF(N3&gt;=-0.0000001,A3,O2)</f>
        <v>45860</v>
      </c>
      <c r="P3" s="29" t="n">
        <f aca="false">IF(AND(N3&gt;=-0.0000001,N2&lt;0),1,0)</f>
        <v>0</v>
      </c>
      <c r="Q3" s="30" t="str">
        <f aca="false">IF(P3=1,A3-O2,"")</f>
        <v/>
      </c>
      <c r="S3" s="23" t="s">
        <v>109</v>
      </c>
      <c r="T3" s="31" t="n">
        <f aca="false">EDATE($T$2,-1)</f>
        <v>46141</v>
      </c>
    </row>
    <row r="4" customFormat="false" ht="15" hidden="false" customHeight="false" outlineLevel="0" collapsed="false">
      <c r="A4" s="25" t="n">
        <v>45863</v>
      </c>
      <c r="B4" s="26" t="s">
        <v>83</v>
      </c>
      <c r="C4" s="27" t="n">
        <v>9787.5</v>
      </c>
      <c r="D4" s="28" t="n">
        <f aca="false">C4/$T$1*100</f>
        <v>3.05859375</v>
      </c>
      <c r="E4" s="28" t="n">
        <f aca="false">E3+D4</f>
        <v>-5.63203125</v>
      </c>
      <c r="F4" s="28" t="n">
        <f aca="false">MAX(0,MAX($E$2:E4))</f>
        <v>0</v>
      </c>
      <c r="G4" s="28" t="n">
        <f aca="false">E4-F4</f>
        <v>-5.63203125</v>
      </c>
      <c r="H4" s="25" t="n">
        <f aca="false">IF(G4&gt;=-0.0000001,A4,H3)</f>
        <v>45860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9787.5</v>
      </c>
      <c r="L4" s="28" t="n">
        <f aca="false">L3+K4/$T$1*100</f>
        <v>-1.34296875</v>
      </c>
      <c r="M4" s="28" t="n">
        <f aca="false">MAX(0,MAX($L$2:L4))</f>
        <v>0</v>
      </c>
      <c r="N4" s="28" t="n">
        <f aca="false">L4-M4</f>
        <v>-1.34296875</v>
      </c>
      <c r="O4" s="25" t="n">
        <f aca="false">IF(N4&gt;=-0.0000001,A4,O3)</f>
        <v>45860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46081</v>
      </c>
    </row>
    <row r="5" customFormat="false" ht="15" hidden="false" customHeight="false" outlineLevel="0" collapsed="false">
      <c r="A5" s="25" t="n">
        <v>45866</v>
      </c>
      <c r="B5" s="26" t="s">
        <v>79</v>
      </c>
      <c r="C5" s="27" t="n">
        <v>23595</v>
      </c>
      <c r="D5" s="28" t="n">
        <f aca="false">C5/$T$1*100</f>
        <v>7.3734375</v>
      </c>
      <c r="E5" s="28" t="n">
        <f aca="false">E4+D5</f>
        <v>1.74140625</v>
      </c>
      <c r="F5" s="28" t="n">
        <f aca="false">MAX(0,MAX($E$2:E5))</f>
        <v>1.74140625</v>
      </c>
      <c r="G5" s="28" t="n">
        <f aca="false">E5-F5</f>
        <v>0</v>
      </c>
      <c r="H5" s="25" t="n">
        <f aca="false">IF(G5&gt;=-0.0000001,A5,H4)</f>
        <v>45866</v>
      </c>
      <c r="I5" s="29" t="n">
        <f aca="false">IF(AND(G5&gt;=-0.0000001,G4&lt;0),1,0)</f>
        <v>1</v>
      </c>
      <c r="J5" s="30" t="n">
        <f aca="false">IF(I5=1,A5-H4,"")</f>
        <v>6</v>
      </c>
      <c r="K5" s="27" t="n">
        <f aca="false">IF(B5="Wednesday",0,C5)</f>
        <v>23595</v>
      </c>
      <c r="L5" s="28" t="n">
        <f aca="false">L4+K5/$T$1*100</f>
        <v>6.03046875</v>
      </c>
      <c r="M5" s="28" t="n">
        <f aca="false">MAX(0,MAX($L$2:L5))</f>
        <v>6.03046875</v>
      </c>
      <c r="N5" s="28" t="n">
        <f aca="false">L5-M5</f>
        <v>0</v>
      </c>
      <c r="O5" s="25" t="n">
        <f aca="false">IF(N5&gt;=-0.0000001,A5,O4)</f>
        <v>45866</v>
      </c>
      <c r="P5" s="29" t="n">
        <f aca="false">IF(AND(N5&gt;=-0.0000001,N4&lt;0),1,0)</f>
        <v>1</v>
      </c>
      <c r="Q5" s="30" t="n">
        <f aca="false">IF(P5=1,A5-O4,"")</f>
        <v>6</v>
      </c>
      <c r="S5" s="23" t="s">
        <v>111</v>
      </c>
      <c r="T5" s="31" t="n">
        <f aca="false">EDATE($T$2,-6)</f>
        <v>45990</v>
      </c>
    </row>
    <row r="6" customFormat="false" ht="15" hidden="false" customHeight="false" outlineLevel="0" collapsed="false">
      <c r="A6" s="25" t="n">
        <v>45868</v>
      </c>
      <c r="B6" s="26" t="s">
        <v>81</v>
      </c>
      <c r="C6" s="27" t="n">
        <v>-13920</v>
      </c>
      <c r="D6" s="28" t="n">
        <f aca="false">C6/$T$1*100</f>
        <v>-4.35</v>
      </c>
      <c r="E6" s="28" t="n">
        <f aca="false">E5+D6</f>
        <v>-2.60859375</v>
      </c>
      <c r="F6" s="28" t="n">
        <f aca="false">MAX(0,MAX($E$2:E6))</f>
        <v>1.74140625</v>
      </c>
      <c r="G6" s="28" t="n">
        <f aca="false">E6-F6</f>
        <v>-4.35</v>
      </c>
      <c r="H6" s="25" t="n">
        <f aca="false">IF(G6&gt;=-0.0000001,A6,H5)</f>
        <v>45866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0</v>
      </c>
      <c r="L6" s="28" t="n">
        <f aca="false">L5+K6/$T$1*100</f>
        <v>6.03046875</v>
      </c>
      <c r="M6" s="28" t="n">
        <f aca="false">MAX(0,MAX($L$2:L6))</f>
        <v>6.03046875</v>
      </c>
      <c r="N6" s="28" t="n">
        <f aca="false">L6-M6</f>
        <v>0</v>
      </c>
      <c r="O6" s="25" t="n">
        <f aca="false">IF(N6&gt;=-0.0000001,A6,O5)</f>
        <v>45868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45806</v>
      </c>
    </row>
    <row r="7" customFormat="false" ht="15" hidden="false" customHeight="false" outlineLevel="0" collapsed="false">
      <c r="A7" s="25" t="n">
        <v>45869</v>
      </c>
      <c r="B7" s="26" t="s">
        <v>82</v>
      </c>
      <c r="C7" s="27" t="n">
        <v>-13320</v>
      </c>
      <c r="D7" s="28" t="n">
        <f aca="false">C7/$T$1*100</f>
        <v>-4.1625</v>
      </c>
      <c r="E7" s="28" t="n">
        <f aca="false">E6+D7</f>
        <v>-6.77109375</v>
      </c>
      <c r="F7" s="28" t="n">
        <f aca="false">MAX(0,MAX($E$2:E7))</f>
        <v>1.74140625</v>
      </c>
      <c r="G7" s="28" t="n">
        <f aca="false">E7-F7</f>
        <v>-8.5125</v>
      </c>
      <c r="H7" s="25" t="n">
        <f aca="false">IF(G7&gt;=-0.0000001,A7,H6)</f>
        <v>45866</v>
      </c>
      <c r="I7" s="29" t="n">
        <f aca="false">IF(AND(G7&gt;=-0.0000001,G6&lt;0),1,0)</f>
        <v>0</v>
      </c>
      <c r="J7" s="30" t="str">
        <f aca="false">IF(I7=1,A7-H6,"")</f>
        <v/>
      </c>
      <c r="K7" s="27" t="n">
        <f aca="false">IF(B7="Wednesday",0,C7)</f>
        <v>-13320</v>
      </c>
      <c r="L7" s="28" t="n">
        <f aca="false">L6+K7/$T$1*100</f>
        <v>1.86796875</v>
      </c>
      <c r="M7" s="28" t="n">
        <f aca="false">MAX(0,MAX($L$2:L7))</f>
        <v>6.03046875</v>
      </c>
      <c r="N7" s="28" t="n">
        <f aca="false">L7-M7</f>
        <v>-4.1625</v>
      </c>
      <c r="O7" s="25" t="n">
        <f aca="false">IF(N7&gt;=-0.0000001,A7,O6)</f>
        <v>45868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IF(G116&lt;-0.0000001,$T$2-H116,0)</f>
        <v>0</v>
      </c>
    </row>
    <row r="8" customFormat="false" ht="15" hidden="false" customHeight="false" outlineLevel="0" collapsed="false">
      <c r="A8" s="25" t="n">
        <v>45870</v>
      </c>
      <c r="B8" s="26" t="s">
        <v>83</v>
      </c>
      <c r="C8" s="27" t="n">
        <v>10192.5</v>
      </c>
      <c r="D8" s="28" t="n">
        <f aca="false">C8/$T$1*100</f>
        <v>3.18515625</v>
      </c>
      <c r="E8" s="28" t="n">
        <f aca="false">E7+D8</f>
        <v>-3.5859375</v>
      </c>
      <c r="F8" s="28" t="n">
        <f aca="false">MAX(0,MAX($E$2:E8))</f>
        <v>1.74140625</v>
      </c>
      <c r="G8" s="28" t="n">
        <f aca="false">E8-F8</f>
        <v>-5.32734375</v>
      </c>
      <c r="H8" s="25" t="n">
        <f aca="false">IF(G8&gt;=-0.0000001,A8,H7)</f>
        <v>45866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10192.5</v>
      </c>
      <c r="L8" s="28" t="n">
        <f aca="false">L7+K8/$T$1*100</f>
        <v>5.053125</v>
      </c>
      <c r="M8" s="28" t="n">
        <f aca="false">MAX(0,MAX($L$2:L8))</f>
        <v>6.03046875</v>
      </c>
      <c r="N8" s="28" t="n">
        <f aca="false">L8-M8</f>
        <v>-0.97734375</v>
      </c>
      <c r="O8" s="25" t="n">
        <f aca="false">IF(N8&gt;=-0.0000001,A8,O7)</f>
        <v>45868</v>
      </c>
      <c r="P8" s="29" t="n">
        <f aca="false">IF(AND(N8&gt;=-0.0000001,N7&lt;0),1,0)</f>
        <v>0</v>
      </c>
      <c r="Q8" s="30" t="str">
        <f aca="false">IF(P8=1,A8-O7,"")</f>
        <v/>
      </c>
      <c r="S8" s="23" t="s">
        <v>114</v>
      </c>
      <c r="T8" s="32" t="n">
        <f aca="false">IF(N116&lt;-0.0000001,$T$2-O116,0)</f>
        <v>0</v>
      </c>
    </row>
    <row r="9" customFormat="false" ht="15" hidden="false" customHeight="false" outlineLevel="0" collapsed="false">
      <c r="A9" s="25" t="n">
        <v>45873</v>
      </c>
      <c r="B9" s="26" t="s">
        <v>79</v>
      </c>
      <c r="C9" s="27" t="n">
        <v>7815</v>
      </c>
      <c r="D9" s="28" t="n">
        <f aca="false">C9/$T$1*100</f>
        <v>2.4421875</v>
      </c>
      <c r="E9" s="28" t="n">
        <f aca="false">E8+D9</f>
        <v>-1.14375</v>
      </c>
      <c r="F9" s="28" t="n">
        <f aca="false">MAX(0,MAX($E$2:E9))</f>
        <v>1.74140625</v>
      </c>
      <c r="G9" s="28" t="n">
        <f aca="false">E9-F9</f>
        <v>-2.88515625</v>
      </c>
      <c r="H9" s="25" t="n">
        <f aca="false">IF(G9&gt;=-0.0000001,A9,H8)</f>
        <v>45866</v>
      </c>
      <c r="I9" s="29" t="n">
        <f aca="false">IF(AND(G9&gt;=-0.0000001,G8&lt;0),1,0)</f>
        <v>0</v>
      </c>
      <c r="J9" s="30" t="str">
        <f aca="false">IF(I9=1,A9-H8,"")</f>
        <v/>
      </c>
      <c r="K9" s="27" t="n">
        <f aca="false">IF(B9="Wednesday",0,C9)</f>
        <v>7815</v>
      </c>
      <c r="L9" s="28" t="n">
        <f aca="false">L8+K9/$T$1*100</f>
        <v>7.4953125</v>
      </c>
      <c r="M9" s="28" t="n">
        <f aca="false">MAX(0,MAX($L$2:L9))</f>
        <v>7.4953125</v>
      </c>
      <c r="N9" s="28" t="n">
        <f aca="false">L9-M9</f>
        <v>0</v>
      </c>
      <c r="O9" s="25" t="n">
        <f aca="false">IF(N9&gt;=-0.0000001,A9,O8)</f>
        <v>45873</v>
      </c>
      <c r="P9" s="29" t="n">
        <f aca="false">IF(AND(N9&gt;=-0.0000001,N8&lt;0),1,0)</f>
        <v>1</v>
      </c>
      <c r="Q9" s="30" t="n">
        <f aca="false">IF(P9=1,A9-O8,"")</f>
        <v>5</v>
      </c>
      <c r="S9" s="23" t="s">
        <v>115</v>
      </c>
      <c r="T9" s="31" t="n">
        <f aca="false">MIN(A2:A116)</f>
        <v>45860</v>
      </c>
    </row>
    <row r="10" customFormat="false" ht="15" hidden="false" customHeight="false" outlineLevel="0" collapsed="false">
      <c r="A10" s="25" t="n">
        <v>45875</v>
      </c>
      <c r="B10" s="26" t="s">
        <v>81</v>
      </c>
      <c r="C10" s="27" t="n">
        <v>15750</v>
      </c>
      <c r="D10" s="28" t="n">
        <f aca="false">C10/$T$1*100</f>
        <v>4.921875</v>
      </c>
      <c r="E10" s="28" t="n">
        <f aca="false">E9+D10</f>
        <v>3.778125</v>
      </c>
      <c r="F10" s="28" t="n">
        <f aca="false">MAX(0,MAX($E$2:E10))</f>
        <v>3.778125</v>
      </c>
      <c r="G10" s="28" t="n">
        <f aca="false">E10-F10</f>
        <v>0</v>
      </c>
      <c r="H10" s="25" t="n">
        <f aca="false">IF(G10&gt;=-0.0000001,A10,H9)</f>
        <v>45875</v>
      </c>
      <c r="I10" s="29" t="n">
        <f aca="false">IF(AND(G10&gt;=-0.0000001,G9&lt;0),1,0)</f>
        <v>1</v>
      </c>
      <c r="J10" s="30" t="n">
        <f aca="false">IF(I10=1,A10-H9,"")</f>
        <v>9</v>
      </c>
      <c r="K10" s="27" t="n">
        <f aca="false">IF(B10="Wednesday",0,C10)</f>
        <v>0</v>
      </c>
      <c r="L10" s="28" t="n">
        <f aca="false">L9+K10/$T$1*100</f>
        <v>7.4953125</v>
      </c>
      <c r="M10" s="28" t="n">
        <f aca="false">MAX(0,MAX($L$2:L10))</f>
        <v>7.4953125</v>
      </c>
      <c r="N10" s="28" t="n">
        <f aca="false">L10-M10</f>
        <v>0</v>
      </c>
      <c r="O10" s="25" t="n">
        <f aca="false">IF(N10&gt;=-0.0000001,A10,O9)</f>
        <v>45875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45876</v>
      </c>
      <c r="B11" s="26" t="s">
        <v>82</v>
      </c>
      <c r="C11" s="27" t="n">
        <v>-9438.75</v>
      </c>
      <c r="D11" s="28" t="n">
        <f aca="false">C11/$T$1*100</f>
        <v>-2.949609375</v>
      </c>
      <c r="E11" s="28" t="n">
        <f aca="false">E10+D11</f>
        <v>0.828515624999999</v>
      </c>
      <c r="F11" s="28" t="n">
        <f aca="false">MAX(0,MAX($E$2:E11))</f>
        <v>3.778125</v>
      </c>
      <c r="G11" s="28" t="n">
        <f aca="false">E11-F11</f>
        <v>-2.949609375</v>
      </c>
      <c r="H11" s="25" t="n">
        <f aca="false">IF(G11&gt;=-0.0000001,A11,H10)</f>
        <v>45875</v>
      </c>
      <c r="I11" s="29" t="n">
        <f aca="false">IF(AND(G11&gt;=-0.0000001,G10&lt;0),1,0)</f>
        <v>0</v>
      </c>
      <c r="J11" s="30" t="str">
        <f aca="false">IF(I11=1,A11-H10,"")</f>
        <v/>
      </c>
      <c r="K11" s="27" t="n">
        <f aca="false">IF(B11="Wednesday",0,C11)</f>
        <v>-9438.75</v>
      </c>
      <c r="L11" s="28" t="n">
        <f aca="false">L10+K11/$T$1*100</f>
        <v>4.545703125</v>
      </c>
      <c r="M11" s="28" t="n">
        <f aca="false">MAX(0,MAX($L$2:L11))</f>
        <v>7.4953125</v>
      </c>
      <c r="N11" s="28" t="n">
        <f aca="false">L11-M11</f>
        <v>-2.949609375</v>
      </c>
      <c r="O11" s="25" t="n">
        <f aca="false">IF(N11&gt;=-0.0000001,A11,O10)</f>
        <v>45875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45880</v>
      </c>
      <c r="B12" s="26" t="s">
        <v>79</v>
      </c>
      <c r="C12" s="27" t="n">
        <v>-12090</v>
      </c>
      <c r="D12" s="28" t="n">
        <f aca="false">C12/$T$1*100</f>
        <v>-3.778125</v>
      </c>
      <c r="E12" s="28" t="n">
        <f aca="false">E11+D12</f>
        <v>-2.949609375</v>
      </c>
      <c r="F12" s="28" t="n">
        <f aca="false">MAX(0,MAX($E$2:E12))</f>
        <v>3.778125</v>
      </c>
      <c r="G12" s="28" t="n">
        <f aca="false">E12-F12</f>
        <v>-6.727734375</v>
      </c>
      <c r="H12" s="25" t="n">
        <f aca="false">IF(G12&gt;=-0.0000001,A12,H11)</f>
        <v>45875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-12090</v>
      </c>
      <c r="L12" s="28" t="n">
        <f aca="false">L11+K12/$T$1*100</f>
        <v>0.767578124999999</v>
      </c>
      <c r="M12" s="28" t="n">
        <f aca="false">MAX(0,MAX($L$2:L12))</f>
        <v>7.4953125</v>
      </c>
      <c r="N12" s="28" t="n">
        <f aca="false">L12-M12</f>
        <v>-6.727734375</v>
      </c>
      <c r="O12" s="25" t="n">
        <f aca="false">IF(N12&gt;=-0.0000001,A12,O11)</f>
        <v>45875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45882</v>
      </c>
      <c r="B13" s="26" t="s">
        <v>81</v>
      </c>
      <c r="C13" s="27" t="n">
        <v>-2550</v>
      </c>
      <c r="D13" s="28" t="n">
        <f aca="false">C13/$T$1*100</f>
        <v>-0.796875</v>
      </c>
      <c r="E13" s="28" t="n">
        <f aca="false">E12+D13</f>
        <v>-3.746484375</v>
      </c>
      <c r="F13" s="28" t="n">
        <f aca="false">MAX(0,MAX($E$2:E13))</f>
        <v>3.778125</v>
      </c>
      <c r="G13" s="28" t="n">
        <f aca="false">E13-F13</f>
        <v>-7.524609375</v>
      </c>
      <c r="H13" s="25" t="n">
        <f aca="false">IF(G13&gt;=-0.0000001,A13,H12)</f>
        <v>45875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0</v>
      </c>
      <c r="L13" s="28" t="n">
        <f aca="false">L12+K13/$T$1*100</f>
        <v>0.767578124999999</v>
      </c>
      <c r="M13" s="28" t="n">
        <f aca="false">MAX(0,MAX($L$2:L13))</f>
        <v>7.4953125</v>
      </c>
      <c r="N13" s="28" t="n">
        <f aca="false">L13-M13</f>
        <v>-6.727734375</v>
      </c>
      <c r="O13" s="25" t="n">
        <f aca="false">IF(N13&gt;=-0.0000001,A13,O12)</f>
        <v>45875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45884</v>
      </c>
      <c r="B14" s="26" t="s">
        <v>83</v>
      </c>
      <c r="C14" s="27" t="n">
        <v>8167.5</v>
      </c>
      <c r="D14" s="28" t="n">
        <f aca="false">C14/$T$1*100</f>
        <v>2.55234375</v>
      </c>
      <c r="E14" s="28" t="n">
        <f aca="false">E13+D14</f>
        <v>-1.194140625</v>
      </c>
      <c r="F14" s="28" t="n">
        <f aca="false">MAX(0,MAX($E$2:E14))</f>
        <v>3.778125</v>
      </c>
      <c r="G14" s="28" t="n">
        <f aca="false">E14-F14</f>
        <v>-4.972265625</v>
      </c>
      <c r="H14" s="25" t="n">
        <f aca="false">IF(G14&gt;=-0.0000001,A14,H13)</f>
        <v>45875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8167.5</v>
      </c>
      <c r="L14" s="28" t="n">
        <f aca="false">L13+K14/$T$1*100</f>
        <v>3.319921875</v>
      </c>
      <c r="M14" s="28" t="n">
        <f aca="false">MAX(0,MAX($L$2:L14))</f>
        <v>7.4953125</v>
      </c>
      <c r="N14" s="28" t="n">
        <f aca="false">L14-M14</f>
        <v>-4.175390625</v>
      </c>
      <c r="O14" s="25" t="n">
        <f aca="false">IF(N14&gt;=-0.0000001,A14,O13)</f>
        <v>45875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45888</v>
      </c>
      <c r="B15" s="26" t="s">
        <v>80</v>
      </c>
      <c r="C15" s="27" t="n">
        <v>13245</v>
      </c>
      <c r="D15" s="28" t="n">
        <f aca="false">C15/$T$1*100</f>
        <v>4.1390625</v>
      </c>
      <c r="E15" s="28" t="n">
        <f aca="false">E14+D15</f>
        <v>2.944921875</v>
      </c>
      <c r="F15" s="28" t="n">
        <f aca="false">MAX(0,MAX($E$2:E15))</f>
        <v>3.778125</v>
      </c>
      <c r="G15" s="28" t="n">
        <f aca="false">E15-F15</f>
        <v>-0.833203125000001</v>
      </c>
      <c r="H15" s="25" t="n">
        <f aca="false">IF(G15&gt;=-0.0000001,A15,H14)</f>
        <v>45875</v>
      </c>
      <c r="I15" s="29" t="n">
        <f aca="false">IF(AND(G15&gt;=-0.0000001,G14&lt;0),1,0)</f>
        <v>0</v>
      </c>
      <c r="J15" s="30" t="str">
        <f aca="false">IF(I15=1,A15-H14,"")</f>
        <v/>
      </c>
      <c r="K15" s="27" t="n">
        <f aca="false">IF(B15="Wednesday",0,C15)</f>
        <v>13245</v>
      </c>
      <c r="L15" s="28" t="n">
        <f aca="false">L14+K15/$T$1*100</f>
        <v>7.458984375</v>
      </c>
      <c r="M15" s="28" t="n">
        <f aca="false">MAX(0,MAX($L$2:L15))</f>
        <v>7.4953125</v>
      </c>
      <c r="N15" s="28" t="n">
        <f aca="false">L15-M15</f>
        <v>-0.0363281250000007</v>
      </c>
      <c r="O15" s="25" t="n">
        <f aca="false">IF(N15&gt;=-0.0000001,A15,O14)</f>
        <v>45875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45890</v>
      </c>
      <c r="B16" s="26" t="s">
        <v>82</v>
      </c>
      <c r="C16" s="27" t="n">
        <v>-13305</v>
      </c>
      <c r="D16" s="28" t="n">
        <f aca="false">C16/$T$1*100</f>
        <v>-4.1578125</v>
      </c>
      <c r="E16" s="28" t="n">
        <f aca="false">E15+D16</f>
        <v>-1.212890625</v>
      </c>
      <c r="F16" s="28" t="n">
        <f aca="false">MAX(0,MAX($E$2:E16))</f>
        <v>3.778125</v>
      </c>
      <c r="G16" s="28" t="n">
        <f aca="false">E16-F16</f>
        <v>-4.991015625</v>
      </c>
      <c r="H16" s="25" t="n">
        <f aca="false">IF(G16&gt;=-0.0000001,A16,H15)</f>
        <v>45875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-13305</v>
      </c>
      <c r="L16" s="28" t="n">
        <f aca="false">L15+K16/$T$1*100</f>
        <v>3.301171875</v>
      </c>
      <c r="M16" s="28" t="n">
        <f aca="false">MAX(0,MAX($L$2:L16))</f>
        <v>7.4953125</v>
      </c>
      <c r="N16" s="28" t="n">
        <f aca="false">L16-M16</f>
        <v>-4.194140625</v>
      </c>
      <c r="O16" s="25" t="n">
        <f aca="false">IF(N16&gt;=-0.0000001,A16,O15)</f>
        <v>45875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45891</v>
      </c>
      <c r="B17" s="26" t="s">
        <v>83</v>
      </c>
      <c r="C17" s="27" t="n">
        <v>5636.25</v>
      </c>
      <c r="D17" s="28" t="n">
        <f aca="false">C17/$T$1*100</f>
        <v>1.761328125</v>
      </c>
      <c r="E17" s="28" t="n">
        <f aca="false">E16+D17</f>
        <v>0.548437499999998</v>
      </c>
      <c r="F17" s="28" t="n">
        <f aca="false">MAX(0,MAX($E$2:E17))</f>
        <v>3.778125</v>
      </c>
      <c r="G17" s="28" t="n">
        <f aca="false">E17-F17</f>
        <v>-3.2296875</v>
      </c>
      <c r="H17" s="25" t="n">
        <f aca="false">IF(G17&gt;=-0.0000001,A17,H16)</f>
        <v>45875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5636.25</v>
      </c>
      <c r="L17" s="28" t="n">
        <f aca="false">L16+K17/$T$1*100</f>
        <v>5.0625</v>
      </c>
      <c r="M17" s="28" t="n">
        <f aca="false">MAX(0,MAX($L$2:L17))</f>
        <v>7.4953125</v>
      </c>
      <c r="N17" s="28" t="n">
        <f aca="false">L17-M17</f>
        <v>-2.4328125</v>
      </c>
      <c r="O17" s="25" t="n">
        <f aca="false">IF(N17&gt;=-0.0000001,A17,O16)</f>
        <v>45875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45894</v>
      </c>
      <c r="B18" s="26" t="s">
        <v>79</v>
      </c>
      <c r="C18" s="27" t="n">
        <v>1275</v>
      </c>
      <c r="D18" s="28" t="n">
        <f aca="false">C18/$T$1*100</f>
        <v>0.3984375</v>
      </c>
      <c r="E18" s="28" t="n">
        <f aca="false">E17+D18</f>
        <v>0.946874999999998</v>
      </c>
      <c r="F18" s="28" t="n">
        <f aca="false">MAX(0,MAX($E$2:E18))</f>
        <v>3.778125</v>
      </c>
      <c r="G18" s="28" t="n">
        <f aca="false">E18-F18</f>
        <v>-2.83125</v>
      </c>
      <c r="H18" s="25" t="n">
        <f aca="false">IF(G18&gt;=-0.0000001,A18,H17)</f>
        <v>45875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1275</v>
      </c>
      <c r="L18" s="28" t="n">
        <f aca="false">L17+K18/$T$1*100</f>
        <v>5.4609375</v>
      </c>
      <c r="M18" s="28" t="n">
        <f aca="false">MAX(0,MAX($L$2:L18))</f>
        <v>7.4953125</v>
      </c>
      <c r="N18" s="28" t="n">
        <f aca="false">L18-M18</f>
        <v>-2.034375</v>
      </c>
      <c r="O18" s="25" t="n">
        <f aca="false">IF(N18&gt;=-0.0000001,A18,O17)</f>
        <v>45875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45896</v>
      </c>
      <c r="B19" s="26" t="s">
        <v>81</v>
      </c>
      <c r="C19" s="27" t="n">
        <v>11550</v>
      </c>
      <c r="D19" s="28" t="n">
        <f aca="false">C19/$T$1*100</f>
        <v>3.609375</v>
      </c>
      <c r="E19" s="28" t="n">
        <f aca="false">E18+D19</f>
        <v>4.55625</v>
      </c>
      <c r="F19" s="28" t="n">
        <f aca="false">MAX(0,MAX($E$2:E19))</f>
        <v>4.55625</v>
      </c>
      <c r="G19" s="28" t="n">
        <f aca="false">E19-F19</f>
        <v>0</v>
      </c>
      <c r="H19" s="25" t="n">
        <f aca="false">IF(G19&gt;=-0.0000001,A19,H18)</f>
        <v>45896</v>
      </c>
      <c r="I19" s="29" t="n">
        <f aca="false">IF(AND(G19&gt;=-0.0000001,G18&lt;0),1,0)</f>
        <v>1</v>
      </c>
      <c r="J19" s="30" t="n">
        <f aca="false">IF(I19=1,A19-H18,"")</f>
        <v>21</v>
      </c>
      <c r="K19" s="27" t="n">
        <f aca="false">IF(B19="Wednesday",0,C19)</f>
        <v>0</v>
      </c>
      <c r="L19" s="28" t="n">
        <f aca="false">L18+K19/$T$1*100</f>
        <v>5.4609375</v>
      </c>
      <c r="M19" s="28" t="n">
        <f aca="false">MAX(0,MAX($L$2:L19))</f>
        <v>7.4953125</v>
      </c>
      <c r="N19" s="28" t="n">
        <f aca="false">L19-M19</f>
        <v>-2.034375</v>
      </c>
      <c r="O19" s="25" t="n">
        <f aca="false">IF(N19&gt;=-0.0000001,A19,O18)</f>
        <v>45875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45898</v>
      </c>
      <c r="B20" s="26" t="s">
        <v>83</v>
      </c>
      <c r="C20" s="27" t="n">
        <v>7695</v>
      </c>
      <c r="D20" s="28" t="n">
        <f aca="false">C20/$T$1*100</f>
        <v>2.4046875</v>
      </c>
      <c r="E20" s="28" t="n">
        <f aca="false">E19+D20</f>
        <v>6.9609375</v>
      </c>
      <c r="F20" s="28" t="n">
        <f aca="false">MAX(0,MAX($E$2:E20))</f>
        <v>6.9609375</v>
      </c>
      <c r="G20" s="28" t="n">
        <f aca="false">E20-F20</f>
        <v>0</v>
      </c>
      <c r="H20" s="25" t="n">
        <f aca="false">IF(G20&gt;=-0.0000001,A20,H19)</f>
        <v>45898</v>
      </c>
      <c r="I20" s="29" t="n">
        <f aca="false">IF(AND(G20&gt;=-0.0000001,G19&lt;0),1,0)</f>
        <v>0</v>
      </c>
      <c r="J20" s="30" t="str">
        <f aca="false">IF(I20=1,A20-H19,"")</f>
        <v/>
      </c>
      <c r="K20" s="27" t="n">
        <f aca="false">IF(B20="Wednesday",0,C20)</f>
        <v>7695</v>
      </c>
      <c r="L20" s="28" t="n">
        <f aca="false">L19+K20/$T$1*100</f>
        <v>7.865625</v>
      </c>
      <c r="M20" s="28" t="n">
        <f aca="false">MAX(0,MAX($L$2:L20))</f>
        <v>7.865625</v>
      </c>
      <c r="N20" s="28" t="n">
        <f aca="false">L20-M20</f>
        <v>0</v>
      </c>
      <c r="O20" s="25" t="n">
        <f aca="false">IF(N20&gt;=-0.0000001,A20,O19)</f>
        <v>45898</v>
      </c>
      <c r="P20" s="29" t="n">
        <f aca="false">IF(AND(N20&gt;=-0.0000001,N19&lt;0),1,0)</f>
        <v>1</v>
      </c>
      <c r="Q20" s="30" t="n">
        <f aca="false">IF(P20=1,A20-O19,"")</f>
        <v>23</v>
      </c>
    </row>
    <row r="21" customFormat="false" ht="15" hidden="false" customHeight="false" outlineLevel="0" collapsed="false">
      <c r="A21" s="25" t="n">
        <v>45901</v>
      </c>
      <c r="B21" s="26" t="s">
        <v>79</v>
      </c>
      <c r="C21" s="27" t="n">
        <v>-5475</v>
      </c>
      <c r="D21" s="28" t="n">
        <f aca="false">C21/$T$1*100</f>
        <v>-1.7109375</v>
      </c>
      <c r="E21" s="28" t="n">
        <f aca="false">E20+D21</f>
        <v>5.25</v>
      </c>
      <c r="F21" s="28" t="n">
        <f aca="false">MAX(0,MAX($E$2:E21))</f>
        <v>6.9609375</v>
      </c>
      <c r="G21" s="28" t="n">
        <f aca="false">E21-F21</f>
        <v>-1.7109375</v>
      </c>
      <c r="H21" s="25" t="n">
        <f aca="false">IF(G21&gt;=-0.0000001,A21,H20)</f>
        <v>45898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-5475</v>
      </c>
      <c r="L21" s="28" t="n">
        <f aca="false">L20+K21/$T$1*100</f>
        <v>6.1546875</v>
      </c>
      <c r="M21" s="28" t="n">
        <f aca="false">MAX(0,MAX($L$2:L21))</f>
        <v>7.865625</v>
      </c>
      <c r="N21" s="28" t="n">
        <f aca="false">L21-M21</f>
        <v>-1.7109375</v>
      </c>
      <c r="O21" s="25" t="n">
        <f aca="false">IF(N21&gt;=-0.0000001,A21,O20)</f>
        <v>45898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45903</v>
      </c>
      <c r="B22" s="26" t="s">
        <v>81</v>
      </c>
      <c r="C22" s="27" t="n">
        <v>-7530</v>
      </c>
      <c r="D22" s="28" t="n">
        <f aca="false">C22/$T$1*100</f>
        <v>-2.353125</v>
      </c>
      <c r="E22" s="28" t="n">
        <f aca="false">E21+D22</f>
        <v>2.896875</v>
      </c>
      <c r="F22" s="28" t="n">
        <f aca="false">MAX(0,MAX($E$2:E22))</f>
        <v>6.9609375</v>
      </c>
      <c r="G22" s="28" t="n">
        <f aca="false">E22-F22</f>
        <v>-4.0640625</v>
      </c>
      <c r="H22" s="25" t="n">
        <f aca="false">IF(G22&gt;=-0.0000001,A22,H21)</f>
        <v>45898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0</v>
      </c>
      <c r="L22" s="28" t="n">
        <f aca="false">L21+K22/$T$1*100</f>
        <v>6.1546875</v>
      </c>
      <c r="M22" s="28" t="n">
        <f aca="false">MAX(0,MAX($L$2:L22))</f>
        <v>7.865625</v>
      </c>
      <c r="N22" s="28" t="n">
        <f aca="false">L22-M22</f>
        <v>-1.7109375</v>
      </c>
      <c r="O22" s="25" t="n">
        <f aca="false">IF(N22&gt;=-0.0000001,A22,O21)</f>
        <v>45898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45905</v>
      </c>
      <c r="B23" s="26" t="s">
        <v>83</v>
      </c>
      <c r="C23" s="27" t="n">
        <v>20287.5</v>
      </c>
      <c r="D23" s="28" t="n">
        <f aca="false">C23/$T$1*100</f>
        <v>6.33984375</v>
      </c>
      <c r="E23" s="28" t="n">
        <f aca="false">E22+D23</f>
        <v>9.23671875</v>
      </c>
      <c r="F23" s="28" t="n">
        <f aca="false">MAX(0,MAX($E$2:E23))</f>
        <v>9.23671875</v>
      </c>
      <c r="G23" s="28" t="n">
        <f aca="false">E23-F23</f>
        <v>0</v>
      </c>
      <c r="H23" s="25" t="n">
        <f aca="false">IF(G23&gt;=-0.0000001,A23,H22)</f>
        <v>45905</v>
      </c>
      <c r="I23" s="29" t="n">
        <f aca="false">IF(AND(G23&gt;=-0.0000001,G22&lt;0),1,0)</f>
        <v>1</v>
      </c>
      <c r="J23" s="30" t="n">
        <f aca="false">IF(I23=1,A23-H22,"")</f>
        <v>7</v>
      </c>
      <c r="K23" s="27" t="n">
        <f aca="false">IF(B23="Wednesday",0,C23)</f>
        <v>20287.5</v>
      </c>
      <c r="L23" s="28" t="n">
        <f aca="false">L22+K23/$T$1*100</f>
        <v>12.49453125</v>
      </c>
      <c r="M23" s="28" t="n">
        <f aca="false">MAX(0,MAX($L$2:L23))</f>
        <v>12.49453125</v>
      </c>
      <c r="N23" s="28" t="n">
        <f aca="false">L23-M23</f>
        <v>0</v>
      </c>
      <c r="O23" s="25" t="n">
        <f aca="false">IF(N23&gt;=-0.0000001,A23,O22)</f>
        <v>45905</v>
      </c>
      <c r="P23" s="29" t="n">
        <f aca="false">IF(AND(N23&gt;=-0.0000001,N22&lt;0),1,0)</f>
        <v>1</v>
      </c>
      <c r="Q23" s="30" t="n">
        <f aca="false">IF(P23=1,A23-O22,"")</f>
        <v>7</v>
      </c>
    </row>
    <row r="24" customFormat="false" ht="15" hidden="false" customHeight="false" outlineLevel="0" collapsed="false">
      <c r="A24" s="25" t="n">
        <v>45909</v>
      </c>
      <c r="B24" s="26" t="s">
        <v>80</v>
      </c>
      <c r="C24" s="27" t="n">
        <v>16593.75</v>
      </c>
      <c r="D24" s="28" t="n">
        <f aca="false">C24/$T$1*100</f>
        <v>5.185546875</v>
      </c>
      <c r="E24" s="28" t="n">
        <f aca="false">E23+D24</f>
        <v>14.422265625</v>
      </c>
      <c r="F24" s="28" t="n">
        <f aca="false">MAX(0,MAX($E$2:E24))</f>
        <v>14.422265625</v>
      </c>
      <c r="G24" s="28" t="n">
        <f aca="false">E24-F24</f>
        <v>0</v>
      </c>
      <c r="H24" s="25" t="n">
        <f aca="false">IF(G24&gt;=-0.0000001,A24,H23)</f>
        <v>45909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16593.75</v>
      </c>
      <c r="L24" s="28" t="n">
        <f aca="false">L23+K24/$T$1*100</f>
        <v>17.680078125</v>
      </c>
      <c r="M24" s="28" t="n">
        <f aca="false">MAX(0,MAX($L$2:L24))</f>
        <v>17.680078125</v>
      </c>
      <c r="N24" s="28" t="n">
        <f aca="false">L24-M24</f>
        <v>0</v>
      </c>
      <c r="O24" s="25" t="n">
        <f aca="false">IF(N24&gt;=-0.0000001,A24,O23)</f>
        <v>45909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45911</v>
      </c>
      <c r="B25" s="26" t="s">
        <v>82</v>
      </c>
      <c r="C25" s="27" t="n">
        <v>-7293.75</v>
      </c>
      <c r="D25" s="28" t="n">
        <f aca="false">C25/$T$1*100</f>
        <v>-2.279296875</v>
      </c>
      <c r="E25" s="28" t="n">
        <f aca="false">E24+D25</f>
        <v>12.14296875</v>
      </c>
      <c r="F25" s="28" t="n">
        <f aca="false">MAX(0,MAX($E$2:E25))</f>
        <v>14.422265625</v>
      </c>
      <c r="G25" s="28" t="n">
        <f aca="false">E25-F25</f>
        <v>-2.279296875</v>
      </c>
      <c r="H25" s="25" t="n">
        <f aca="false">IF(G25&gt;=-0.0000001,A25,H24)</f>
        <v>45909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-7293.75</v>
      </c>
      <c r="L25" s="28" t="n">
        <f aca="false">L24+K25/$T$1*100</f>
        <v>15.40078125</v>
      </c>
      <c r="M25" s="28" t="n">
        <f aca="false">MAX(0,MAX($L$2:L25))</f>
        <v>17.680078125</v>
      </c>
      <c r="N25" s="28" t="n">
        <f aca="false">L25-M25</f>
        <v>-2.279296875</v>
      </c>
      <c r="O25" s="25" t="n">
        <f aca="false">IF(N25&gt;=-0.0000001,A25,O24)</f>
        <v>45909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45915</v>
      </c>
      <c r="B26" s="26" t="s">
        <v>79</v>
      </c>
      <c r="C26" s="27" t="n">
        <v>9412.5</v>
      </c>
      <c r="D26" s="28" t="n">
        <f aca="false">C26/$T$1*100</f>
        <v>2.94140625</v>
      </c>
      <c r="E26" s="28" t="n">
        <f aca="false">E25+D26</f>
        <v>15.084375</v>
      </c>
      <c r="F26" s="28" t="n">
        <f aca="false">MAX(0,MAX($E$2:E26))</f>
        <v>15.084375</v>
      </c>
      <c r="G26" s="28" t="n">
        <f aca="false">E26-F26</f>
        <v>0</v>
      </c>
      <c r="H26" s="25" t="n">
        <f aca="false">IF(G26&gt;=-0.0000001,A26,H25)</f>
        <v>45915</v>
      </c>
      <c r="I26" s="29" t="n">
        <f aca="false">IF(AND(G26&gt;=-0.0000001,G25&lt;0),1,0)</f>
        <v>1</v>
      </c>
      <c r="J26" s="30" t="n">
        <f aca="false">IF(I26=1,A26-H25,"")</f>
        <v>6</v>
      </c>
      <c r="K26" s="27" t="n">
        <f aca="false">IF(B26="Wednesday",0,C26)</f>
        <v>9412.5</v>
      </c>
      <c r="L26" s="28" t="n">
        <f aca="false">L25+K26/$T$1*100</f>
        <v>18.3421875</v>
      </c>
      <c r="M26" s="28" t="n">
        <f aca="false">MAX(0,MAX($L$2:L26))</f>
        <v>18.3421875</v>
      </c>
      <c r="N26" s="28" t="n">
        <f aca="false">L26-M26</f>
        <v>0</v>
      </c>
      <c r="O26" s="25" t="n">
        <f aca="false">IF(N26&gt;=-0.0000001,A26,O25)</f>
        <v>45915</v>
      </c>
      <c r="P26" s="29" t="n">
        <f aca="false">IF(AND(N26&gt;=-0.0000001,N25&lt;0),1,0)</f>
        <v>1</v>
      </c>
      <c r="Q26" s="30" t="n">
        <f aca="false">IF(P26=1,A26-O25,"")</f>
        <v>6</v>
      </c>
    </row>
    <row r="27" customFormat="false" ht="15" hidden="false" customHeight="false" outlineLevel="0" collapsed="false">
      <c r="A27" s="25" t="n">
        <v>45916</v>
      </c>
      <c r="B27" s="26" t="s">
        <v>80</v>
      </c>
      <c r="C27" s="27" t="n">
        <v>-9045</v>
      </c>
      <c r="D27" s="28" t="n">
        <f aca="false">C27/$T$1*100</f>
        <v>-2.8265625</v>
      </c>
      <c r="E27" s="28" t="n">
        <f aca="false">E26+D27</f>
        <v>12.2578125</v>
      </c>
      <c r="F27" s="28" t="n">
        <f aca="false">MAX(0,MAX($E$2:E27))</f>
        <v>15.084375</v>
      </c>
      <c r="G27" s="28" t="n">
        <f aca="false">E27-F27</f>
        <v>-2.8265625</v>
      </c>
      <c r="H27" s="25" t="n">
        <f aca="false">IF(G27&gt;=-0.0000001,A27,H26)</f>
        <v>45915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-9045</v>
      </c>
      <c r="L27" s="28" t="n">
        <f aca="false">L26+K27/$T$1*100</f>
        <v>15.515625</v>
      </c>
      <c r="M27" s="28" t="n">
        <f aca="false">MAX(0,MAX($L$2:L27))</f>
        <v>18.3421875</v>
      </c>
      <c r="N27" s="28" t="n">
        <f aca="false">L27-M27</f>
        <v>-2.8265625</v>
      </c>
      <c r="O27" s="25" t="n">
        <f aca="false">IF(N27&gt;=-0.0000001,A27,O26)</f>
        <v>45915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45918</v>
      </c>
      <c r="B28" s="26" t="s">
        <v>82</v>
      </c>
      <c r="C28" s="27" t="n">
        <v>-15750</v>
      </c>
      <c r="D28" s="28" t="n">
        <f aca="false">C28/$T$1*100</f>
        <v>-4.921875</v>
      </c>
      <c r="E28" s="28" t="n">
        <f aca="false">E27+D28</f>
        <v>7.3359375</v>
      </c>
      <c r="F28" s="28" t="n">
        <f aca="false">MAX(0,MAX($E$2:E28))</f>
        <v>15.084375</v>
      </c>
      <c r="G28" s="28" t="n">
        <f aca="false">E28-F28</f>
        <v>-7.7484375</v>
      </c>
      <c r="H28" s="25" t="n">
        <f aca="false">IF(G28&gt;=-0.0000001,A28,H27)</f>
        <v>45915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-15750</v>
      </c>
      <c r="L28" s="28" t="n">
        <f aca="false">L27+K28/$T$1*100</f>
        <v>10.59375</v>
      </c>
      <c r="M28" s="28" t="n">
        <f aca="false">MAX(0,MAX($L$2:L28))</f>
        <v>18.3421875</v>
      </c>
      <c r="N28" s="28" t="n">
        <f aca="false">L28-M28</f>
        <v>-7.7484375</v>
      </c>
      <c r="O28" s="25" t="n">
        <f aca="false">IF(N28&gt;=-0.0000001,A28,O27)</f>
        <v>45915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45919</v>
      </c>
      <c r="B29" s="26" t="s">
        <v>83</v>
      </c>
      <c r="C29" s="27" t="n">
        <v>26831.25</v>
      </c>
      <c r="D29" s="28" t="n">
        <f aca="false">C29/$T$1*100</f>
        <v>8.384765625</v>
      </c>
      <c r="E29" s="28" t="n">
        <f aca="false">E28+D29</f>
        <v>15.720703125</v>
      </c>
      <c r="F29" s="28" t="n">
        <f aca="false">MAX(0,MAX($E$2:E29))</f>
        <v>15.720703125</v>
      </c>
      <c r="G29" s="28" t="n">
        <f aca="false">E29-F29</f>
        <v>0</v>
      </c>
      <c r="H29" s="25" t="n">
        <f aca="false">IF(G29&gt;=-0.0000001,A29,H28)</f>
        <v>45919</v>
      </c>
      <c r="I29" s="29" t="n">
        <f aca="false">IF(AND(G29&gt;=-0.0000001,G28&lt;0),1,0)</f>
        <v>1</v>
      </c>
      <c r="J29" s="30" t="n">
        <f aca="false">IF(I29=1,A29-H28,"")</f>
        <v>4</v>
      </c>
      <c r="K29" s="27" t="n">
        <f aca="false">IF(B29="Wednesday",0,C29)</f>
        <v>26831.25</v>
      </c>
      <c r="L29" s="28" t="n">
        <f aca="false">L28+K29/$T$1*100</f>
        <v>18.978515625</v>
      </c>
      <c r="M29" s="28" t="n">
        <f aca="false">MAX(0,MAX($L$2:L29))</f>
        <v>18.978515625</v>
      </c>
      <c r="N29" s="28" t="n">
        <f aca="false">L29-M29</f>
        <v>0</v>
      </c>
      <c r="O29" s="25" t="n">
        <f aca="false">IF(N29&gt;=-0.0000001,A29,O28)</f>
        <v>45919</v>
      </c>
      <c r="P29" s="29" t="n">
        <f aca="false">IF(AND(N29&gt;=-0.0000001,N28&lt;0),1,0)</f>
        <v>1</v>
      </c>
      <c r="Q29" s="30" t="n">
        <f aca="false">IF(P29=1,A29-O28,"")</f>
        <v>4</v>
      </c>
    </row>
    <row r="30" customFormat="false" ht="15" hidden="false" customHeight="false" outlineLevel="0" collapsed="false">
      <c r="A30" s="25" t="n">
        <v>45923</v>
      </c>
      <c r="B30" s="26" t="s">
        <v>80</v>
      </c>
      <c r="C30" s="27" t="n">
        <v>29306.25</v>
      </c>
      <c r="D30" s="28" t="n">
        <f aca="false">C30/$T$1*100</f>
        <v>9.158203125</v>
      </c>
      <c r="E30" s="28" t="n">
        <f aca="false">E29+D30</f>
        <v>24.87890625</v>
      </c>
      <c r="F30" s="28" t="n">
        <f aca="false">MAX(0,MAX($E$2:E30))</f>
        <v>24.87890625</v>
      </c>
      <c r="G30" s="28" t="n">
        <f aca="false">E30-F30</f>
        <v>0</v>
      </c>
      <c r="H30" s="25" t="n">
        <f aca="false">IF(G30&gt;=-0.0000001,A30,H29)</f>
        <v>45923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29306.25</v>
      </c>
      <c r="L30" s="28" t="n">
        <f aca="false">L29+K30/$T$1*100</f>
        <v>28.13671875</v>
      </c>
      <c r="M30" s="28" t="n">
        <f aca="false">MAX(0,MAX($L$2:L30))</f>
        <v>28.13671875</v>
      </c>
      <c r="N30" s="28" t="n">
        <f aca="false">L30-M30</f>
        <v>0</v>
      </c>
      <c r="O30" s="25" t="n">
        <f aca="false">IF(N30&gt;=-0.0000001,A30,O29)</f>
        <v>45923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45929</v>
      </c>
      <c r="B31" s="26" t="s">
        <v>79</v>
      </c>
      <c r="C31" s="27" t="n">
        <v>30843.75</v>
      </c>
      <c r="D31" s="28" t="n">
        <f aca="false">C31/$T$1*100</f>
        <v>9.638671875</v>
      </c>
      <c r="E31" s="28" t="n">
        <f aca="false">E30+D31</f>
        <v>34.517578125</v>
      </c>
      <c r="F31" s="28" t="n">
        <f aca="false">MAX(0,MAX($E$2:E31))</f>
        <v>34.517578125</v>
      </c>
      <c r="G31" s="28" t="n">
        <f aca="false">E31-F31</f>
        <v>0</v>
      </c>
      <c r="H31" s="25" t="n">
        <f aca="false">IF(G31&gt;=-0.0000001,A31,H30)</f>
        <v>45929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30843.75</v>
      </c>
      <c r="L31" s="28" t="n">
        <f aca="false">L30+K31/$T$1*100</f>
        <v>37.775390625</v>
      </c>
      <c r="M31" s="28" t="n">
        <f aca="false">MAX(0,MAX($L$2:L31))</f>
        <v>37.775390625</v>
      </c>
      <c r="N31" s="28" t="n">
        <f aca="false">L31-M31</f>
        <v>0</v>
      </c>
      <c r="O31" s="25" t="n">
        <f aca="false">IF(N31&gt;=-0.0000001,A31,O30)</f>
        <v>45929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45930</v>
      </c>
      <c r="B32" s="26" t="s">
        <v>80</v>
      </c>
      <c r="C32" s="27" t="n">
        <v>7650</v>
      </c>
      <c r="D32" s="28" t="n">
        <f aca="false">C32/$T$1*100</f>
        <v>2.390625</v>
      </c>
      <c r="E32" s="28" t="n">
        <f aca="false">E31+D32</f>
        <v>36.908203125</v>
      </c>
      <c r="F32" s="28" t="n">
        <f aca="false">MAX(0,MAX($E$2:E32))</f>
        <v>36.908203125</v>
      </c>
      <c r="G32" s="28" t="n">
        <f aca="false">E32-F32</f>
        <v>0</v>
      </c>
      <c r="H32" s="25" t="n">
        <f aca="false">IF(G32&gt;=-0.0000001,A32,H31)</f>
        <v>45930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7650</v>
      </c>
      <c r="L32" s="28" t="n">
        <f aca="false">L31+K32/$T$1*100</f>
        <v>40.166015625</v>
      </c>
      <c r="M32" s="28" t="n">
        <f aca="false">MAX(0,MAX($L$2:L32))</f>
        <v>40.166015625</v>
      </c>
      <c r="N32" s="28" t="n">
        <f aca="false">L32-M32</f>
        <v>0</v>
      </c>
      <c r="O32" s="25" t="n">
        <f aca="false">IF(N32&gt;=-0.0000001,A32,O31)</f>
        <v>45930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45933</v>
      </c>
      <c r="B33" s="26" t="s">
        <v>83</v>
      </c>
      <c r="C33" s="27" t="n">
        <v>-15131.25</v>
      </c>
      <c r="D33" s="28" t="n">
        <f aca="false">C33/$T$1*100</f>
        <v>-4.728515625</v>
      </c>
      <c r="E33" s="28" t="n">
        <f aca="false">E32+D33</f>
        <v>32.1796875</v>
      </c>
      <c r="F33" s="28" t="n">
        <f aca="false">MAX(0,MAX($E$2:E33))</f>
        <v>36.908203125</v>
      </c>
      <c r="G33" s="28" t="n">
        <f aca="false">E33-F33</f>
        <v>-4.728515625</v>
      </c>
      <c r="H33" s="25" t="n">
        <f aca="false">IF(G33&gt;=-0.0000001,A33,H32)</f>
        <v>45930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-15131.25</v>
      </c>
      <c r="L33" s="28" t="n">
        <f aca="false">L32+K33/$T$1*100</f>
        <v>35.4375</v>
      </c>
      <c r="M33" s="28" t="n">
        <f aca="false">MAX(0,MAX($L$2:L33))</f>
        <v>40.166015625</v>
      </c>
      <c r="N33" s="28" t="n">
        <f aca="false">L33-M33</f>
        <v>-4.728515625</v>
      </c>
      <c r="O33" s="25" t="n">
        <f aca="false">IF(N33&gt;=-0.0000001,A33,O32)</f>
        <v>45930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45936</v>
      </c>
      <c r="B34" s="26" t="s">
        <v>79</v>
      </c>
      <c r="C34" s="27" t="n">
        <v>-15225</v>
      </c>
      <c r="D34" s="28" t="n">
        <f aca="false">C34/$T$1*100</f>
        <v>-4.7578125</v>
      </c>
      <c r="E34" s="28" t="n">
        <f aca="false">E33+D34</f>
        <v>27.421875</v>
      </c>
      <c r="F34" s="28" t="n">
        <f aca="false">MAX(0,MAX($E$2:E34))</f>
        <v>36.908203125</v>
      </c>
      <c r="G34" s="28" t="n">
        <f aca="false">E34-F34</f>
        <v>-9.486328125</v>
      </c>
      <c r="H34" s="25" t="n">
        <f aca="false">IF(G34&gt;=-0.0000001,A34,H33)</f>
        <v>45930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-15225</v>
      </c>
      <c r="L34" s="28" t="n">
        <f aca="false">L33+K34/$T$1*100</f>
        <v>30.6796875</v>
      </c>
      <c r="M34" s="28" t="n">
        <f aca="false">MAX(0,MAX($L$2:L34))</f>
        <v>40.166015625</v>
      </c>
      <c r="N34" s="28" t="n">
        <f aca="false">L34-M34</f>
        <v>-9.486328125</v>
      </c>
      <c r="O34" s="25" t="n">
        <f aca="false">IF(N34&gt;=-0.0000001,A34,O33)</f>
        <v>45930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45937</v>
      </c>
      <c r="B35" s="26" t="s">
        <v>80</v>
      </c>
      <c r="C35" s="27" t="n">
        <v>-4878.75</v>
      </c>
      <c r="D35" s="28" t="n">
        <f aca="false">C35/$T$1*100</f>
        <v>-1.524609375</v>
      </c>
      <c r="E35" s="28" t="n">
        <f aca="false">E34+D35</f>
        <v>25.897265625</v>
      </c>
      <c r="F35" s="28" t="n">
        <f aca="false">MAX(0,MAX($E$2:E35))</f>
        <v>36.908203125</v>
      </c>
      <c r="G35" s="28" t="n">
        <f aca="false">E35-F35</f>
        <v>-11.0109375</v>
      </c>
      <c r="H35" s="25" t="n">
        <f aca="false">IF(G35&gt;=-0.0000001,A35,H34)</f>
        <v>45930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-4878.75</v>
      </c>
      <c r="L35" s="28" t="n">
        <f aca="false">L34+K35/$T$1*100</f>
        <v>29.155078125</v>
      </c>
      <c r="M35" s="28" t="n">
        <f aca="false">MAX(0,MAX($L$2:L35))</f>
        <v>40.166015625</v>
      </c>
      <c r="N35" s="28" t="n">
        <f aca="false">L35-M35</f>
        <v>-11.0109375</v>
      </c>
      <c r="O35" s="25" t="n">
        <f aca="false">IF(N35&gt;=-0.0000001,A35,O34)</f>
        <v>45930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45939</v>
      </c>
      <c r="B36" s="26" t="s">
        <v>82</v>
      </c>
      <c r="C36" s="27" t="n">
        <v>-5662.5</v>
      </c>
      <c r="D36" s="28" t="n">
        <f aca="false">C36/$T$1*100</f>
        <v>-1.76953125</v>
      </c>
      <c r="E36" s="28" t="n">
        <f aca="false">E35+D36</f>
        <v>24.127734375</v>
      </c>
      <c r="F36" s="28" t="n">
        <f aca="false">MAX(0,MAX($E$2:E36))</f>
        <v>36.908203125</v>
      </c>
      <c r="G36" s="28" t="n">
        <f aca="false">E36-F36</f>
        <v>-12.78046875</v>
      </c>
      <c r="H36" s="25" t="n">
        <f aca="false">IF(G36&gt;=-0.0000001,A36,H35)</f>
        <v>45930</v>
      </c>
      <c r="I36" s="29" t="n">
        <f aca="false">IF(AND(G36&gt;=-0.0000001,G35&lt;0),1,0)</f>
        <v>0</v>
      </c>
      <c r="J36" s="30" t="str">
        <f aca="false">IF(I36=1,A36-H35,"")</f>
        <v/>
      </c>
      <c r="K36" s="27" t="n">
        <f aca="false">IF(B36="Wednesday",0,C36)</f>
        <v>-5662.5</v>
      </c>
      <c r="L36" s="28" t="n">
        <f aca="false">L35+K36/$T$1*100</f>
        <v>27.385546875</v>
      </c>
      <c r="M36" s="28" t="n">
        <f aca="false">MAX(0,MAX($L$2:L36))</f>
        <v>40.166015625</v>
      </c>
      <c r="N36" s="28" t="n">
        <f aca="false">L36-M36</f>
        <v>-12.78046875</v>
      </c>
      <c r="O36" s="25" t="n">
        <f aca="false">IF(N36&gt;=-0.0000001,A36,O35)</f>
        <v>45930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45943</v>
      </c>
      <c r="B37" s="26" t="s">
        <v>79</v>
      </c>
      <c r="C37" s="27" t="n">
        <v>28237.5</v>
      </c>
      <c r="D37" s="28" t="n">
        <f aca="false">C37/$T$1*100</f>
        <v>8.82421875</v>
      </c>
      <c r="E37" s="28" t="n">
        <f aca="false">E36+D37</f>
        <v>32.951953125</v>
      </c>
      <c r="F37" s="28" t="n">
        <f aca="false">MAX(0,MAX($E$2:E37))</f>
        <v>36.908203125</v>
      </c>
      <c r="G37" s="28" t="n">
        <f aca="false">E37-F37</f>
        <v>-3.95625</v>
      </c>
      <c r="H37" s="25" t="n">
        <f aca="false">IF(G37&gt;=-0.0000001,A37,H36)</f>
        <v>45930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28237.5</v>
      </c>
      <c r="L37" s="28" t="n">
        <f aca="false">L36+K37/$T$1*100</f>
        <v>36.209765625</v>
      </c>
      <c r="M37" s="28" t="n">
        <f aca="false">MAX(0,MAX($L$2:L37))</f>
        <v>40.166015625</v>
      </c>
      <c r="N37" s="28" t="n">
        <f aca="false">L37-M37</f>
        <v>-3.95625</v>
      </c>
      <c r="O37" s="25" t="n">
        <f aca="false">IF(N37&gt;=-0.0000001,A37,O36)</f>
        <v>45930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45944</v>
      </c>
      <c r="B38" s="26" t="s">
        <v>80</v>
      </c>
      <c r="C38" s="27" t="n">
        <v>12712.5</v>
      </c>
      <c r="D38" s="28" t="n">
        <f aca="false">C38/$T$1*100</f>
        <v>3.97265625</v>
      </c>
      <c r="E38" s="28" t="n">
        <f aca="false">E37+D38</f>
        <v>36.924609375</v>
      </c>
      <c r="F38" s="28" t="n">
        <f aca="false">MAX(0,MAX($E$2:E38))</f>
        <v>36.924609375</v>
      </c>
      <c r="G38" s="28" t="n">
        <f aca="false">E38-F38</f>
        <v>0</v>
      </c>
      <c r="H38" s="25" t="n">
        <f aca="false">IF(G38&gt;=-0.0000001,A38,H37)</f>
        <v>45944</v>
      </c>
      <c r="I38" s="29" t="n">
        <f aca="false">IF(AND(G38&gt;=-0.0000001,G37&lt;0),1,0)</f>
        <v>1</v>
      </c>
      <c r="J38" s="30" t="n">
        <f aca="false">IF(I38=1,A38-H37,"")</f>
        <v>14</v>
      </c>
      <c r="K38" s="27" t="n">
        <f aca="false">IF(B38="Wednesday",0,C38)</f>
        <v>12712.5</v>
      </c>
      <c r="L38" s="28" t="n">
        <f aca="false">L37+K38/$T$1*100</f>
        <v>40.182421875</v>
      </c>
      <c r="M38" s="28" t="n">
        <f aca="false">MAX(0,MAX($L$2:L38))</f>
        <v>40.182421875</v>
      </c>
      <c r="N38" s="28" t="n">
        <f aca="false">L38-M38</f>
        <v>0</v>
      </c>
      <c r="O38" s="25" t="n">
        <f aca="false">IF(N38&gt;=-0.0000001,A38,O37)</f>
        <v>45944</v>
      </c>
      <c r="P38" s="29" t="n">
        <f aca="false">IF(AND(N38&gt;=-0.0000001,N37&lt;0),1,0)</f>
        <v>1</v>
      </c>
      <c r="Q38" s="30" t="n">
        <f aca="false">IF(P38=1,A38-O37,"")</f>
        <v>14</v>
      </c>
    </row>
    <row r="39" customFormat="false" ht="15" hidden="false" customHeight="false" outlineLevel="0" collapsed="false">
      <c r="A39" s="25" t="n">
        <v>45946</v>
      </c>
      <c r="B39" s="26" t="s">
        <v>82</v>
      </c>
      <c r="C39" s="27" t="n">
        <v>-27780</v>
      </c>
      <c r="D39" s="28" t="n">
        <f aca="false">C39/$T$1*100</f>
        <v>-8.68125</v>
      </c>
      <c r="E39" s="28" t="n">
        <f aca="false">E38+D39</f>
        <v>28.243359375</v>
      </c>
      <c r="F39" s="28" t="n">
        <f aca="false">MAX(0,MAX($E$2:E39))</f>
        <v>36.924609375</v>
      </c>
      <c r="G39" s="28" t="n">
        <f aca="false">E39-F39</f>
        <v>-8.68125</v>
      </c>
      <c r="H39" s="25" t="n">
        <f aca="false">IF(G39&gt;=-0.0000001,A39,H38)</f>
        <v>45944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-27780</v>
      </c>
      <c r="L39" s="28" t="n">
        <f aca="false">L38+K39/$T$1*100</f>
        <v>31.501171875</v>
      </c>
      <c r="M39" s="28" t="n">
        <f aca="false">MAX(0,MAX($L$2:L39))</f>
        <v>40.182421875</v>
      </c>
      <c r="N39" s="28" t="n">
        <f aca="false">L39-M39</f>
        <v>-8.68125</v>
      </c>
      <c r="O39" s="25" t="n">
        <f aca="false">IF(N39&gt;=-0.0000001,A39,O38)</f>
        <v>45944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45947</v>
      </c>
      <c r="B40" s="26" t="s">
        <v>83</v>
      </c>
      <c r="C40" s="27" t="n">
        <v>-14115</v>
      </c>
      <c r="D40" s="28" t="n">
        <f aca="false">C40/$T$1*100</f>
        <v>-4.4109375</v>
      </c>
      <c r="E40" s="28" t="n">
        <f aca="false">E39+D40</f>
        <v>23.832421875</v>
      </c>
      <c r="F40" s="28" t="n">
        <f aca="false">MAX(0,MAX($E$2:E40))</f>
        <v>36.924609375</v>
      </c>
      <c r="G40" s="28" t="n">
        <f aca="false">E40-F40</f>
        <v>-13.0921875</v>
      </c>
      <c r="H40" s="25" t="n">
        <f aca="false">IF(G40&gt;=-0.0000001,A40,H39)</f>
        <v>45944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-14115</v>
      </c>
      <c r="L40" s="28" t="n">
        <f aca="false">L39+K40/$T$1*100</f>
        <v>27.090234375</v>
      </c>
      <c r="M40" s="28" t="n">
        <f aca="false">MAX(0,MAX($L$2:L40))</f>
        <v>40.182421875</v>
      </c>
      <c r="N40" s="28" t="n">
        <f aca="false">L40-M40</f>
        <v>-13.0921875</v>
      </c>
      <c r="O40" s="25" t="n">
        <f aca="false">IF(N40&gt;=-0.0000001,A40,O39)</f>
        <v>45944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45950</v>
      </c>
      <c r="B41" s="26" t="s">
        <v>79</v>
      </c>
      <c r="C41" s="27" t="n">
        <v>-6885</v>
      </c>
      <c r="D41" s="28" t="n">
        <f aca="false">C41/$T$1*100</f>
        <v>-2.1515625</v>
      </c>
      <c r="E41" s="28" t="n">
        <f aca="false">E40+D41</f>
        <v>21.680859375</v>
      </c>
      <c r="F41" s="28" t="n">
        <f aca="false">MAX(0,MAX($E$2:E41))</f>
        <v>36.924609375</v>
      </c>
      <c r="G41" s="28" t="n">
        <f aca="false">E41-F41</f>
        <v>-15.24375</v>
      </c>
      <c r="H41" s="25" t="n">
        <f aca="false">IF(G41&gt;=-0.0000001,A41,H40)</f>
        <v>45944</v>
      </c>
      <c r="I41" s="29" t="n">
        <f aca="false">IF(AND(G41&gt;=-0.0000001,G40&lt;0),1,0)</f>
        <v>0</v>
      </c>
      <c r="J41" s="30" t="str">
        <f aca="false">IF(I41=1,A41-H40,"")</f>
        <v/>
      </c>
      <c r="K41" s="27" t="n">
        <f aca="false">IF(B41="Wednesday",0,C41)</f>
        <v>-6885</v>
      </c>
      <c r="L41" s="28" t="n">
        <f aca="false">L40+K41/$T$1*100</f>
        <v>24.938671875</v>
      </c>
      <c r="M41" s="28" t="n">
        <f aca="false">MAX(0,MAX($L$2:L41))</f>
        <v>40.182421875</v>
      </c>
      <c r="N41" s="28" t="n">
        <f aca="false">L41-M41</f>
        <v>-15.24375</v>
      </c>
      <c r="O41" s="25" t="n">
        <f aca="false">IF(N41&gt;=-0.0000001,A41,O40)</f>
        <v>45944</v>
      </c>
      <c r="P41" s="29" t="n">
        <f aca="false">IF(AND(N41&gt;=-0.0000001,N40&lt;0),1,0)</f>
        <v>0</v>
      </c>
      <c r="Q41" s="30" t="str">
        <f aca="false">IF(P41=1,A41-O40,"")</f>
        <v/>
      </c>
    </row>
    <row r="42" customFormat="false" ht="15" hidden="false" customHeight="false" outlineLevel="0" collapsed="false">
      <c r="A42" s="25" t="n">
        <v>45954</v>
      </c>
      <c r="B42" s="26" t="s">
        <v>83</v>
      </c>
      <c r="C42" s="27" t="n">
        <v>43350</v>
      </c>
      <c r="D42" s="28" t="n">
        <f aca="false">C42/$T$1*100</f>
        <v>13.546875</v>
      </c>
      <c r="E42" s="28" t="n">
        <f aca="false">E41+D42</f>
        <v>35.227734375</v>
      </c>
      <c r="F42" s="28" t="n">
        <f aca="false">MAX(0,MAX($E$2:E42))</f>
        <v>36.924609375</v>
      </c>
      <c r="G42" s="28" t="n">
        <f aca="false">E42-F42</f>
        <v>-1.696875</v>
      </c>
      <c r="H42" s="25" t="n">
        <f aca="false">IF(G42&gt;=-0.0000001,A42,H41)</f>
        <v>45944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43350</v>
      </c>
      <c r="L42" s="28" t="n">
        <f aca="false">L41+K42/$T$1*100</f>
        <v>38.485546875</v>
      </c>
      <c r="M42" s="28" t="n">
        <f aca="false">MAX(0,MAX($L$2:L42))</f>
        <v>40.182421875</v>
      </c>
      <c r="N42" s="28" t="n">
        <f aca="false">L42-M42</f>
        <v>-1.696875</v>
      </c>
      <c r="O42" s="25" t="n">
        <f aca="false">IF(N42&gt;=-0.0000001,A42,O41)</f>
        <v>45944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45958</v>
      </c>
      <c r="B43" s="26" t="s">
        <v>80</v>
      </c>
      <c r="C43" s="27" t="n">
        <v>35445</v>
      </c>
      <c r="D43" s="28" t="n">
        <f aca="false">C43/$T$1*100</f>
        <v>11.0765625</v>
      </c>
      <c r="E43" s="28" t="n">
        <f aca="false">E42+D43</f>
        <v>46.304296875</v>
      </c>
      <c r="F43" s="28" t="n">
        <f aca="false">MAX(0,MAX($E$2:E43))</f>
        <v>46.304296875</v>
      </c>
      <c r="G43" s="28" t="n">
        <f aca="false">E43-F43</f>
        <v>0</v>
      </c>
      <c r="H43" s="25" t="n">
        <f aca="false">IF(G43&gt;=-0.0000001,A43,H42)</f>
        <v>45958</v>
      </c>
      <c r="I43" s="29" t="n">
        <f aca="false">IF(AND(G43&gt;=-0.0000001,G42&lt;0),1,0)</f>
        <v>1</v>
      </c>
      <c r="J43" s="30" t="n">
        <f aca="false">IF(I43=1,A43-H42,"")</f>
        <v>14</v>
      </c>
      <c r="K43" s="27" t="n">
        <f aca="false">IF(B43="Wednesday",0,C43)</f>
        <v>35445</v>
      </c>
      <c r="L43" s="28" t="n">
        <f aca="false">L42+K43/$T$1*100</f>
        <v>49.562109375</v>
      </c>
      <c r="M43" s="28" t="n">
        <f aca="false">MAX(0,MAX($L$2:L43))</f>
        <v>49.562109375</v>
      </c>
      <c r="N43" s="28" t="n">
        <f aca="false">L43-M43</f>
        <v>0</v>
      </c>
      <c r="O43" s="25" t="n">
        <f aca="false">IF(N43&gt;=-0.0000001,A43,O42)</f>
        <v>45958</v>
      </c>
      <c r="P43" s="29" t="n">
        <f aca="false">IF(AND(N43&gt;=-0.0000001,N42&lt;0),1,0)</f>
        <v>1</v>
      </c>
      <c r="Q43" s="30" t="n">
        <f aca="false">IF(P43=1,A43-O42,"")</f>
        <v>14</v>
      </c>
    </row>
    <row r="44" customFormat="false" ht="15" hidden="false" customHeight="false" outlineLevel="0" collapsed="false">
      <c r="A44" s="25" t="n">
        <v>45960</v>
      </c>
      <c r="B44" s="26" t="s">
        <v>82</v>
      </c>
      <c r="C44" s="27" t="n">
        <v>23730</v>
      </c>
      <c r="D44" s="28" t="n">
        <f aca="false">C44/$T$1*100</f>
        <v>7.415625</v>
      </c>
      <c r="E44" s="28" t="n">
        <f aca="false">E43+D44</f>
        <v>53.719921875</v>
      </c>
      <c r="F44" s="28" t="n">
        <f aca="false">MAX(0,MAX($E$2:E44))</f>
        <v>53.719921875</v>
      </c>
      <c r="G44" s="28" t="n">
        <f aca="false">E44-F44</f>
        <v>0</v>
      </c>
      <c r="H44" s="25" t="n">
        <f aca="false">IF(G44&gt;=-0.0000001,A44,H43)</f>
        <v>45960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23730</v>
      </c>
      <c r="L44" s="28" t="n">
        <f aca="false">L43+K44/$T$1*100</f>
        <v>56.977734375</v>
      </c>
      <c r="M44" s="28" t="n">
        <f aca="false">MAX(0,MAX($L$2:L44))</f>
        <v>56.977734375</v>
      </c>
      <c r="N44" s="28" t="n">
        <f aca="false">L44-M44</f>
        <v>0</v>
      </c>
      <c r="O44" s="25" t="n">
        <f aca="false">IF(N44&gt;=-0.0000001,A44,O43)</f>
        <v>45960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45964</v>
      </c>
      <c r="B45" s="26" t="s">
        <v>79</v>
      </c>
      <c r="C45" s="27" t="n">
        <v>14160</v>
      </c>
      <c r="D45" s="28" t="n">
        <f aca="false">C45/$T$1*100</f>
        <v>4.425</v>
      </c>
      <c r="E45" s="28" t="n">
        <f aca="false">E44+D45</f>
        <v>58.144921875</v>
      </c>
      <c r="F45" s="28" t="n">
        <f aca="false">MAX(0,MAX($E$2:E45))</f>
        <v>58.144921875</v>
      </c>
      <c r="G45" s="28" t="n">
        <f aca="false">E45-F45</f>
        <v>0</v>
      </c>
      <c r="H45" s="25" t="n">
        <f aca="false">IF(G45&gt;=-0.0000001,A45,H44)</f>
        <v>45964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14160</v>
      </c>
      <c r="L45" s="28" t="n">
        <f aca="false">L44+K45/$T$1*100</f>
        <v>61.402734375</v>
      </c>
      <c r="M45" s="28" t="n">
        <f aca="false">MAX(0,MAX($L$2:L45))</f>
        <v>61.402734375</v>
      </c>
      <c r="N45" s="28" t="n">
        <f aca="false">L45-M45</f>
        <v>0</v>
      </c>
      <c r="O45" s="25" t="n">
        <f aca="false">IF(N45&gt;=-0.0000001,A45,O44)</f>
        <v>45964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45965</v>
      </c>
      <c r="B46" s="26" t="s">
        <v>80</v>
      </c>
      <c r="C46" s="27" t="n">
        <v>28890</v>
      </c>
      <c r="D46" s="28" t="n">
        <f aca="false">C46/$T$1*100</f>
        <v>9.028125</v>
      </c>
      <c r="E46" s="28" t="n">
        <f aca="false">E45+D46</f>
        <v>67.173046875</v>
      </c>
      <c r="F46" s="28" t="n">
        <f aca="false">MAX(0,MAX($E$2:E46))</f>
        <v>67.173046875</v>
      </c>
      <c r="G46" s="28" t="n">
        <f aca="false">E46-F46</f>
        <v>0</v>
      </c>
      <c r="H46" s="25" t="n">
        <f aca="false">IF(G46&gt;=-0.0000001,A46,H45)</f>
        <v>45965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28890</v>
      </c>
      <c r="L46" s="28" t="n">
        <f aca="false">L45+K46/$T$1*100</f>
        <v>70.430859375</v>
      </c>
      <c r="M46" s="28" t="n">
        <f aca="false">MAX(0,MAX($L$2:L46))</f>
        <v>70.430859375</v>
      </c>
      <c r="N46" s="28" t="n">
        <f aca="false">L46-M46</f>
        <v>0</v>
      </c>
      <c r="O46" s="25" t="n">
        <f aca="false">IF(N46&gt;=-0.0000001,A46,O45)</f>
        <v>45965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45968</v>
      </c>
      <c r="B47" s="26" t="s">
        <v>83</v>
      </c>
      <c r="C47" s="27" t="n">
        <v>16035</v>
      </c>
      <c r="D47" s="28" t="n">
        <f aca="false">C47/$T$1*100</f>
        <v>5.0109375</v>
      </c>
      <c r="E47" s="28" t="n">
        <f aca="false">E46+D47</f>
        <v>72.183984375</v>
      </c>
      <c r="F47" s="28" t="n">
        <f aca="false">MAX(0,MAX($E$2:E47))</f>
        <v>72.183984375</v>
      </c>
      <c r="G47" s="28" t="n">
        <f aca="false">E47-F47</f>
        <v>0</v>
      </c>
      <c r="H47" s="25" t="n">
        <f aca="false">IF(G47&gt;=-0.0000001,A47,H46)</f>
        <v>45968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16035</v>
      </c>
      <c r="L47" s="28" t="n">
        <f aca="false">L46+K47/$T$1*100</f>
        <v>75.441796875</v>
      </c>
      <c r="M47" s="28" t="n">
        <f aca="false">MAX(0,MAX($L$2:L47))</f>
        <v>75.441796875</v>
      </c>
      <c r="N47" s="28" t="n">
        <f aca="false">L47-M47</f>
        <v>0</v>
      </c>
      <c r="O47" s="25" t="n">
        <f aca="false">IF(N47&gt;=-0.0000001,A47,O46)</f>
        <v>45968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45972</v>
      </c>
      <c r="B48" s="26" t="s">
        <v>80</v>
      </c>
      <c r="C48" s="27" t="n">
        <v>6195</v>
      </c>
      <c r="D48" s="28" t="n">
        <f aca="false">C48/$T$1*100</f>
        <v>1.9359375</v>
      </c>
      <c r="E48" s="28" t="n">
        <f aca="false">E47+D48</f>
        <v>74.119921875</v>
      </c>
      <c r="F48" s="28" t="n">
        <f aca="false">MAX(0,MAX($E$2:E48))</f>
        <v>74.119921875</v>
      </c>
      <c r="G48" s="28" t="n">
        <f aca="false">E48-F48</f>
        <v>0</v>
      </c>
      <c r="H48" s="25" t="n">
        <f aca="false">IF(G48&gt;=-0.0000001,A48,H47)</f>
        <v>45972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6195</v>
      </c>
      <c r="L48" s="28" t="n">
        <f aca="false">L47+K48/$T$1*100</f>
        <v>77.377734375</v>
      </c>
      <c r="M48" s="28" t="n">
        <f aca="false">MAX(0,MAX($L$2:L48))</f>
        <v>77.377734375</v>
      </c>
      <c r="N48" s="28" t="n">
        <f aca="false">L48-M48</f>
        <v>0</v>
      </c>
      <c r="O48" s="25" t="n">
        <f aca="false">IF(N48&gt;=-0.0000001,A48,O47)</f>
        <v>45972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45974</v>
      </c>
      <c r="B49" s="26" t="s">
        <v>82</v>
      </c>
      <c r="C49" s="27" t="n">
        <v>-14160</v>
      </c>
      <c r="D49" s="28" t="n">
        <f aca="false">C49/$T$1*100</f>
        <v>-4.425</v>
      </c>
      <c r="E49" s="28" t="n">
        <f aca="false">E48+D49</f>
        <v>69.694921875</v>
      </c>
      <c r="F49" s="28" t="n">
        <f aca="false">MAX(0,MAX($E$2:E49))</f>
        <v>74.119921875</v>
      </c>
      <c r="G49" s="28" t="n">
        <f aca="false">E49-F49</f>
        <v>-4.425</v>
      </c>
      <c r="H49" s="25" t="n">
        <f aca="false">IF(G49&gt;=-0.0000001,A49,H48)</f>
        <v>45972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-14160</v>
      </c>
      <c r="L49" s="28" t="n">
        <f aca="false">L48+K49/$T$1*100</f>
        <v>72.952734375</v>
      </c>
      <c r="M49" s="28" t="n">
        <f aca="false">MAX(0,MAX($L$2:L49))</f>
        <v>77.377734375</v>
      </c>
      <c r="N49" s="28" t="n">
        <f aca="false">L49-M49</f>
        <v>-4.425</v>
      </c>
      <c r="O49" s="25" t="n">
        <f aca="false">IF(N49&gt;=-0.0000001,A49,O48)</f>
        <v>45972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45975</v>
      </c>
      <c r="B50" s="26" t="s">
        <v>83</v>
      </c>
      <c r="C50" s="27" t="n">
        <v>18390</v>
      </c>
      <c r="D50" s="28" t="n">
        <f aca="false">C50/$T$1*100</f>
        <v>5.746875</v>
      </c>
      <c r="E50" s="28" t="n">
        <f aca="false">E49+D50</f>
        <v>75.441796875</v>
      </c>
      <c r="F50" s="28" t="n">
        <f aca="false">MAX(0,MAX($E$2:E50))</f>
        <v>75.441796875</v>
      </c>
      <c r="G50" s="28" t="n">
        <f aca="false">E50-F50</f>
        <v>0</v>
      </c>
      <c r="H50" s="25" t="n">
        <f aca="false">IF(G50&gt;=-0.0000001,A50,H49)</f>
        <v>45975</v>
      </c>
      <c r="I50" s="29" t="n">
        <f aca="false">IF(AND(G50&gt;=-0.0000001,G49&lt;0),1,0)</f>
        <v>1</v>
      </c>
      <c r="J50" s="30" t="n">
        <f aca="false">IF(I50=1,A50-H49,"")</f>
        <v>3</v>
      </c>
      <c r="K50" s="27" t="n">
        <f aca="false">IF(B50="Wednesday",0,C50)</f>
        <v>18390</v>
      </c>
      <c r="L50" s="28" t="n">
        <f aca="false">L49+K50/$T$1*100</f>
        <v>78.699609375</v>
      </c>
      <c r="M50" s="28" t="n">
        <f aca="false">MAX(0,MAX($L$2:L50))</f>
        <v>78.699609375</v>
      </c>
      <c r="N50" s="28" t="n">
        <f aca="false">L50-M50</f>
        <v>0</v>
      </c>
      <c r="O50" s="25" t="n">
        <f aca="false">IF(N50&gt;=-0.0000001,A50,O49)</f>
        <v>45975</v>
      </c>
      <c r="P50" s="29" t="n">
        <f aca="false">IF(AND(N50&gt;=-0.0000001,N49&lt;0),1,0)</f>
        <v>1</v>
      </c>
      <c r="Q50" s="30" t="n">
        <f aca="false">IF(P50=1,A50-O49,"")</f>
        <v>3</v>
      </c>
    </row>
    <row r="51" customFormat="false" ht="15" hidden="false" customHeight="false" outlineLevel="0" collapsed="false">
      <c r="A51" s="25" t="n">
        <v>45979</v>
      </c>
      <c r="B51" s="26" t="s">
        <v>80</v>
      </c>
      <c r="C51" s="27" t="n">
        <v>27225</v>
      </c>
      <c r="D51" s="28" t="n">
        <f aca="false">C51/$T$1*100</f>
        <v>8.5078125</v>
      </c>
      <c r="E51" s="28" t="n">
        <f aca="false">E50+D51</f>
        <v>83.949609375</v>
      </c>
      <c r="F51" s="28" t="n">
        <f aca="false">MAX(0,MAX($E$2:E51))</f>
        <v>83.949609375</v>
      </c>
      <c r="G51" s="28" t="n">
        <f aca="false">E51-F51</f>
        <v>0</v>
      </c>
      <c r="H51" s="25" t="n">
        <f aca="false">IF(G51&gt;=-0.0000001,A51,H50)</f>
        <v>45979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27225</v>
      </c>
      <c r="L51" s="28" t="n">
        <f aca="false">L50+K51/$T$1*100</f>
        <v>87.207421875</v>
      </c>
      <c r="M51" s="28" t="n">
        <f aca="false">MAX(0,MAX($L$2:L51))</f>
        <v>87.207421875</v>
      </c>
      <c r="N51" s="28" t="n">
        <f aca="false">L51-M51</f>
        <v>0</v>
      </c>
      <c r="O51" s="25" t="n">
        <f aca="false">IF(N51&gt;=-0.0000001,A51,O50)</f>
        <v>45979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45981</v>
      </c>
      <c r="B52" s="26" t="s">
        <v>82</v>
      </c>
      <c r="C52" s="27" t="n">
        <v>-15990</v>
      </c>
      <c r="D52" s="28" t="n">
        <f aca="false">C52/$T$1*100</f>
        <v>-4.996875</v>
      </c>
      <c r="E52" s="28" t="n">
        <f aca="false">E51+D52</f>
        <v>78.952734375</v>
      </c>
      <c r="F52" s="28" t="n">
        <f aca="false">MAX(0,MAX($E$2:E52))</f>
        <v>83.949609375</v>
      </c>
      <c r="G52" s="28" t="n">
        <f aca="false">E52-F52</f>
        <v>-4.996875</v>
      </c>
      <c r="H52" s="25" t="n">
        <f aca="false">IF(G52&gt;=-0.0000001,A52,H51)</f>
        <v>45979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-15990</v>
      </c>
      <c r="L52" s="28" t="n">
        <f aca="false">L51+K52/$T$1*100</f>
        <v>82.210546875</v>
      </c>
      <c r="M52" s="28" t="n">
        <f aca="false">MAX(0,MAX($L$2:L52))</f>
        <v>87.207421875</v>
      </c>
      <c r="N52" s="28" t="n">
        <f aca="false">L52-M52</f>
        <v>-4.996875</v>
      </c>
      <c r="O52" s="25" t="n">
        <f aca="false">IF(N52&gt;=-0.0000001,A52,O51)</f>
        <v>45979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45982</v>
      </c>
      <c r="B53" s="26" t="s">
        <v>83</v>
      </c>
      <c r="C53" s="27" t="n">
        <v>17385</v>
      </c>
      <c r="D53" s="28" t="n">
        <f aca="false">C53/$T$1*100</f>
        <v>5.4328125</v>
      </c>
      <c r="E53" s="28" t="n">
        <f aca="false">E52+D53</f>
        <v>84.385546875</v>
      </c>
      <c r="F53" s="28" t="n">
        <f aca="false">MAX(0,MAX($E$2:E53))</f>
        <v>84.385546875</v>
      </c>
      <c r="G53" s="28" t="n">
        <f aca="false">E53-F53</f>
        <v>0</v>
      </c>
      <c r="H53" s="25" t="n">
        <f aca="false">IF(G53&gt;=-0.0000001,A53,H52)</f>
        <v>45982</v>
      </c>
      <c r="I53" s="29" t="n">
        <f aca="false">IF(AND(G53&gt;=-0.0000001,G52&lt;0),1,0)</f>
        <v>1</v>
      </c>
      <c r="J53" s="30" t="n">
        <f aca="false">IF(I53=1,A53-H52,"")</f>
        <v>3</v>
      </c>
      <c r="K53" s="27" t="n">
        <f aca="false">IF(B53="Wednesday",0,C53)</f>
        <v>17385</v>
      </c>
      <c r="L53" s="28" t="n">
        <f aca="false">L52+K53/$T$1*100</f>
        <v>87.643359375</v>
      </c>
      <c r="M53" s="28" t="n">
        <f aca="false">MAX(0,MAX($L$2:L53))</f>
        <v>87.643359375</v>
      </c>
      <c r="N53" s="28" t="n">
        <f aca="false">L53-M53</f>
        <v>0</v>
      </c>
      <c r="O53" s="25" t="n">
        <f aca="false">IF(N53&gt;=-0.0000001,A53,O52)</f>
        <v>45982</v>
      </c>
      <c r="P53" s="29" t="n">
        <f aca="false">IF(AND(N53&gt;=-0.0000001,N52&lt;0),1,0)</f>
        <v>1</v>
      </c>
      <c r="Q53" s="30" t="n">
        <f aca="false">IF(P53=1,A53-O52,"")</f>
        <v>3</v>
      </c>
    </row>
    <row r="54" customFormat="false" ht="15" hidden="false" customHeight="false" outlineLevel="0" collapsed="false">
      <c r="A54" s="25" t="n">
        <v>45986</v>
      </c>
      <c r="B54" s="26" t="s">
        <v>80</v>
      </c>
      <c r="C54" s="27" t="n">
        <v>19755</v>
      </c>
      <c r="D54" s="28" t="n">
        <f aca="false">C54/$T$1*100</f>
        <v>6.1734375</v>
      </c>
      <c r="E54" s="28" t="n">
        <f aca="false">E53+D54</f>
        <v>90.558984375</v>
      </c>
      <c r="F54" s="28" t="n">
        <f aca="false">MAX(0,MAX($E$2:E54))</f>
        <v>90.558984375</v>
      </c>
      <c r="G54" s="28" t="n">
        <f aca="false">E54-F54</f>
        <v>0</v>
      </c>
      <c r="H54" s="25" t="n">
        <f aca="false">IF(G54&gt;=-0.0000001,A54,H53)</f>
        <v>45986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19755</v>
      </c>
      <c r="L54" s="28" t="n">
        <f aca="false">L53+K54/$T$1*100</f>
        <v>93.816796875</v>
      </c>
      <c r="M54" s="28" t="n">
        <f aca="false">MAX(0,MAX($L$2:L54))</f>
        <v>93.816796875</v>
      </c>
      <c r="N54" s="28" t="n">
        <f aca="false">L54-M54</f>
        <v>0</v>
      </c>
      <c r="O54" s="25" t="n">
        <f aca="false">IF(N54&gt;=-0.0000001,A54,O53)</f>
        <v>45986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45987</v>
      </c>
      <c r="B55" s="26" t="s">
        <v>81</v>
      </c>
      <c r="C55" s="27" t="n">
        <v>-14670</v>
      </c>
      <c r="D55" s="28" t="n">
        <f aca="false">C55/$T$1*100</f>
        <v>-4.584375</v>
      </c>
      <c r="E55" s="28" t="n">
        <f aca="false">E54+D55</f>
        <v>85.974609375</v>
      </c>
      <c r="F55" s="28" t="n">
        <f aca="false">MAX(0,MAX($E$2:E55))</f>
        <v>90.558984375</v>
      </c>
      <c r="G55" s="28" t="n">
        <f aca="false">E55-F55</f>
        <v>-4.58437499999999</v>
      </c>
      <c r="H55" s="25" t="n">
        <f aca="false">IF(G55&gt;=-0.0000001,A55,H54)</f>
        <v>45986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0</v>
      </c>
      <c r="L55" s="28" t="n">
        <f aca="false">L54+K55/$T$1*100</f>
        <v>93.816796875</v>
      </c>
      <c r="M55" s="28" t="n">
        <f aca="false">MAX(0,MAX($L$2:L55))</f>
        <v>93.816796875</v>
      </c>
      <c r="N55" s="28" t="n">
        <f aca="false">L55-M55</f>
        <v>0</v>
      </c>
      <c r="O55" s="25" t="n">
        <f aca="false">IF(N55&gt;=-0.0000001,A55,O54)</f>
        <v>45987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45988</v>
      </c>
      <c r="B56" s="26" t="s">
        <v>82</v>
      </c>
      <c r="C56" s="27" t="n">
        <v>8130</v>
      </c>
      <c r="D56" s="28" t="n">
        <f aca="false">C56/$T$1*100</f>
        <v>2.540625</v>
      </c>
      <c r="E56" s="28" t="n">
        <f aca="false">E55+D56</f>
        <v>88.515234375</v>
      </c>
      <c r="F56" s="28" t="n">
        <f aca="false">MAX(0,MAX($E$2:E56))</f>
        <v>90.558984375</v>
      </c>
      <c r="G56" s="28" t="n">
        <f aca="false">E56-F56</f>
        <v>-2.04374999999999</v>
      </c>
      <c r="H56" s="25" t="n">
        <f aca="false">IF(G56&gt;=-0.0000001,A56,H55)</f>
        <v>45986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8130</v>
      </c>
      <c r="L56" s="28" t="n">
        <f aca="false">L55+K56/$T$1*100</f>
        <v>96.357421875</v>
      </c>
      <c r="M56" s="28" t="n">
        <f aca="false">MAX(0,MAX($L$2:L56))</f>
        <v>96.357421875</v>
      </c>
      <c r="N56" s="28" t="n">
        <f aca="false">L56-M56</f>
        <v>0</v>
      </c>
      <c r="O56" s="25" t="n">
        <f aca="false">IF(N56&gt;=-0.0000001,A56,O55)</f>
        <v>45988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45992</v>
      </c>
      <c r="B57" s="26" t="s">
        <v>79</v>
      </c>
      <c r="C57" s="27" t="n">
        <v>20700</v>
      </c>
      <c r="D57" s="28" t="n">
        <f aca="false">C57/$T$1*100</f>
        <v>6.46875</v>
      </c>
      <c r="E57" s="28" t="n">
        <f aca="false">E56+D57</f>
        <v>94.983984375</v>
      </c>
      <c r="F57" s="28" t="n">
        <f aca="false">MAX(0,MAX($E$2:E57))</f>
        <v>94.983984375</v>
      </c>
      <c r="G57" s="28" t="n">
        <f aca="false">E57-F57</f>
        <v>0</v>
      </c>
      <c r="H57" s="25" t="n">
        <f aca="false">IF(G57&gt;=-0.0000001,A57,H56)</f>
        <v>45992</v>
      </c>
      <c r="I57" s="29" t="n">
        <f aca="false">IF(AND(G57&gt;=-0.0000001,G56&lt;0),1,0)</f>
        <v>1</v>
      </c>
      <c r="J57" s="30" t="n">
        <f aca="false">IF(I57=1,A57-H56,"")</f>
        <v>6</v>
      </c>
      <c r="K57" s="27" t="n">
        <f aca="false">IF(B57="Wednesday",0,C57)</f>
        <v>20700</v>
      </c>
      <c r="L57" s="28" t="n">
        <f aca="false">L56+K57/$T$1*100</f>
        <v>102.826171875</v>
      </c>
      <c r="M57" s="28" t="n">
        <f aca="false">MAX(0,MAX($L$2:L57))</f>
        <v>102.826171875</v>
      </c>
      <c r="N57" s="28" t="n">
        <f aca="false">L57-M57</f>
        <v>0</v>
      </c>
      <c r="O57" s="25" t="n">
        <f aca="false">IF(N57&gt;=-0.0000001,A57,O56)</f>
        <v>45992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45993</v>
      </c>
      <c r="B58" s="26" t="s">
        <v>80</v>
      </c>
      <c r="C58" s="27" t="n">
        <v>8775</v>
      </c>
      <c r="D58" s="28" t="n">
        <f aca="false">C58/$T$1*100</f>
        <v>2.7421875</v>
      </c>
      <c r="E58" s="28" t="n">
        <f aca="false">E57+D58</f>
        <v>97.726171875</v>
      </c>
      <c r="F58" s="28" t="n">
        <f aca="false">MAX(0,MAX($E$2:E58))</f>
        <v>97.726171875</v>
      </c>
      <c r="G58" s="28" t="n">
        <f aca="false">E58-F58</f>
        <v>0</v>
      </c>
      <c r="H58" s="25" t="n">
        <f aca="false">IF(G58&gt;=-0.0000001,A58,H57)</f>
        <v>45993</v>
      </c>
      <c r="I58" s="29" t="n">
        <f aca="false">IF(AND(G58&gt;=-0.0000001,G57&lt;0),1,0)</f>
        <v>0</v>
      </c>
      <c r="J58" s="30" t="str">
        <f aca="false">IF(I58=1,A58-H57,"")</f>
        <v/>
      </c>
      <c r="K58" s="27" t="n">
        <f aca="false">IF(B58="Wednesday",0,C58)</f>
        <v>8775</v>
      </c>
      <c r="L58" s="28" t="n">
        <f aca="false">L57+K58/$T$1*100</f>
        <v>105.568359375</v>
      </c>
      <c r="M58" s="28" t="n">
        <f aca="false">MAX(0,MAX($L$2:L58))</f>
        <v>105.568359375</v>
      </c>
      <c r="N58" s="28" t="n">
        <f aca="false">L58-M58</f>
        <v>0</v>
      </c>
      <c r="O58" s="25" t="n">
        <f aca="false">IF(N58&gt;=-0.0000001,A58,O57)</f>
        <v>45993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45995</v>
      </c>
      <c r="B59" s="26" t="s">
        <v>82</v>
      </c>
      <c r="C59" s="27" t="n">
        <v>-14955</v>
      </c>
      <c r="D59" s="28" t="n">
        <f aca="false">C59/$T$1*100</f>
        <v>-4.6734375</v>
      </c>
      <c r="E59" s="28" t="n">
        <f aca="false">E58+D59</f>
        <v>93.052734375</v>
      </c>
      <c r="F59" s="28" t="n">
        <f aca="false">MAX(0,MAX($E$2:E59))</f>
        <v>97.726171875</v>
      </c>
      <c r="G59" s="28" t="n">
        <f aca="false">E59-F59</f>
        <v>-4.67343750000001</v>
      </c>
      <c r="H59" s="25" t="n">
        <f aca="false">IF(G59&gt;=-0.0000001,A59,H58)</f>
        <v>45993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-14955</v>
      </c>
      <c r="L59" s="28" t="n">
        <f aca="false">L58+K59/$T$1*100</f>
        <v>100.894921875</v>
      </c>
      <c r="M59" s="28" t="n">
        <f aca="false">MAX(0,MAX($L$2:L59))</f>
        <v>105.568359375</v>
      </c>
      <c r="N59" s="28" t="n">
        <f aca="false">L59-M59</f>
        <v>-4.67343750000001</v>
      </c>
      <c r="O59" s="25" t="n">
        <f aca="false">IF(N59&gt;=-0.0000001,A59,O58)</f>
        <v>45993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45996</v>
      </c>
      <c r="B60" s="26" t="s">
        <v>83</v>
      </c>
      <c r="C60" s="27" t="n">
        <v>-13920</v>
      </c>
      <c r="D60" s="28" t="n">
        <f aca="false">C60/$T$1*100</f>
        <v>-4.35</v>
      </c>
      <c r="E60" s="28" t="n">
        <f aca="false">E59+D60</f>
        <v>88.702734375</v>
      </c>
      <c r="F60" s="28" t="n">
        <f aca="false">MAX(0,MAX($E$2:E60))</f>
        <v>97.726171875</v>
      </c>
      <c r="G60" s="28" t="n">
        <f aca="false">E60-F60</f>
        <v>-9.0234375</v>
      </c>
      <c r="H60" s="25" t="n">
        <f aca="false">IF(G60&gt;=-0.0000001,A60,H59)</f>
        <v>45993</v>
      </c>
      <c r="I60" s="29" t="n">
        <f aca="false">IF(AND(G60&gt;=-0.0000001,G59&lt;0),1,0)</f>
        <v>0</v>
      </c>
      <c r="J60" s="30" t="str">
        <f aca="false">IF(I60=1,A60-H59,"")</f>
        <v/>
      </c>
      <c r="K60" s="27" t="n">
        <f aca="false">IF(B60="Wednesday",0,C60)</f>
        <v>-13920</v>
      </c>
      <c r="L60" s="28" t="n">
        <f aca="false">L59+K60/$T$1*100</f>
        <v>96.544921875</v>
      </c>
      <c r="M60" s="28" t="n">
        <f aca="false">MAX(0,MAX($L$2:L60))</f>
        <v>105.568359375</v>
      </c>
      <c r="N60" s="28" t="n">
        <f aca="false">L60-M60</f>
        <v>-9.0234375</v>
      </c>
      <c r="O60" s="25" t="n">
        <f aca="false">IF(N60&gt;=-0.0000001,A60,O59)</f>
        <v>45993</v>
      </c>
      <c r="P60" s="29" t="n">
        <f aca="false">IF(AND(N60&gt;=-0.0000001,N59&lt;0),1,0)</f>
        <v>0</v>
      </c>
      <c r="Q60" s="30" t="str">
        <f aca="false">IF(P60=1,A60-O59,"")</f>
        <v/>
      </c>
    </row>
    <row r="61" customFormat="false" ht="15" hidden="false" customHeight="false" outlineLevel="0" collapsed="false">
      <c r="A61" s="25" t="n">
        <v>45999</v>
      </c>
      <c r="B61" s="26" t="s">
        <v>79</v>
      </c>
      <c r="C61" s="27" t="n">
        <v>28920</v>
      </c>
      <c r="D61" s="28" t="n">
        <f aca="false">C61/$T$1*100</f>
        <v>9.0375</v>
      </c>
      <c r="E61" s="28" t="n">
        <f aca="false">E60+D61</f>
        <v>97.740234375</v>
      </c>
      <c r="F61" s="28" t="n">
        <f aca="false">MAX(0,MAX($E$2:E61))</f>
        <v>97.740234375</v>
      </c>
      <c r="G61" s="28" t="n">
        <f aca="false">E61-F61</f>
        <v>0</v>
      </c>
      <c r="H61" s="25" t="n">
        <f aca="false">IF(G61&gt;=-0.0000001,A61,H60)</f>
        <v>45999</v>
      </c>
      <c r="I61" s="29" t="n">
        <f aca="false">IF(AND(G61&gt;=-0.0000001,G60&lt;0),1,0)</f>
        <v>1</v>
      </c>
      <c r="J61" s="30" t="n">
        <f aca="false">IF(I61=1,A61-H60,"")</f>
        <v>6</v>
      </c>
      <c r="K61" s="27" t="n">
        <f aca="false">IF(B61="Wednesday",0,C61)</f>
        <v>28920</v>
      </c>
      <c r="L61" s="28" t="n">
        <f aca="false">L60+K61/$T$1*100</f>
        <v>105.582421875</v>
      </c>
      <c r="M61" s="28" t="n">
        <f aca="false">MAX(0,MAX($L$2:L61))</f>
        <v>105.582421875</v>
      </c>
      <c r="N61" s="28" t="n">
        <f aca="false">L61-M61</f>
        <v>0</v>
      </c>
      <c r="O61" s="25" t="n">
        <f aca="false">IF(N61&gt;=-0.0000001,A61,O60)</f>
        <v>45999</v>
      </c>
      <c r="P61" s="29" t="n">
        <f aca="false">IF(AND(N61&gt;=-0.0000001,N60&lt;0),1,0)</f>
        <v>1</v>
      </c>
      <c r="Q61" s="30" t="n">
        <f aca="false">IF(P61=1,A61-O60,"")</f>
        <v>6</v>
      </c>
    </row>
    <row r="62" customFormat="false" ht="15" hidden="false" customHeight="false" outlineLevel="0" collapsed="false">
      <c r="A62" s="25" t="n">
        <v>46000</v>
      </c>
      <c r="B62" s="26" t="s">
        <v>80</v>
      </c>
      <c r="C62" s="27" t="n">
        <v>-9112.5</v>
      </c>
      <c r="D62" s="28" t="n">
        <f aca="false">C62/$T$1*100</f>
        <v>-2.84765625</v>
      </c>
      <c r="E62" s="28" t="n">
        <f aca="false">E61+D62</f>
        <v>94.892578125</v>
      </c>
      <c r="F62" s="28" t="n">
        <f aca="false">MAX(0,MAX($E$2:E62))</f>
        <v>97.740234375</v>
      </c>
      <c r="G62" s="28" t="n">
        <f aca="false">E62-F62</f>
        <v>-2.84765625</v>
      </c>
      <c r="H62" s="25" t="n">
        <f aca="false">IF(G62&gt;=-0.0000001,A62,H61)</f>
        <v>45999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-9112.5</v>
      </c>
      <c r="L62" s="28" t="n">
        <f aca="false">L61+K62/$T$1*100</f>
        <v>102.734765625</v>
      </c>
      <c r="M62" s="28" t="n">
        <f aca="false">MAX(0,MAX($L$2:L62))</f>
        <v>105.582421875</v>
      </c>
      <c r="N62" s="28" t="n">
        <f aca="false">L62-M62</f>
        <v>-2.84765625</v>
      </c>
      <c r="O62" s="25" t="n">
        <f aca="false">IF(N62&gt;=-0.0000001,A62,O61)</f>
        <v>45999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46002</v>
      </c>
      <c r="B63" s="26" t="s">
        <v>82</v>
      </c>
      <c r="C63" s="27" t="n">
        <v>10968.75</v>
      </c>
      <c r="D63" s="28" t="n">
        <f aca="false">C63/$T$1*100</f>
        <v>3.427734375</v>
      </c>
      <c r="E63" s="28" t="n">
        <f aca="false">E62+D63</f>
        <v>98.3203125</v>
      </c>
      <c r="F63" s="28" t="n">
        <f aca="false">MAX(0,MAX($E$2:E63))</f>
        <v>98.3203125</v>
      </c>
      <c r="G63" s="28" t="n">
        <f aca="false">E63-F63</f>
        <v>0</v>
      </c>
      <c r="H63" s="25" t="n">
        <f aca="false">IF(G63&gt;=-0.0000001,A63,H62)</f>
        <v>46002</v>
      </c>
      <c r="I63" s="29" t="n">
        <f aca="false">IF(AND(G63&gt;=-0.0000001,G62&lt;0),1,0)</f>
        <v>1</v>
      </c>
      <c r="J63" s="30" t="n">
        <f aca="false">IF(I63=1,A63-H62,"")</f>
        <v>3</v>
      </c>
      <c r="K63" s="27" t="n">
        <f aca="false">IF(B63="Wednesday",0,C63)</f>
        <v>10968.75</v>
      </c>
      <c r="L63" s="28" t="n">
        <f aca="false">L62+K63/$T$1*100</f>
        <v>106.1625</v>
      </c>
      <c r="M63" s="28" t="n">
        <f aca="false">MAX(0,MAX($L$2:L63))</f>
        <v>106.1625</v>
      </c>
      <c r="N63" s="28" t="n">
        <f aca="false">L63-M63</f>
        <v>0</v>
      </c>
      <c r="O63" s="25" t="n">
        <f aca="false">IF(N63&gt;=-0.0000001,A63,O62)</f>
        <v>46002</v>
      </c>
      <c r="P63" s="29" t="n">
        <f aca="false">IF(AND(N63&gt;=-0.0000001,N62&lt;0),1,0)</f>
        <v>1</v>
      </c>
      <c r="Q63" s="30" t="n">
        <f aca="false">IF(P63=1,A63-O62,"")</f>
        <v>3</v>
      </c>
    </row>
    <row r="64" customFormat="false" ht="15" hidden="false" customHeight="false" outlineLevel="0" collapsed="false">
      <c r="A64" s="25" t="n">
        <v>46006</v>
      </c>
      <c r="B64" s="26" t="s">
        <v>79</v>
      </c>
      <c r="C64" s="27" t="n">
        <v>7815</v>
      </c>
      <c r="D64" s="28" t="n">
        <f aca="false">C64/$T$1*100</f>
        <v>2.4421875</v>
      </c>
      <c r="E64" s="28" t="n">
        <f aca="false">E63+D64</f>
        <v>100.7625</v>
      </c>
      <c r="F64" s="28" t="n">
        <f aca="false">MAX(0,MAX($E$2:E64))</f>
        <v>100.7625</v>
      </c>
      <c r="G64" s="28" t="n">
        <f aca="false">E64-F64</f>
        <v>0</v>
      </c>
      <c r="H64" s="25" t="n">
        <f aca="false">IF(G64&gt;=-0.0000001,A64,H63)</f>
        <v>46006</v>
      </c>
      <c r="I64" s="29" t="n">
        <f aca="false">IF(AND(G64&gt;=-0.0000001,G63&lt;0),1,0)</f>
        <v>0</v>
      </c>
      <c r="J64" s="30" t="str">
        <f aca="false">IF(I64=1,A64-H63,"")</f>
        <v/>
      </c>
      <c r="K64" s="27" t="n">
        <f aca="false">IF(B64="Wednesday",0,C64)</f>
        <v>7815</v>
      </c>
      <c r="L64" s="28" t="n">
        <f aca="false">L63+K64/$T$1*100</f>
        <v>108.6046875</v>
      </c>
      <c r="M64" s="28" t="n">
        <f aca="false">MAX(0,MAX($L$2:L64))</f>
        <v>108.6046875</v>
      </c>
      <c r="N64" s="28" t="n">
        <f aca="false">L64-M64</f>
        <v>0</v>
      </c>
      <c r="O64" s="25" t="n">
        <f aca="false">IF(N64&gt;=-0.0000001,A64,O63)</f>
        <v>46006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46007</v>
      </c>
      <c r="B65" s="26" t="s">
        <v>80</v>
      </c>
      <c r="C65" s="27" t="n">
        <v>6742.5</v>
      </c>
      <c r="D65" s="28" t="n">
        <f aca="false">C65/$T$1*100</f>
        <v>2.10703125</v>
      </c>
      <c r="E65" s="28" t="n">
        <f aca="false">E64+D65</f>
        <v>102.86953125</v>
      </c>
      <c r="F65" s="28" t="n">
        <f aca="false">MAX(0,MAX($E$2:E65))</f>
        <v>102.86953125</v>
      </c>
      <c r="G65" s="28" t="n">
        <f aca="false">E65-F65</f>
        <v>0</v>
      </c>
      <c r="H65" s="25" t="n">
        <f aca="false">IF(G65&gt;=-0.0000001,A65,H64)</f>
        <v>46007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6742.5</v>
      </c>
      <c r="L65" s="28" t="n">
        <f aca="false">L64+K65/$T$1*100</f>
        <v>110.71171875</v>
      </c>
      <c r="M65" s="28" t="n">
        <f aca="false">MAX(0,MAX($L$2:L65))</f>
        <v>110.71171875</v>
      </c>
      <c r="N65" s="28" t="n">
        <f aca="false">L65-M65</f>
        <v>0</v>
      </c>
      <c r="O65" s="25" t="n">
        <f aca="false">IF(N65&gt;=-0.0000001,A65,O64)</f>
        <v>46007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46009</v>
      </c>
      <c r="B66" s="26" t="s">
        <v>82</v>
      </c>
      <c r="C66" s="27" t="n">
        <v>8085</v>
      </c>
      <c r="D66" s="28" t="n">
        <f aca="false">C66/$T$1*100</f>
        <v>2.5265625</v>
      </c>
      <c r="E66" s="28" t="n">
        <f aca="false">E65+D66</f>
        <v>105.39609375</v>
      </c>
      <c r="F66" s="28" t="n">
        <f aca="false">MAX(0,MAX($E$2:E66))</f>
        <v>105.39609375</v>
      </c>
      <c r="G66" s="28" t="n">
        <f aca="false">E66-F66</f>
        <v>0</v>
      </c>
      <c r="H66" s="25" t="n">
        <f aca="false">IF(G66&gt;=-0.0000001,A66,H65)</f>
        <v>46009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8085</v>
      </c>
      <c r="L66" s="28" t="n">
        <f aca="false">L65+K66/$T$1*100</f>
        <v>113.23828125</v>
      </c>
      <c r="M66" s="28" t="n">
        <f aca="false">MAX(0,MAX($L$2:L66))</f>
        <v>113.23828125</v>
      </c>
      <c r="N66" s="28" t="n">
        <f aca="false">L66-M66</f>
        <v>0</v>
      </c>
      <c r="O66" s="25" t="n">
        <f aca="false">IF(N66&gt;=-0.0000001,A66,O65)</f>
        <v>46009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46013</v>
      </c>
      <c r="B67" s="26" t="s">
        <v>79</v>
      </c>
      <c r="C67" s="27" t="n">
        <v>-25185</v>
      </c>
      <c r="D67" s="28" t="n">
        <f aca="false">C67/$T$1*100</f>
        <v>-7.8703125</v>
      </c>
      <c r="E67" s="28" t="n">
        <f aca="false">E66+D67</f>
        <v>97.52578125</v>
      </c>
      <c r="F67" s="28" t="n">
        <f aca="false">MAX(0,MAX($E$2:E67))</f>
        <v>105.39609375</v>
      </c>
      <c r="G67" s="28" t="n">
        <f aca="false">E67-F67</f>
        <v>-7.8703125</v>
      </c>
      <c r="H67" s="25" t="n">
        <f aca="false">IF(G67&gt;=-0.0000001,A67,H66)</f>
        <v>46009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-25185</v>
      </c>
      <c r="L67" s="28" t="n">
        <f aca="false">L66+K67/$T$1*100</f>
        <v>105.36796875</v>
      </c>
      <c r="M67" s="28" t="n">
        <f aca="false">MAX(0,MAX($L$2:L67))</f>
        <v>113.23828125</v>
      </c>
      <c r="N67" s="28" t="n">
        <f aca="false">L67-M67</f>
        <v>-7.8703125</v>
      </c>
      <c r="O67" s="25" t="n">
        <f aca="false">IF(N67&gt;=-0.0000001,A67,O66)</f>
        <v>46009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46014</v>
      </c>
      <c r="B68" s="26" t="s">
        <v>80</v>
      </c>
      <c r="C68" s="27" t="n">
        <v>1260</v>
      </c>
      <c r="D68" s="28" t="n">
        <f aca="false">C68/$T$1*100</f>
        <v>0.39375</v>
      </c>
      <c r="E68" s="28" t="n">
        <f aca="false">E67+D68</f>
        <v>97.91953125</v>
      </c>
      <c r="F68" s="28" t="n">
        <f aca="false">MAX(0,MAX($E$2:E68))</f>
        <v>105.39609375</v>
      </c>
      <c r="G68" s="28" t="n">
        <f aca="false">E68-F68</f>
        <v>-7.4765625</v>
      </c>
      <c r="H68" s="25" t="n">
        <f aca="false">IF(G68&gt;=-0.0000001,A68,H67)</f>
        <v>46009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1260</v>
      </c>
      <c r="L68" s="28" t="n">
        <f aca="false">L67+K68/$T$1*100</f>
        <v>105.76171875</v>
      </c>
      <c r="M68" s="28" t="n">
        <f aca="false">MAX(0,MAX($L$2:L68))</f>
        <v>113.23828125</v>
      </c>
      <c r="N68" s="28" t="n">
        <f aca="false">L68-M68</f>
        <v>-7.4765625</v>
      </c>
      <c r="O68" s="25" t="n">
        <f aca="false">IF(N68&gt;=-0.0000001,A68,O67)</f>
        <v>46009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46017</v>
      </c>
      <c r="B69" s="26" t="s">
        <v>83</v>
      </c>
      <c r="C69" s="27" t="n">
        <v>24765</v>
      </c>
      <c r="D69" s="28" t="n">
        <f aca="false">C69/$T$1*100</f>
        <v>7.7390625</v>
      </c>
      <c r="E69" s="28" t="n">
        <f aca="false">E68+D69</f>
        <v>105.65859375</v>
      </c>
      <c r="F69" s="28" t="n">
        <f aca="false">MAX(0,MAX($E$2:E69))</f>
        <v>105.65859375</v>
      </c>
      <c r="G69" s="28" t="n">
        <f aca="false">E69-F69</f>
        <v>0</v>
      </c>
      <c r="H69" s="25" t="n">
        <f aca="false">IF(G69&gt;=-0.0000001,A69,H68)</f>
        <v>46017</v>
      </c>
      <c r="I69" s="29" t="n">
        <f aca="false">IF(AND(G69&gt;=-0.0000001,G68&lt;0),1,0)</f>
        <v>1</v>
      </c>
      <c r="J69" s="30" t="n">
        <f aca="false">IF(I69=1,A69-H68,"")</f>
        <v>8</v>
      </c>
      <c r="K69" s="27" t="n">
        <f aca="false">IF(B69="Wednesday",0,C69)</f>
        <v>24765</v>
      </c>
      <c r="L69" s="28" t="n">
        <f aca="false">L68+K69/$T$1*100</f>
        <v>113.50078125</v>
      </c>
      <c r="M69" s="28" t="n">
        <f aca="false">MAX(0,MAX($L$2:L69))</f>
        <v>113.50078125</v>
      </c>
      <c r="N69" s="28" t="n">
        <f aca="false">L69-M69</f>
        <v>0</v>
      </c>
      <c r="O69" s="25" t="n">
        <f aca="false">IF(N69&gt;=-0.0000001,A69,O68)</f>
        <v>46017</v>
      </c>
      <c r="P69" s="29" t="n">
        <f aca="false">IF(AND(N69&gt;=-0.0000001,N68&lt;0),1,0)</f>
        <v>1</v>
      </c>
      <c r="Q69" s="30" t="n">
        <f aca="false">IF(P69=1,A69-O68,"")</f>
        <v>8</v>
      </c>
    </row>
    <row r="70" customFormat="false" ht="15" hidden="false" customHeight="false" outlineLevel="0" collapsed="false">
      <c r="A70" s="25" t="n">
        <v>46021</v>
      </c>
      <c r="B70" s="26" t="s">
        <v>80</v>
      </c>
      <c r="C70" s="27" t="n">
        <v>12656.25</v>
      </c>
      <c r="D70" s="28" t="n">
        <f aca="false">C70/$T$1*100</f>
        <v>3.955078125</v>
      </c>
      <c r="E70" s="28" t="n">
        <f aca="false">E69+D70</f>
        <v>109.613671875</v>
      </c>
      <c r="F70" s="28" t="n">
        <f aca="false">MAX(0,MAX($E$2:E70))</f>
        <v>109.613671875</v>
      </c>
      <c r="G70" s="28" t="n">
        <f aca="false">E70-F70</f>
        <v>0</v>
      </c>
      <c r="H70" s="25" t="n">
        <f aca="false">IF(G70&gt;=-0.0000001,A70,H69)</f>
        <v>46021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12656.25</v>
      </c>
      <c r="L70" s="28" t="n">
        <f aca="false">L69+K70/$T$1*100</f>
        <v>117.455859375</v>
      </c>
      <c r="M70" s="28" t="n">
        <f aca="false">MAX(0,MAX($L$2:L70))</f>
        <v>117.455859375</v>
      </c>
      <c r="N70" s="28" t="n">
        <f aca="false">L70-M70</f>
        <v>0</v>
      </c>
      <c r="O70" s="25" t="n">
        <f aca="false">IF(N70&gt;=-0.0000001,A70,O69)</f>
        <v>46021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46024</v>
      </c>
      <c r="B71" s="26" t="s">
        <v>83</v>
      </c>
      <c r="C71" s="27" t="n">
        <v>-16672.5</v>
      </c>
      <c r="D71" s="28" t="n">
        <f aca="false">C71/$T$1*100</f>
        <v>-5.21015625</v>
      </c>
      <c r="E71" s="28" t="n">
        <f aca="false">E70+D71</f>
        <v>104.403515625</v>
      </c>
      <c r="F71" s="28" t="n">
        <f aca="false">MAX(0,MAX($E$2:E71))</f>
        <v>109.613671875</v>
      </c>
      <c r="G71" s="28" t="n">
        <f aca="false">E71-F71</f>
        <v>-5.21015625</v>
      </c>
      <c r="H71" s="25" t="n">
        <f aca="false">IF(G71&gt;=-0.0000001,A71,H70)</f>
        <v>46021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-16672.5</v>
      </c>
      <c r="L71" s="28" t="n">
        <f aca="false">L70+K71/$T$1*100</f>
        <v>112.245703125</v>
      </c>
      <c r="M71" s="28" t="n">
        <f aca="false">MAX(0,MAX($L$2:L71))</f>
        <v>117.455859375</v>
      </c>
      <c r="N71" s="28" t="n">
        <f aca="false">L71-M71</f>
        <v>-5.21015625</v>
      </c>
      <c r="O71" s="25" t="n">
        <f aca="false">IF(N71&gt;=-0.0000001,A71,O70)</f>
        <v>46021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46027</v>
      </c>
      <c r="B72" s="26" t="s">
        <v>79</v>
      </c>
      <c r="C72" s="27" t="n">
        <v>13910</v>
      </c>
      <c r="D72" s="28" t="n">
        <f aca="false">C72/$T$1*100</f>
        <v>4.346875</v>
      </c>
      <c r="E72" s="28" t="n">
        <f aca="false">E71+D72</f>
        <v>108.750390625</v>
      </c>
      <c r="F72" s="28" t="n">
        <f aca="false">MAX(0,MAX($E$2:E72))</f>
        <v>109.613671875</v>
      </c>
      <c r="G72" s="28" t="n">
        <f aca="false">E72-F72</f>
        <v>-0.86328125</v>
      </c>
      <c r="H72" s="25" t="n">
        <f aca="false">IF(G72&gt;=-0.0000001,A72,H71)</f>
        <v>46021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13910</v>
      </c>
      <c r="L72" s="28" t="n">
        <f aca="false">L71+K72/$T$1*100</f>
        <v>116.592578125</v>
      </c>
      <c r="M72" s="28" t="n">
        <f aca="false">MAX(0,MAX($L$2:L72))</f>
        <v>117.455859375</v>
      </c>
      <c r="N72" s="28" t="n">
        <f aca="false">L72-M72</f>
        <v>-0.86328125</v>
      </c>
      <c r="O72" s="25" t="n">
        <f aca="false">IF(N72&gt;=-0.0000001,A72,O71)</f>
        <v>46021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46030</v>
      </c>
      <c r="B73" s="26" t="s">
        <v>82</v>
      </c>
      <c r="C73" s="27" t="n">
        <v>25268.75</v>
      </c>
      <c r="D73" s="28" t="n">
        <f aca="false">C73/$T$1*100</f>
        <v>7.896484375</v>
      </c>
      <c r="E73" s="28" t="n">
        <f aca="false">E72+D73</f>
        <v>116.646875</v>
      </c>
      <c r="F73" s="28" t="n">
        <f aca="false">MAX(0,MAX($E$2:E73))</f>
        <v>116.646875</v>
      </c>
      <c r="G73" s="28" t="n">
        <f aca="false">E73-F73</f>
        <v>0</v>
      </c>
      <c r="H73" s="25" t="n">
        <f aca="false">IF(G73&gt;=-0.0000001,A73,H72)</f>
        <v>46030</v>
      </c>
      <c r="I73" s="29" t="n">
        <f aca="false">IF(AND(G73&gt;=-0.0000001,G72&lt;0),1,0)</f>
        <v>1</v>
      </c>
      <c r="J73" s="30" t="n">
        <f aca="false">IF(I73=1,A73-H72,"")</f>
        <v>9</v>
      </c>
      <c r="K73" s="27" t="n">
        <f aca="false">IF(B73="Wednesday",0,C73)</f>
        <v>25268.75</v>
      </c>
      <c r="L73" s="28" t="n">
        <f aca="false">L72+K73/$T$1*100</f>
        <v>124.4890625</v>
      </c>
      <c r="M73" s="28" t="n">
        <f aca="false">MAX(0,MAX($L$2:L73))</f>
        <v>124.4890625</v>
      </c>
      <c r="N73" s="28" t="n">
        <f aca="false">L73-M73</f>
        <v>0</v>
      </c>
      <c r="O73" s="25" t="n">
        <f aca="false">IF(N73&gt;=-0.0000001,A73,O72)</f>
        <v>46030</v>
      </c>
      <c r="P73" s="29" t="n">
        <f aca="false">IF(AND(N73&gt;=-0.0000001,N72&lt;0),1,0)</f>
        <v>1</v>
      </c>
      <c r="Q73" s="30" t="n">
        <f aca="false">IF(P73=1,A73-O72,"")</f>
        <v>9</v>
      </c>
    </row>
    <row r="74" customFormat="false" ht="15" hidden="false" customHeight="false" outlineLevel="0" collapsed="false">
      <c r="A74" s="25" t="n">
        <v>46034</v>
      </c>
      <c r="B74" s="26" t="s">
        <v>79</v>
      </c>
      <c r="C74" s="27" t="n">
        <v>-17241.25</v>
      </c>
      <c r="D74" s="28" t="n">
        <f aca="false">C74/$T$1*100</f>
        <v>-5.387890625</v>
      </c>
      <c r="E74" s="28" t="n">
        <f aca="false">E73+D74</f>
        <v>111.258984375</v>
      </c>
      <c r="F74" s="28" t="n">
        <f aca="false">MAX(0,MAX($E$2:E74))</f>
        <v>116.646875</v>
      </c>
      <c r="G74" s="28" t="n">
        <f aca="false">E74-F74</f>
        <v>-5.387890625</v>
      </c>
      <c r="H74" s="25" t="n">
        <f aca="false">IF(G74&gt;=-0.0000001,A74,H73)</f>
        <v>46030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-17241.25</v>
      </c>
      <c r="L74" s="28" t="n">
        <f aca="false">L73+K74/$T$1*100</f>
        <v>119.101171875</v>
      </c>
      <c r="M74" s="28" t="n">
        <f aca="false">MAX(0,MAX($L$2:L74))</f>
        <v>124.4890625</v>
      </c>
      <c r="N74" s="28" t="n">
        <f aca="false">L74-M74</f>
        <v>-5.387890625</v>
      </c>
      <c r="O74" s="25" t="n">
        <f aca="false">IF(N74&gt;=-0.0000001,A74,O73)</f>
        <v>46030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46045</v>
      </c>
      <c r="B75" s="26" t="s">
        <v>83</v>
      </c>
      <c r="C75" s="27" t="n">
        <v>32906.25</v>
      </c>
      <c r="D75" s="28" t="n">
        <f aca="false">C75/$T$1*100</f>
        <v>10.283203125</v>
      </c>
      <c r="E75" s="28" t="n">
        <f aca="false">E74+D75</f>
        <v>121.5421875</v>
      </c>
      <c r="F75" s="28" t="n">
        <f aca="false">MAX(0,MAX($E$2:E75))</f>
        <v>121.5421875</v>
      </c>
      <c r="G75" s="28" t="n">
        <f aca="false">E75-F75</f>
        <v>0</v>
      </c>
      <c r="H75" s="25" t="n">
        <f aca="false">IF(G75&gt;=-0.0000001,A75,H74)</f>
        <v>46045</v>
      </c>
      <c r="I75" s="29" t="n">
        <f aca="false">IF(AND(G75&gt;=-0.0000001,G74&lt;0),1,0)</f>
        <v>1</v>
      </c>
      <c r="J75" s="30" t="n">
        <f aca="false">IF(I75=1,A75-H74,"")</f>
        <v>15</v>
      </c>
      <c r="K75" s="27" t="n">
        <f aca="false">IF(B75="Wednesday",0,C75)</f>
        <v>32906.25</v>
      </c>
      <c r="L75" s="28" t="n">
        <f aca="false">L74+K75/$T$1*100</f>
        <v>129.384375</v>
      </c>
      <c r="M75" s="28" t="n">
        <f aca="false">MAX(0,MAX($L$2:L75))</f>
        <v>129.384375</v>
      </c>
      <c r="N75" s="28" t="n">
        <f aca="false">L75-M75</f>
        <v>0</v>
      </c>
      <c r="O75" s="25" t="n">
        <f aca="false">IF(N75&gt;=-0.0000001,A75,O74)</f>
        <v>46045</v>
      </c>
      <c r="P75" s="29" t="n">
        <f aca="false">IF(AND(N75&gt;=-0.0000001,N74&lt;0),1,0)</f>
        <v>1</v>
      </c>
      <c r="Q75" s="30" t="n">
        <f aca="false">IF(P75=1,A75-O74,"")</f>
        <v>15</v>
      </c>
    </row>
    <row r="76" customFormat="false" ht="15" hidden="false" customHeight="false" outlineLevel="0" collapsed="false">
      <c r="A76" s="25" t="n">
        <v>46051</v>
      </c>
      <c r="B76" s="26" t="s">
        <v>82</v>
      </c>
      <c r="C76" s="27" t="n">
        <v>-13286</v>
      </c>
      <c r="D76" s="28" t="n">
        <f aca="false">C76/$T$1*100</f>
        <v>-4.151875</v>
      </c>
      <c r="E76" s="28" t="n">
        <f aca="false">E75+D76</f>
        <v>117.3903125</v>
      </c>
      <c r="F76" s="28" t="n">
        <f aca="false">MAX(0,MAX($E$2:E76))</f>
        <v>121.5421875</v>
      </c>
      <c r="G76" s="28" t="n">
        <f aca="false">E76-F76</f>
        <v>-4.151875</v>
      </c>
      <c r="H76" s="25" t="n">
        <f aca="false">IF(G76&gt;=-0.0000001,A76,H75)</f>
        <v>46045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-13286</v>
      </c>
      <c r="L76" s="28" t="n">
        <f aca="false">L75+K76/$T$1*100</f>
        <v>125.2325</v>
      </c>
      <c r="M76" s="28" t="n">
        <f aca="false">MAX(0,MAX($L$2:L76))</f>
        <v>129.384375</v>
      </c>
      <c r="N76" s="28" t="n">
        <f aca="false">L76-M76</f>
        <v>-4.151875</v>
      </c>
      <c r="O76" s="25" t="n">
        <f aca="false">IF(N76&gt;=-0.0000001,A76,O75)</f>
        <v>46045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46052</v>
      </c>
      <c r="B77" s="26" t="s">
        <v>83</v>
      </c>
      <c r="C77" s="27" t="n">
        <v>8450</v>
      </c>
      <c r="D77" s="28" t="n">
        <f aca="false">C77/$T$1*100</f>
        <v>2.640625</v>
      </c>
      <c r="E77" s="28" t="n">
        <f aca="false">E76+D77</f>
        <v>120.0309375</v>
      </c>
      <c r="F77" s="28" t="n">
        <f aca="false">MAX(0,MAX($E$2:E77))</f>
        <v>121.5421875</v>
      </c>
      <c r="G77" s="28" t="n">
        <f aca="false">E77-F77</f>
        <v>-1.51125</v>
      </c>
      <c r="H77" s="25" t="n">
        <f aca="false">IF(G77&gt;=-0.0000001,A77,H76)</f>
        <v>46045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8450</v>
      </c>
      <c r="L77" s="28" t="n">
        <f aca="false">L76+K77/$T$1*100</f>
        <v>127.873125</v>
      </c>
      <c r="M77" s="28" t="n">
        <f aca="false">MAX(0,MAX($L$2:L77))</f>
        <v>129.384375</v>
      </c>
      <c r="N77" s="28" t="n">
        <f aca="false">L77-M77</f>
        <v>-1.51125</v>
      </c>
      <c r="O77" s="25" t="n">
        <f aca="false">IF(N77&gt;=-0.0000001,A77,O76)</f>
        <v>46045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46055</v>
      </c>
      <c r="B78" s="26" t="s">
        <v>79</v>
      </c>
      <c r="C78" s="27" t="n">
        <v>-30095</v>
      </c>
      <c r="D78" s="28" t="n">
        <f aca="false">C78/$T$1*100</f>
        <v>-9.4046875</v>
      </c>
      <c r="E78" s="28" t="n">
        <f aca="false">E77+D78</f>
        <v>110.62625</v>
      </c>
      <c r="F78" s="28" t="n">
        <f aca="false">MAX(0,MAX($E$2:E78))</f>
        <v>121.5421875</v>
      </c>
      <c r="G78" s="28" t="n">
        <f aca="false">E78-F78</f>
        <v>-10.9159375</v>
      </c>
      <c r="H78" s="25" t="n">
        <f aca="false">IF(G78&gt;=-0.0000001,A78,H77)</f>
        <v>46045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-30095</v>
      </c>
      <c r="L78" s="28" t="n">
        <f aca="false">L77+K78/$T$1*100</f>
        <v>118.4684375</v>
      </c>
      <c r="M78" s="28" t="n">
        <f aca="false">MAX(0,MAX($L$2:L78))</f>
        <v>129.384375</v>
      </c>
      <c r="N78" s="28" t="n">
        <f aca="false">L78-M78</f>
        <v>-10.9159375</v>
      </c>
      <c r="O78" s="25" t="n">
        <f aca="false">IF(N78&gt;=-0.0000001,A78,O77)</f>
        <v>46045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46056</v>
      </c>
      <c r="B79" s="26" t="s">
        <v>80</v>
      </c>
      <c r="C79" s="27" t="n">
        <v>13308.75</v>
      </c>
      <c r="D79" s="28" t="n">
        <f aca="false">C79/$T$1*100</f>
        <v>4.158984375</v>
      </c>
      <c r="E79" s="28" t="n">
        <f aca="false">E78+D79</f>
        <v>114.785234375</v>
      </c>
      <c r="F79" s="28" t="n">
        <f aca="false">MAX(0,MAX($E$2:E79))</f>
        <v>121.5421875</v>
      </c>
      <c r="G79" s="28" t="n">
        <f aca="false">E79-F79</f>
        <v>-6.756953125</v>
      </c>
      <c r="H79" s="25" t="n">
        <f aca="false">IF(G79&gt;=-0.0000001,A79,H78)</f>
        <v>46045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13308.75</v>
      </c>
      <c r="L79" s="28" t="n">
        <f aca="false">L78+K79/$T$1*100</f>
        <v>122.627421875</v>
      </c>
      <c r="M79" s="28" t="n">
        <f aca="false">MAX(0,MAX($L$2:L79))</f>
        <v>129.384375</v>
      </c>
      <c r="N79" s="28" t="n">
        <f aca="false">L79-M79</f>
        <v>-6.756953125</v>
      </c>
      <c r="O79" s="25" t="n">
        <f aca="false">IF(N79&gt;=-0.0000001,A79,O78)</f>
        <v>46045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46058</v>
      </c>
      <c r="B80" s="26" t="s">
        <v>82</v>
      </c>
      <c r="C80" s="27" t="n">
        <v>16120</v>
      </c>
      <c r="D80" s="28" t="n">
        <f aca="false">C80/$T$1*100</f>
        <v>5.0375</v>
      </c>
      <c r="E80" s="28" t="n">
        <f aca="false">E79+D80</f>
        <v>119.822734375</v>
      </c>
      <c r="F80" s="28" t="n">
        <f aca="false">MAX(0,MAX($E$2:E80))</f>
        <v>121.5421875</v>
      </c>
      <c r="G80" s="28" t="n">
        <f aca="false">E80-F80</f>
        <v>-1.719453125</v>
      </c>
      <c r="H80" s="25" t="n">
        <f aca="false">IF(G80&gt;=-0.0000001,A80,H79)</f>
        <v>46045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16120</v>
      </c>
      <c r="L80" s="28" t="n">
        <f aca="false">L79+K80/$T$1*100</f>
        <v>127.664921875</v>
      </c>
      <c r="M80" s="28" t="n">
        <f aca="false">MAX(0,MAX($L$2:L80))</f>
        <v>129.384375</v>
      </c>
      <c r="N80" s="28" t="n">
        <f aca="false">L80-M80</f>
        <v>-1.719453125</v>
      </c>
      <c r="O80" s="25" t="n">
        <f aca="false">IF(N80&gt;=-0.0000001,A80,O79)</f>
        <v>46045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46059</v>
      </c>
      <c r="B81" s="26" t="s">
        <v>83</v>
      </c>
      <c r="C81" s="27" t="n">
        <v>-18115.5</v>
      </c>
      <c r="D81" s="28" t="n">
        <f aca="false">C81/$T$1*100</f>
        <v>-5.66109375</v>
      </c>
      <c r="E81" s="28" t="n">
        <f aca="false">E80+D81</f>
        <v>114.161640625</v>
      </c>
      <c r="F81" s="28" t="n">
        <f aca="false">MAX(0,MAX($E$2:E81))</f>
        <v>121.5421875</v>
      </c>
      <c r="G81" s="28" t="n">
        <f aca="false">E81-F81</f>
        <v>-7.38054687500001</v>
      </c>
      <c r="H81" s="25" t="n">
        <f aca="false">IF(G81&gt;=-0.0000001,A81,H80)</f>
        <v>46045</v>
      </c>
      <c r="I81" s="29" t="n">
        <f aca="false">IF(AND(G81&gt;=-0.0000001,G80&lt;0),1,0)</f>
        <v>0</v>
      </c>
      <c r="J81" s="30" t="str">
        <f aca="false">IF(I81=1,A81-H80,"")</f>
        <v/>
      </c>
      <c r="K81" s="27" t="n">
        <f aca="false">IF(B81="Wednesday",0,C81)</f>
        <v>-18115.5</v>
      </c>
      <c r="L81" s="28" t="n">
        <f aca="false">L80+K81/$T$1*100</f>
        <v>122.003828125</v>
      </c>
      <c r="M81" s="28" t="n">
        <f aca="false">MAX(0,MAX($L$2:L81))</f>
        <v>129.384375</v>
      </c>
      <c r="N81" s="28" t="n">
        <f aca="false">L81-M81</f>
        <v>-7.38054687500001</v>
      </c>
      <c r="O81" s="25" t="n">
        <f aca="false">IF(N81&gt;=-0.0000001,A81,O80)</f>
        <v>46045</v>
      </c>
      <c r="P81" s="29" t="n">
        <f aca="false">IF(AND(N81&gt;=-0.0000001,N80&lt;0),1,0)</f>
        <v>0</v>
      </c>
      <c r="Q81" s="30" t="str">
        <f aca="false">IF(P81=1,A81-O80,"")</f>
        <v/>
      </c>
    </row>
    <row r="82" customFormat="false" ht="15" hidden="false" customHeight="false" outlineLevel="0" collapsed="false">
      <c r="A82" s="25" t="n">
        <v>46062</v>
      </c>
      <c r="B82" s="26" t="s">
        <v>79</v>
      </c>
      <c r="C82" s="27" t="n">
        <v>-47326.5</v>
      </c>
      <c r="D82" s="28" t="n">
        <f aca="false">C82/$T$1*100</f>
        <v>-14.78953125</v>
      </c>
      <c r="E82" s="28" t="n">
        <f aca="false">E81+D82</f>
        <v>99.372109375</v>
      </c>
      <c r="F82" s="28" t="n">
        <f aca="false">MAX(0,MAX($E$2:E82))</f>
        <v>121.5421875</v>
      </c>
      <c r="G82" s="28" t="n">
        <f aca="false">E82-F82</f>
        <v>-22.170078125</v>
      </c>
      <c r="H82" s="25" t="n">
        <f aca="false">IF(G82&gt;=-0.0000001,A82,H81)</f>
        <v>46045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-47326.5</v>
      </c>
      <c r="L82" s="28" t="n">
        <f aca="false">L81+K82/$T$1*100</f>
        <v>107.214296875</v>
      </c>
      <c r="M82" s="28" t="n">
        <f aca="false">MAX(0,MAX($L$2:L82))</f>
        <v>129.384375</v>
      </c>
      <c r="N82" s="28" t="n">
        <f aca="false">L82-M82</f>
        <v>-22.170078125</v>
      </c>
      <c r="O82" s="25" t="n">
        <f aca="false">IF(N82&gt;=-0.0000001,A82,O81)</f>
        <v>46045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46063</v>
      </c>
      <c r="B83" s="26" t="s">
        <v>80</v>
      </c>
      <c r="C83" s="27" t="n">
        <v>7078.5</v>
      </c>
      <c r="D83" s="28" t="n">
        <f aca="false">C83/$T$1*100</f>
        <v>2.21203125</v>
      </c>
      <c r="E83" s="28" t="n">
        <f aca="false">E82+D83</f>
        <v>101.584140625</v>
      </c>
      <c r="F83" s="28" t="n">
        <f aca="false">MAX(0,MAX($E$2:E83))</f>
        <v>121.5421875</v>
      </c>
      <c r="G83" s="28" t="n">
        <f aca="false">E83-F83</f>
        <v>-19.958046875</v>
      </c>
      <c r="H83" s="25" t="n">
        <f aca="false">IF(G83&gt;=-0.0000001,A83,H82)</f>
        <v>46045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7078.5</v>
      </c>
      <c r="L83" s="28" t="n">
        <f aca="false">L82+K83/$T$1*100</f>
        <v>109.426328125</v>
      </c>
      <c r="M83" s="28" t="n">
        <f aca="false">MAX(0,MAX($L$2:L83))</f>
        <v>129.384375</v>
      </c>
      <c r="N83" s="28" t="n">
        <f aca="false">L83-M83</f>
        <v>-19.958046875</v>
      </c>
      <c r="O83" s="25" t="n">
        <f aca="false">IF(N83&gt;=-0.0000001,A83,O82)</f>
        <v>46045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46065</v>
      </c>
      <c r="B84" s="26" t="s">
        <v>82</v>
      </c>
      <c r="C84" s="27" t="n">
        <v>26861.25</v>
      </c>
      <c r="D84" s="28" t="n">
        <f aca="false">C84/$T$1*100</f>
        <v>8.394140625</v>
      </c>
      <c r="E84" s="28" t="n">
        <f aca="false">E83+D84</f>
        <v>109.97828125</v>
      </c>
      <c r="F84" s="28" t="n">
        <f aca="false">MAX(0,MAX($E$2:E84))</f>
        <v>121.5421875</v>
      </c>
      <c r="G84" s="28" t="n">
        <f aca="false">E84-F84</f>
        <v>-11.56390625</v>
      </c>
      <c r="H84" s="25" t="n">
        <f aca="false">IF(G84&gt;=-0.0000001,A84,H83)</f>
        <v>46045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26861.25</v>
      </c>
      <c r="L84" s="28" t="n">
        <f aca="false">L83+K84/$T$1*100</f>
        <v>117.82046875</v>
      </c>
      <c r="M84" s="28" t="n">
        <f aca="false">MAX(0,MAX($L$2:L84))</f>
        <v>129.384375</v>
      </c>
      <c r="N84" s="28" t="n">
        <f aca="false">L84-M84</f>
        <v>-11.56390625</v>
      </c>
      <c r="O84" s="25" t="n">
        <f aca="false">IF(N84&gt;=-0.0000001,A84,O83)</f>
        <v>46045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46070</v>
      </c>
      <c r="B85" s="26" t="s">
        <v>80</v>
      </c>
      <c r="C85" s="27" t="n">
        <v>11001.25</v>
      </c>
      <c r="D85" s="28" t="n">
        <f aca="false">C85/$T$1*100</f>
        <v>3.437890625</v>
      </c>
      <c r="E85" s="28" t="n">
        <f aca="false">E84+D85</f>
        <v>113.416171875</v>
      </c>
      <c r="F85" s="28" t="n">
        <f aca="false">MAX(0,MAX($E$2:E85))</f>
        <v>121.5421875</v>
      </c>
      <c r="G85" s="28" t="n">
        <f aca="false">E85-F85</f>
        <v>-8.12601562500001</v>
      </c>
      <c r="H85" s="25" t="n">
        <f aca="false">IF(G85&gt;=-0.0000001,A85,H84)</f>
        <v>46045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11001.25</v>
      </c>
      <c r="L85" s="28" t="n">
        <f aca="false">L84+K85/$T$1*100</f>
        <v>121.258359375</v>
      </c>
      <c r="M85" s="28" t="n">
        <f aca="false">MAX(0,MAX($L$2:L85))</f>
        <v>129.384375</v>
      </c>
      <c r="N85" s="28" t="n">
        <f aca="false">L85-M85</f>
        <v>-8.12601562500001</v>
      </c>
      <c r="O85" s="25" t="n">
        <f aca="false">IF(N85&gt;=-0.0000001,A85,O84)</f>
        <v>46045</v>
      </c>
      <c r="P85" s="29" t="n">
        <f aca="false">IF(AND(N85&gt;=-0.0000001,N84&lt;0),1,0)</f>
        <v>0</v>
      </c>
      <c r="Q85" s="30" t="str">
        <f aca="false">IF(P85=1,A85-O84,"")</f>
        <v/>
      </c>
    </row>
    <row r="86" customFormat="false" ht="15" hidden="false" customHeight="false" outlineLevel="0" collapsed="false">
      <c r="A86" s="25" t="n">
        <v>46071</v>
      </c>
      <c r="B86" s="26" t="s">
        <v>81</v>
      </c>
      <c r="C86" s="27" t="n">
        <v>-18118.75</v>
      </c>
      <c r="D86" s="28" t="n">
        <f aca="false">C86/$T$1*100</f>
        <v>-5.662109375</v>
      </c>
      <c r="E86" s="28" t="n">
        <f aca="false">E85+D86</f>
        <v>107.7540625</v>
      </c>
      <c r="F86" s="28" t="n">
        <f aca="false">MAX(0,MAX($E$2:E86))</f>
        <v>121.5421875</v>
      </c>
      <c r="G86" s="28" t="n">
        <f aca="false">E86-F86</f>
        <v>-13.788125</v>
      </c>
      <c r="H86" s="25" t="n">
        <f aca="false">IF(G86&gt;=-0.0000001,A86,H85)</f>
        <v>46045</v>
      </c>
      <c r="I86" s="29" t="n">
        <f aca="false">IF(AND(G86&gt;=-0.0000001,G85&lt;0),1,0)</f>
        <v>0</v>
      </c>
      <c r="J86" s="30" t="str">
        <f aca="false">IF(I86=1,A86-H85,"")</f>
        <v/>
      </c>
      <c r="K86" s="27" t="n">
        <f aca="false">IF(B86="Wednesday",0,C86)</f>
        <v>0</v>
      </c>
      <c r="L86" s="28" t="n">
        <f aca="false">L85+K86/$T$1*100</f>
        <v>121.258359375</v>
      </c>
      <c r="M86" s="28" t="n">
        <f aca="false">MAX(0,MAX($L$2:L86))</f>
        <v>129.384375</v>
      </c>
      <c r="N86" s="28" t="n">
        <f aca="false">L86-M86</f>
        <v>-8.12601562500001</v>
      </c>
      <c r="O86" s="25" t="n">
        <f aca="false">IF(N86&gt;=-0.0000001,A86,O85)</f>
        <v>46045</v>
      </c>
      <c r="P86" s="29" t="n">
        <f aca="false">IF(AND(N86&gt;=-0.0000001,N85&lt;0),1,0)</f>
        <v>0</v>
      </c>
      <c r="Q86" s="30" t="str">
        <f aca="false">IF(P86=1,A86-O85,"")</f>
        <v/>
      </c>
    </row>
    <row r="87" customFormat="false" ht="15" hidden="false" customHeight="false" outlineLevel="0" collapsed="false">
      <c r="A87" s="25" t="n">
        <v>46073</v>
      </c>
      <c r="B87" s="26" t="s">
        <v>83</v>
      </c>
      <c r="C87" s="27" t="n">
        <v>13406.25</v>
      </c>
      <c r="D87" s="28" t="n">
        <f aca="false">C87/$T$1*100</f>
        <v>4.189453125</v>
      </c>
      <c r="E87" s="28" t="n">
        <f aca="false">E86+D87</f>
        <v>111.943515625</v>
      </c>
      <c r="F87" s="28" t="n">
        <f aca="false">MAX(0,MAX($E$2:E87))</f>
        <v>121.5421875</v>
      </c>
      <c r="G87" s="28" t="n">
        <f aca="false">E87-F87</f>
        <v>-9.59867187500001</v>
      </c>
      <c r="H87" s="25" t="n">
        <f aca="false">IF(G87&gt;=-0.0000001,A87,H86)</f>
        <v>46045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13406.25</v>
      </c>
      <c r="L87" s="28" t="n">
        <f aca="false">L86+K87/$T$1*100</f>
        <v>125.4478125</v>
      </c>
      <c r="M87" s="28" t="n">
        <f aca="false">MAX(0,MAX($L$2:L87))</f>
        <v>129.384375</v>
      </c>
      <c r="N87" s="28" t="n">
        <f aca="false">L87-M87</f>
        <v>-3.93656250000001</v>
      </c>
      <c r="O87" s="25" t="n">
        <f aca="false">IF(N87&gt;=-0.0000001,A87,O86)</f>
        <v>46045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46077</v>
      </c>
      <c r="B88" s="26" t="s">
        <v>80</v>
      </c>
      <c r="C88" s="27" t="n">
        <v>29081</v>
      </c>
      <c r="D88" s="28" t="n">
        <f aca="false">C88/$T$1*100</f>
        <v>9.0878125</v>
      </c>
      <c r="E88" s="28" t="n">
        <f aca="false">E87+D88</f>
        <v>121.031328125</v>
      </c>
      <c r="F88" s="28" t="n">
        <f aca="false">MAX(0,MAX($E$2:E88))</f>
        <v>121.5421875</v>
      </c>
      <c r="G88" s="28" t="n">
        <f aca="false">E88-F88</f>
        <v>-0.51085937500001</v>
      </c>
      <c r="H88" s="25" t="n">
        <f aca="false">IF(G88&gt;=-0.0000001,A88,H87)</f>
        <v>46045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29081</v>
      </c>
      <c r="L88" s="28" t="n">
        <f aca="false">L87+K88/$T$1*100</f>
        <v>134.535625</v>
      </c>
      <c r="M88" s="28" t="n">
        <f aca="false">MAX(0,MAX($L$2:L88))</f>
        <v>134.535625</v>
      </c>
      <c r="N88" s="28" t="n">
        <f aca="false">L88-M88</f>
        <v>0</v>
      </c>
      <c r="O88" s="25" t="n">
        <f aca="false">IF(N88&gt;=-0.0000001,A88,O87)</f>
        <v>46077</v>
      </c>
      <c r="P88" s="29" t="n">
        <f aca="false">IF(AND(N88&gt;=-0.0000001,N87&lt;0),1,0)</f>
        <v>1</v>
      </c>
      <c r="Q88" s="30" t="n">
        <f aca="false">IF(P88=1,A88-O87,"")</f>
        <v>32</v>
      </c>
    </row>
    <row r="89" customFormat="false" ht="15" hidden="false" customHeight="false" outlineLevel="0" collapsed="false">
      <c r="A89" s="25" t="n">
        <v>46079</v>
      </c>
      <c r="B89" s="26" t="s">
        <v>82</v>
      </c>
      <c r="C89" s="27" t="n">
        <v>23172.5</v>
      </c>
      <c r="D89" s="28" t="n">
        <f aca="false">C89/$T$1*100</f>
        <v>7.24140625</v>
      </c>
      <c r="E89" s="28" t="n">
        <f aca="false">E88+D89</f>
        <v>128.272734375</v>
      </c>
      <c r="F89" s="28" t="n">
        <f aca="false">MAX(0,MAX($E$2:E89))</f>
        <v>128.272734375</v>
      </c>
      <c r="G89" s="28" t="n">
        <f aca="false">E89-F89</f>
        <v>0</v>
      </c>
      <c r="H89" s="25" t="n">
        <f aca="false">IF(G89&gt;=-0.0000001,A89,H88)</f>
        <v>46079</v>
      </c>
      <c r="I89" s="29" t="n">
        <f aca="false">IF(AND(G89&gt;=-0.0000001,G88&lt;0),1,0)</f>
        <v>1</v>
      </c>
      <c r="J89" s="30" t="n">
        <f aca="false">IF(I89=1,A89-H88,"")</f>
        <v>34</v>
      </c>
      <c r="K89" s="27" t="n">
        <f aca="false">IF(B89="Wednesday",0,C89)</f>
        <v>23172.5</v>
      </c>
      <c r="L89" s="28" t="n">
        <f aca="false">L88+K89/$T$1*100</f>
        <v>141.77703125</v>
      </c>
      <c r="M89" s="28" t="n">
        <f aca="false">MAX(0,MAX($L$2:L89))</f>
        <v>141.77703125</v>
      </c>
      <c r="N89" s="28" t="n">
        <f aca="false">L89-M89</f>
        <v>0</v>
      </c>
      <c r="O89" s="25" t="n">
        <f aca="false">IF(N89&gt;=-0.0000001,A89,O88)</f>
        <v>46079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46083</v>
      </c>
      <c r="B90" s="26" t="s">
        <v>79</v>
      </c>
      <c r="C90" s="27" t="n">
        <v>34742.5</v>
      </c>
      <c r="D90" s="28" t="n">
        <f aca="false">C90/$T$1*100</f>
        <v>10.85703125</v>
      </c>
      <c r="E90" s="28" t="n">
        <f aca="false">E89+D90</f>
        <v>139.129765625</v>
      </c>
      <c r="F90" s="28" t="n">
        <f aca="false">MAX(0,MAX($E$2:E90))</f>
        <v>139.129765625</v>
      </c>
      <c r="G90" s="28" t="n">
        <f aca="false">E90-F90</f>
        <v>0</v>
      </c>
      <c r="H90" s="25" t="n">
        <f aca="false">IF(G90&gt;=-0.0000001,A90,H89)</f>
        <v>46083</v>
      </c>
      <c r="I90" s="29" t="n">
        <f aca="false">IF(AND(G90&gt;=-0.0000001,G89&lt;0),1,0)</f>
        <v>0</v>
      </c>
      <c r="J90" s="30" t="str">
        <f aca="false">IF(I90=1,A90-H89,"")</f>
        <v/>
      </c>
      <c r="K90" s="27" t="n">
        <f aca="false">IF(B90="Wednesday",0,C90)</f>
        <v>34742.5</v>
      </c>
      <c r="L90" s="28" t="n">
        <f aca="false">L89+K90/$T$1*100</f>
        <v>152.6340625</v>
      </c>
      <c r="M90" s="28" t="n">
        <f aca="false">MAX(0,MAX($L$2:L90))</f>
        <v>152.6340625</v>
      </c>
      <c r="N90" s="28" t="n">
        <f aca="false">L90-M90</f>
        <v>0</v>
      </c>
      <c r="O90" s="25" t="n">
        <f aca="false">IF(N90&gt;=-0.0000001,A90,O89)</f>
        <v>46083</v>
      </c>
      <c r="P90" s="29" t="n">
        <f aca="false">IF(AND(N90&gt;=-0.0000001,N89&lt;0),1,0)</f>
        <v>0</v>
      </c>
      <c r="Q90" s="30" t="str">
        <f aca="false">IF(P90=1,A90-O89,"")</f>
        <v/>
      </c>
    </row>
    <row r="91" customFormat="false" ht="15" hidden="false" customHeight="false" outlineLevel="0" collapsed="false">
      <c r="A91" s="25" t="n">
        <v>46086</v>
      </c>
      <c r="B91" s="26" t="s">
        <v>82</v>
      </c>
      <c r="C91" s="27" t="n">
        <v>-14105</v>
      </c>
      <c r="D91" s="28" t="n">
        <f aca="false">C91/$T$1*100</f>
        <v>-4.4078125</v>
      </c>
      <c r="E91" s="28" t="n">
        <f aca="false">E90+D91</f>
        <v>134.721953125</v>
      </c>
      <c r="F91" s="28" t="n">
        <f aca="false">MAX(0,MAX($E$2:E91))</f>
        <v>139.129765625</v>
      </c>
      <c r="G91" s="28" t="n">
        <f aca="false">E91-F91</f>
        <v>-4.40781250000001</v>
      </c>
      <c r="H91" s="25" t="n">
        <f aca="false">IF(G91&gt;=-0.0000001,A91,H90)</f>
        <v>46083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-14105</v>
      </c>
      <c r="L91" s="28" t="n">
        <f aca="false">L90+K91/$T$1*100</f>
        <v>148.22625</v>
      </c>
      <c r="M91" s="28" t="n">
        <f aca="false">MAX(0,MAX($L$2:L91))</f>
        <v>152.6340625</v>
      </c>
      <c r="N91" s="28" t="n">
        <f aca="false">L91-M91</f>
        <v>-4.40781250000001</v>
      </c>
      <c r="O91" s="25" t="n">
        <f aca="false">IF(N91&gt;=-0.0000001,A91,O90)</f>
        <v>46083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46090</v>
      </c>
      <c r="B92" s="26" t="s">
        <v>79</v>
      </c>
      <c r="C92" s="27" t="n">
        <v>41275</v>
      </c>
      <c r="D92" s="28" t="n">
        <f aca="false">C92/$T$1*100</f>
        <v>12.8984375</v>
      </c>
      <c r="E92" s="28" t="n">
        <f aca="false">E91+D92</f>
        <v>147.620390625</v>
      </c>
      <c r="F92" s="28" t="n">
        <f aca="false">MAX(0,MAX($E$2:E92))</f>
        <v>147.620390625</v>
      </c>
      <c r="G92" s="28" t="n">
        <f aca="false">E92-F92</f>
        <v>0</v>
      </c>
      <c r="H92" s="25" t="n">
        <f aca="false">IF(G92&gt;=-0.0000001,A92,H91)</f>
        <v>46090</v>
      </c>
      <c r="I92" s="29" t="n">
        <f aca="false">IF(AND(G92&gt;=-0.0000001,G91&lt;0),1,0)</f>
        <v>1</v>
      </c>
      <c r="J92" s="30" t="n">
        <f aca="false">IF(I92=1,A92-H91,"")</f>
        <v>7</v>
      </c>
      <c r="K92" s="27" t="n">
        <f aca="false">IF(B92="Wednesday",0,C92)</f>
        <v>41275</v>
      </c>
      <c r="L92" s="28" t="n">
        <f aca="false">L91+K92/$T$1*100</f>
        <v>161.1246875</v>
      </c>
      <c r="M92" s="28" t="n">
        <f aca="false">MAX(0,MAX($L$2:L92))</f>
        <v>161.1246875</v>
      </c>
      <c r="N92" s="28" t="n">
        <f aca="false">L92-M92</f>
        <v>0</v>
      </c>
      <c r="O92" s="25" t="n">
        <f aca="false">IF(N92&gt;=-0.0000001,A92,O91)</f>
        <v>46090</v>
      </c>
      <c r="P92" s="29" t="n">
        <f aca="false">IF(AND(N92&gt;=-0.0000001,N91&lt;0),1,0)</f>
        <v>1</v>
      </c>
      <c r="Q92" s="30" t="n">
        <f aca="false">IF(P92=1,A92-O91,"")</f>
        <v>7</v>
      </c>
    </row>
    <row r="93" customFormat="false" ht="15" hidden="false" customHeight="false" outlineLevel="0" collapsed="false">
      <c r="A93" s="25" t="n">
        <v>46091</v>
      </c>
      <c r="B93" s="26" t="s">
        <v>80</v>
      </c>
      <c r="C93" s="27" t="n">
        <v>-9048</v>
      </c>
      <c r="D93" s="28" t="n">
        <f aca="false">C93/$T$1*100</f>
        <v>-2.8275</v>
      </c>
      <c r="E93" s="28" t="n">
        <f aca="false">E92+D93</f>
        <v>144.792890625</v>
      </c>
      <c r="F93" s="28" t="n">
        <f aca="false">MAX(0,MAX($E$2:E93))</f>
        <v>147.620390625</v>
      </c>
      <c r="G93" s="28" t="n">
        <f aca="false">E93-F93</f>
        <v>-2.82749999999999</v>
      </c>
      <c r="H93" s="25" t="n">
        <f aca="false">IF(G93&gt;=-0.0000001,A93,H92)</f>
        <v>46090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-9048</v>
      </c>
      <c r="L93" s="28" t="n">
        <f aca="false">L92+K93/$T$1*100</f>
        <v>158.2971875</v>
      </c>
      <c r="M93" s="28" t="n">
        <f aca="false">MAX(0,MAX($L$2:L93))</f>
        <v>161.1246875</v>
      </c>
      <c r="N93" s="28" t="n">
        <f aca="false">L93-M93</f>
        <v>-2.82749999999999</v>
      </c>
      <c r="O93" s="25" t="n">
        <f aca="false">IF(N93&gt;=-0.0000001,A93,O92)</f>
        <v>46090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46097</v>
      </c>
      <c r="B94" s="26" t="s">
        <v>79</v>
      </c>
      <c r="C94" s="27" t="n">
        <v>-29211</v>
      </c>
      <c r="D94" s="28" t="n">
        <f aca="false">C94/$T$1*100</f>
        <v>-9.1284375</v>
      </c>
      <c r="E94" s="28" t="n">
        <f aca="false">E93+D94</f>
        <v>135.664453125</v>
      </c>
      <c r="F94" s="28" t="n">
        <f aca="false">MAX(0,MAX($E$2:E94))</f>
        <v>147.620390625</v>
      </c>
      <c r="G94" s="28" t="n">
        <f aca="false">E94-F94</f>
        <v>-11.9559375</v>
      </c>
      <c r="H94" s="25" t="n">
        <f aca="false">IF(G94&gt;=-0.0000001,A94,H93)</f>
        <v>46090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-29211</v>
      </c>
      <c r="L94" s="28" t="n">
        <f aca="false">L93+K94/$T$1*100</f>
        <v>149.16875</v>
      </c>
      <c r="M94" s="28" t="n">
        <f aca="false">MAX(0,MAX($L$2:L94))</f>
        <v>161.1246875</v>
      </c>
      <c r="N94" s="28" t="n">
        <f aca="false">L94-M94</f>
        <v>-11.9559375</v>
      </c>
      <c r="O94" s="25" t="n">
        <f aca="false">IF(N94&gt;=-0.0000001,A94,O93)</f>
        <v>46090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46098</v>
      </c>
      <c r="B95" s="26" t="s">
        <v>80</v>
      </c>
      <c r="C95" s="27" t="n">
        <v>-9087</v>
      </c>
      <c r="D95" s="28" t="n">
        <f aca="false">C95/$T$1*100</f>
        <v>-2.8396875</v>
      </c>
      <c r="E95" s="28" t="n">
        <f aca="false">E94+D95</f>
        <v>132.824765625</v>
      </c>
      <c r="F95" s="28" t="n">
        <f aca="false">MAX(0,MAX($E$2:E95))</f>
        <v>147.620390625</v>
      </c>
      <c r="G95" s="28" t="n">
        <f aca="false">E95-F95</f>
        <v>-14.795625</v>
      </c>
      <c r="H95" s="25" t="n">
        <f aca="false">IF(G95&gt;=-0.0000001,A95,H94)</f>
        <v>46090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-9087</v>
      </c>
      <c r="L95" s="28" t="n">
        <f aca="false">L94+K95/$T$1*100</f>
        <v>146.3290625</v>
      </c>
      <c r="M95" s="28" t="n">
        <f aca="false">MAX(0,MAX($L$2:L95))</f>
        <v>161.1246875</v>
      </c>
      <c r="N95" s="28" t="n">
        <f aca="false">L95-M95</f>
        <v>-14.795625</v>
      </c>
      <c r="O95" s="25" t="n">
        <f aca="false">IF(N95&gt;=-0.0000001,A95,O94)</f>
        <v>46090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46100</v>
      </c>
      <c r="B96" s="26" t="s">
        <v>82</v>
      </c>
      <c r="C96" s="27" t="n">
        <v>41145</v>
      </c>
      <c r="D96" s="28" t="n">
        <f aca="false">C96/$T$1*100</f>
        <v>12.8578125</v>
      </c>
      <c r="E96" s="28" t="n">
        <f aca="false">E95+D96</f>
        <v>145.682578125</v>
      </c>
      <c r="F96" s="28" t="n">
        <f aca="false">MAX(0,MAX($E$2:E96))</f>
        <v>147.620390625</v>
      </c>
      <c r="G96" s="28" t="n">
        <f aca="false">E96-F96</f>
        <v>-1.93781249999998</v>
      </c>
      <c r="H96" s="25" t="n">
        <f aca="false">IF(G96&gt;=-0.0000001,A96,H95)</f>
        <v>46090</v>
      </c>
      <c r="I96" s="29" t="n">
        <f aca="false">IF(AND(G96&gt;=-0.0000001,G95&lt;0),1,0)</f>
        <v>0</v>
      </c>
      <c r="J96" s="30" t="str">
        <f aca="false">IF(I96=1,A96-H95,"")</f>
        <v/>
      </c>
      <c r="K96" s="27" t="n">
        <f aca="false">IF(B96="Wednesday",0,C96)</f>
        <v>41145</v>
      </c>
      <c r="L96" s="28" t="n">
        <f aca="false">L95+K96/$T$1*100</f>
        <v>159.186875</v>
      </c>
      <c r="M96" s="28" t="n">
        <f aca="false">MAX(0,MAX($L$2:L96))</f>
        <v>161.1246875</v>
      </c>
      <c r="N96" s="28" t="n">
        <f aca="false">L96-M96</f>
        <v>-1.93781249999998</v>
      </c>
      <c r="O96" s="25" t="n">
        <f aca="false">IF(N96&gt;=-0.0000001,A96,O95)</f>
        <v>46090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46105</v>
      </c>
      <c r="B97" s="26" t="s">
        <v>80</v>
      </c>
      <c r="C97" s="27" t="n">
        <v>-9993.75</v>
      </c>
      <c r="D97" s="28" t="n">
        <f aca="false">C97/$T$1*100</f>
        <v>-3.123046875</v>
      </c>
      <c r="E97" s="28" t="n">
        <f aca="false">E96+D97</f>
        <v>142.55953125</v>
      </c>
      <c r="F97" s="28" t="n">
        <f aca="false">MAX(0,MAX($E$2:E97))</f>
        <v>147.620390625</v>
      </c>
      <c r="G97" s="28" t="n">
        <f aca="false">E97-F97</f>
        <v>-5.06085937499998</v>
      </c>
      <c r="H97" s="25" t="n">
        <f aca="false">IF(G97&gt;=-0.0000001,A97,H96)</f>
        <v>46090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-9993.75</v>
      </c>
      <c r="L97" s="28" t="n">
        <f aca="false">L96+K97/$T$1*100</f>
        <v>156.063828125</v>
      </c>
      <c r="M97" s="28" t="n">
        <f aca="false">MAX(0,MAX($L$2:L97))</f>
        <v>161.1246875</v>
      </c>
      <c r="N97" s="28" t="n">
        <f aca="false">L97-M97</f>
        <v>-5.06085937499998</v>
      </c>
      <c r="O97" s="25" t="n">
        <f aca="false">IF(N97&gt;=-0.0000001,A97,O96)</f>
        <v>46090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46118</v>
      </c>
      <c r="B98" s="26" t="s">
        <v>79</v>
      </c>
      <c r="C98" s="27" t="n">
        <v>-28080</v>
      </c>
      <c r="D98" s="28" t="n">
        <f aca="false">C98/$T$1*100</f>
        <v>-8.775</v>
      </c>
      <c r="E98" s="28" t="n">
        <f aca="false">E97+D98</f>
        <v>133.78453125</v>
      </c>
      <c r="F98" s="28" t="n">
        <f aca="false">MAX(0,MAX($E$2:E98))</f>
        <v>147.620390625</v>
      </c>
      <c r="G98" s="28" t="n">
        <f aca="false">E98-F98</f>
        <v>-13.835859375</v>
      </c>
      <c r="H98" s="25" t="n">
        <f aca="false">IF(G98&gt;=-0.0000001,A98,H97)</f>
        <v>46090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-28080</v>
      </c>
      <c r="L98" s="28" t="n">
        <f aca="false">L97+K98/$T$1*100</f>
        <v>147.288828125</v>
      </c>
      <c r="M98" s="28" t="n">
        <f aca="false">MAX(0,MAX($L$2:L98))</f>
        <v>161.1246875</v>
      </c>
      <c r="N98" s="28" t="n">
        <f aca="false">L98-M98</f>
        <v>-13.835859375</v>
      </c>
      <c r="O98" s="25" t="n">
        <f aca="false">IF(N98&gt;=-0.0000001,A98,O97)</f>
        <v>46090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46121</v>
      </c>
      <c r="B99" s="26" t="s">
        <v>82</v>
      </c>
      <c r="C99" s="27" t="n">
        <v>16721.25</v>
      </c>
      <c r="D99" s="28" t="n">
        <f aca="false">C99/$T$1*100</f>
        <v>5.225390625</v>
      </c>
      <c r="E99" s="28" t="n">
        <f aca="false">E98+D99</f>
        <v>139.009921875</v>
      </c>
      <c r="F99" s="28" t="n">
        <f aca="false">MAX(0,MAX($E$2:E99))</f>
        <v>147.620390625</v>
      </c>
      <c r="G99" s="28" t="n">
        <f aca="false">E99-F99</f>
        <v>-8.61046875</v>
      </c>
      <c r="H99" s="25" t="n">
        <f aca="false">IF(G99&gt;=-0.0000001,A99,H98)</f>
        <v>46090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16721.25</v>
      </c>
      <c r="L99" s="28" t="n">
        <f aca="false">L98+K99/$T$1*100</f>
        <v>152.51421875</v>
      </c>
      <c r="M99" s="28" t="n">
        <f aca="false">MAX(0,MAX($L$2:L99))</f>
        <v>161.1246875</v>
      </c>
      <c r="N99" s="28" t="n">
        <f aca="false">L99-M99</f>
        <v>-8.61046875</v>
      </c>
      <c r="O99" s="25" t="n">
        <f aca="false">IF(N99&gt;=-0.0000001,A99,O98)</f>
        <v>46090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46125</v>
      </c>
      <c r="B100" s="26" t="s">
        <v>79</v>
      </c>
      <c r="C100" s="27" t="n">
        <v>41226.25</v>
      </c>
      <c r="D100" s="28" t="n">
        <f aca="false">C100/$T$1*100</f>
        <v>12.883203125</v>
      </c>
      <c r="E100" s="28" t="n">
        <f aca="false">E99+D100</f>
        <v>151.893125</v>
      </c>
      <c r="F100" s="28" t="n">
        <f aca="false">MAX(0,MAX($E$2:E100))</f>
        <v>151.893125</v>
      </c>
      <c r="G100" s="28" t="n">
        <f aca="false">E100-F100</f>
        <v>0</v>
      </c>
      <c r="H100" s="25" t="n">
        <f aca="false">IF(G100&gt;=-0.0000001,A100,H99)</f>
        <v>46125</v>
      </c>
      <c r="I100" s="29" t="n">
        <f aca="false">IF(AND(G100&gt;=-0.0000001,G99&lt;0),1,0)</f>
        <v>1</v>
      </c>
      <c r="J100" s="30" t="n">
        <f aca="false">IF(I100=1,A100-H99,"")</f>
        <v>35</v>
      </c>
      <c r="K100" s="27" t="n">
        <f aca="false">IF(B100="Wednesday",0,C100)</f>
        <v>41226.25</v>
      </c>
      <c r="L100" s="28" t="n">
        <f aca="false">L99+K100/$T$1*100</f>
        <v>165.397421875</v>
      </c>
      <c r="M100" s="28" t="n">
        <f aca="false">MAX(0,MAX($L$2:L100))</f>
        <v>165.397421875</v>
      </c>
      <c r="N100" s="28" t="n">
        <f aca="false">L100-M100</f>
        <v>0</v>
      </c>
      <c r="O100" s="25" t="n">
        <f aca="false">IF(N100&gt;=-0.0000001,A100,O99)</f>
        <v>46125</v>
      </c>
      <c r="P100" s="29" t="n">
        <f aca="false">IF(AND(N100&gt;=-0.0000001,N99&lt;0),1,0)</f>
        <v>1</v>
      </c>
      <c r="Q100" s="30" t="n">
        <f aca="false">IF(P100=1,A100-O99,"")</f>
        <v>35</v>
      </c>
    </row>
    <row r="101" customFormat="false" ht="15" hidden="false" customHeight="false" outlineLevel="0" collapsed="false">
      <c r="A101" s="25" t="n">
        <v>46129</v>
      </c>
      <c r="B101" s="26" t="s">
        <v>83</v>
      </c>
      <c r="C101" s="27" t="n">
        <v>-3071.25</v>
      </c>
      <c r="D101" s="28" t="n">
        <f aca="false">C101/$T$1*100</f>
        <v>-0.959765625</v>
      </c>
      <c r="E101" s="28" t="n">
        <f aca="false">E100+D101</f>
        <v>150.933359375</v>
      </c>
      <c r="F101" s="28" t="n">
        <f aca="false">MAX(0,MAX($E$2:E101))</f>
        <v>151.893125</v>
      </c>
      <c r="G101" s="28" t="n">
        <f aca="false">E101-F101</f>
        <v>-0.959765624999989</v>
      </c>
      <c r="H101" s="25" t="n">
        <f aca="false">IF(G101&gt;=-0.0000001,A101,H100)</f>
        <v>46125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-3071.25</v>
      </c>
      <c r="L101" s="28" t="n">
        <f aca="false">L100+K101/$T$1*100</f>
        <v>164.43765625</v>
      </c>
      <c r="M101" s="28" t="n">
        <f aca="false">MAX(0,MAX($L$2:L101))</f>
        <v>165.397421875</v>
      </c>
      <c r="N101" s="28" t="n">
        <f aca="false">L101-M101</f>
        <v>-0.959765624999989</v>
      </c>
      <c r="O101" s="25" t="n">
        <f aca="false">IF(N101&gt;=-0.0000001,A101,O100)</f>
        <v>46125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46140</v>
      </c>
      <c r="B102" s="26" t="s">
        <v>80</v>
      </c>
      <c r="C102" s="27" t="n">
        <v>31122</v>
      </c>
      <c r="D102" s="28" t="n">
        <f aca="false">C102/$T$1*100</f>
        <v>9.725625</v>
      </c>
      <c r="E102" s="28" t="n">
        <f aca="false">E101+D102</f>
        <v>160.658984375</v>
      </c>
      <c r="F102" s="28" t="n">
        <f aca="false">MAX(0,MAX($E$2:E102))</f>
        <v>160.658984375</v>
      </c>
      <c r="G102" s="28" t="n">
        <f aca="false">E102-F102</f>
        <v>0</v>
      </c>
      <c r="H102" s="25" t="n">
        <f aca="false">IF(G102&gt;=-0.0000001,A102,H101)</f>
        <v>46140</v>
      </c>
      <c r="I102" s="29" t="n">
        <f aca="false">IF(AND(G102&gt;=-0.0000001,G101&lt;0),1,0)</f>
        <v>1</v>
      </c>
      <c r="J102" s="30" t="n">
        <f aca="false">IF(I102=1,A102-H101,"")</f>
        <v>15</v>
      </c>
      <c r="K102" s="27" t="n">
        <f aca="false">IF(B102="Wednesday",0,C102)</f>
        <v>31122</v>
      </c>
      <c r="L102" s="28" t="n">
        <f aca="false">L101+K102/$T$1*100</f>
        <v>174.16328125</v>
      </c>
      <c r="M102" s="28" t="n">
        <f aca="false">MAX(0,MAX($L$2:L102))</f>
        <v>174.16328125</v>
      </c>
      <c r="N102" s="28" t="n">
        <f aca="false">L102-M102</f>
        <v>0</v>
      </c>
      <c r="O102" s="25" t="n">
        <f aca="false">IF(N102&gt;=-0.0000001,A102,O101)</f>
        <v>46140</v>
      </c>
      <c r="P102" s="29" t="n">
        <f aca="false">IF(AND(N102&gt;=-0.0000001,N101&lt;0),1,0)</f>
        <v>1</v>
      </c>
      <c r="Q102" s="30" t="n">
        <f aca="false">IF(P102=1,A102-O101,"")</f>
        <v>15</v>
      </c>
    </row>
    <row r="103" customFormat="false" ht="15" hidden="false" customHeight="false" outlineLevel="0" collapsed="false">
      <c r="A103" s="25" t="n">
        <v>46142</v>
      </c>
      <c r="B103" s="26" t="s">
        <v>82</v>
      </c>
      <c r="C103" s="27" t="n">
        <v>18833.75</v>
      </c>
      <c r="D103" s="28" t="n">
        <f aca="false">C103/$T$1*100</f>
        <v>5.885546875</v>
      </c>
      <c r="E103" s="28" t="n">
        <f aca="false">E102+D103</f>
        <v>166.54453125</v>
      </c>
      <c r="F103" s="28" t="n">
        <f aca="false">MAX(0,MAX($E$2:E103))</f>
        <v>166.54453125</v>
      </c>
      <c r="G103" s="28" t="n">
        <f aca="false">E103-F103</f>
        <v>0</v>
      </c>
      <c r="H103" s="25" t="n">
        <f aca="false">IF(G103&gt;=-0.0000001,A103,H102)</f>
        <v>46142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18833.75</v>
      </c>
      <c r="L103" s="28" t="n">
        <f aca="false">L102+K103/$T$1*100</f>
        <v>180.048828125</v>
      </c>
      <c r="M103" s="28" t="n">
        <f aca="false">MAX(0,MAX($L$2:L103))</f>
        <v>180.048828125</v>
      </c>
      <c r="N103" s="28" t="n">
        <f aca="false">L103-M103</f>
        <v>0</v>
      </c>
      <c r="O103" s="25" t="n">
        <f aca="false">IF(N103&gt;=-0.0000001,A103,O102)</f>
        <v>46142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46147</v>
      </c>
      <c r="B104" s="26" t="s">
        <v>80</v>
      </c>
      <c r="C104" s="27" t="n">
        <v>22841</v>
      </c>
      <c r="D104" s="28" t="n">
        <f aca="false">C104/$T$1*100</f>
        <v>7.1378125</v>
      </c>
      <c r="E104" s="28" t="n">
        <f aca="false">E103+D104</f>
        <v>173.68234375</v>
      </c>
      <c r="F104" s="28" t="n">
        <f aca="false">MAX(0,MAX($E$2:E104))</f>
        <v>173.68234375</v>
      </c>
      <c r="G104" s="28" t="n">
        <f aca="false">E104-F104</f>
        <v>0</v>
      </c>
      <c r="H104" s="25" t="n">
        <f aca="false">IF(G104&gt;=-0.0000001,A104,H103)</f>
        <v>46147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22841</v>
      </c>
      <c r="L104" s="28" t="n">
        <f aca="false">L103+K104/$T$1*100</f>
        <v>187.186640625</v>
      </c>
      <c r="M104" s="28" t="n">
        <f aca="false">MAX(0,MAX($L$2:L104))</f>
        <v>187.186640625</v>
      </c>
      <c r="N104" s="28" t="n">
        <f aca="false">L104-M104</f>
        <v>0</v>
      </c>
      <c r="O104" s="25" t="n">
        <f aca="false">IF(N104&gt;=-0.0000001,A104,O103)</f>
        <v>46147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46148</v>
      </c>
      <c r="B105" s="26" t="s">
        <v>81</v>
      </c>
      <c r="C105" s="27" t="n">
        <v>-14365</v>
      </c>
      <c r="D105" s="28" t="n">
        <f aca="false">C105/$T$1*100</f>
        <v>-4.4890625</v>
      </c>
      <c r="E105" s="28" t="n">
        <f aca="false">E104+D105</f>
        <v>169.19328125</v>
      </c>
      <c r="F105" s="28" t="n">
        <f aca="false">MAX(0,MAX($E$2:E105))</f>
        <v>173.68234375</v>
      </c>
      <c r="G105" s="28" t="n">
        <f aca="false">E105-F105</f>
        <v>-4.48906249999999</v>
      </c>
      <c r="H105" s="25" t="n">
        <f aca="false">IF(G105&gt;=-0.0000001,A105,H104)</f>
        <v>46147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0</v>
      </c>
      <c r="L105" s="28" t="n">
        <f aca="false">L104+K105/$T$1*100</f>
        <v>187.186640625</v>
      </c>
      <c r="M105" s="28" t="n">
        <f aca="false">MAX(0,MAX($L$2:L105))</f>
        <v>187.186640625</v>
      </c>
      <c r="N105" s="28" t="n">
        <f aca="false">L105-M105</f>
        <v>0</v>
      </c>
      <c r="O105" s="25" t="n">
        <f aca="false">IF(N105&gt;=-0.0000001,A105,O104)</f>
        <v>46148</v>
      </c>
      <c r="P105" s="29" t="n">
        <f aca="false">IF(AND(N105&gt;=-0.0000001,N104&lt;0),1,0)</f>
        <v>0</v>
      </c>
      <c r="Q105" s="30" t="str">
        <f aca="false">IF(P105=1,A105-O104,"")</f>
        <v/>
      </c>
    </row>
    <row r="106" customFormat="false" ht="15" hidden="false" customHeight="false" outlineLevel="0" collapsed="false">
      <c r="A106" s="25" t="n">
        <v>46149</v>
      </c>
      <c r="B106" s="26" t="s">
        <v>82</v>
      </c>
      <c r="C106" s="27" t="n">
        <v>-13958.75</v>
      </c>
      <c r="D106" s="28" t="n">
        <f aca="false">C106/$T$1*100</f>
        <v>-4.362109375</v>
      </c>
      <c r="E106" s="28" t="n">
        <f aca="false">E105+D106</f>
        <v>164.831171875</v>
      </c>
      <c r="F106" s="28" t="n">
        <f aca="false">MAX(0,MAX($E$2:E106))</f>
        <v>173.68234375</v>
      </c>
      <c r="G106" s="28" t="n">
        <f aca="false">E106-F106</f>
        <v>-8.85117187499998</v>
      </c>
      <c r="H106" s="25" t="n">
        <f aca="false">IF(G106&gt;=-0.0000001,A106,H105)</f>
        <v>46147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-13958.75</v>
      </c>
      <c r="L106" s="28" t="n">
        <f aca="false">L105+K106/$T$1*100</f>
        <v>182.82453125</v>
      </c>
      <c r="M106" s="28" t="n">
        <f aca="false">MAX(0,MAX($L$2:L106))</f>
        <v>187.186640625</v>
      </c>
      <c r="N106" s="28" t="n">
        <f aca="false">L106-M106</f>
        <v>-4.36210937499999</v>
      </c>
      <c r="O106" s="25" t="n">
        <f aca="false">IF(N106&gt;=-0.0000001,A106,O105)</f>
        <v>46148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46150</v>
      </c>
      <c r="B107" s="26" t="s">
        <v>83</v>
      </c>
      <c r="C107" s="27" t="n">
        <v>22002.5</v>
      </c>
      <c r="D107" s="28" t="n">
        <f aca="false">C107/$T$1*100</f>
        <v>6.87578125</v>
      </c>
      <c r="E107" s="28" t="n">
        <f aca="false">E106+D107</f>
        <v>171.706953125</v>
      </c>
      <c r="F107" s="28" t="n">
        <f aca="false">MAX(0,MAX($E$2:E107))</f>
        <v>173.68234375</v>
      </c>
      <c r="G107" s="28" t="n">
        <f aca="false">E107-F107</f>
        <v>-1.97539062499999</v>
      </c>
      <c r="H107" s="25" t="n">
        <f aca="false">IF(G107&gt;=-0.0000001,A107,H106)</f>
        <v>46147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22002.5</v>
      </c>
      <c r="L107" s="28" t="n">
        <f aca="false">L106+K107/$T$1*100</f>
        <v>189.7003125</v>
      </c>
      <c r="M107" s="28" t="n">
        <f aca="false">MAX(0,MAX($L$2:L107))</f>
        <v>189.7003125</v>
      </c>
      <c r="N107" s="28" t="n">
        <f aca="false">L107-M107</f>
        <v>0</v>
      </c>
      <c r="O107" s="25" t="n">
        <f aca="false">IF(N107&gt;=-0.0000001,A107,O106)</f>
        <v>46150</v>
      </c>
      <c r="P107" s="29" t="n">
        <f aca="false">IF(AND(N107&gt;=-0.0000001,N106&lt;0),1,0)</f>
        <v>1</v>
      </c>
      <c r="Q107" s="30" t="n">
        <f aca="false">IF(P107=1,A107-O106,"")</f>
        <v>2</v>
      </c>
    </row>
    <row r="108" customFormat="false" ht="15" hidden="false" customHeight="false" outlineLevel="0" collapsed="false">
      <c r="A108" s="25" t="n">
        <v>46153</v>
      </c>
      <c r="B108" s="26" t="s">
        <v>79</v>
      </c>
      <c r="C108" s="27" t="n">
        <v>-13195</v>
      </c>
      <c r="D108" s="28" t="n">
        <f aca="false">C108/$T$1*100</f>
        <v>-4.1234375</v>
      </c>
      <c r="E108" s="28" t="n">
        <f aca="false">E107+D108</f>
        <v>167.583515625</v>
      </c>
      <c r="F108" s="28" t="n">
        <f aca="false">MAX(0,MAX($E$2:E108))</f>
        <v>173.68234375</v>
      </c>
      <c r="G108" s="28" t="n">
        <f aca="false">E108-F108</f>
        <v>-6.09882812499998</v>
      </c>
      <c r="H108" s="25" t="n">
        <f aca="false">IF(G108&gt;=-0.0000001,A108,H107)</f>
        <v>46147</v>
      </c>
      <c r="I108" s="29" t="n">
        <f aca="false">IF(AND(G108&gt;=-0.0000001,G107&lt;0),1,0)</f>
        <v>0</v>
      </c>
      <c r="J108" s="30" t="str">
        <f aca="false">IF(I108=1,A108-H107,"")</f>
        <v/>
      </c>
      <c r="K108" s="27" t="n">
        <f aca="false">IF(B108="Wednesday",0,C108)</f>
        <v>-13195</v>
      </c>
      <c r="L108" s="28" t="n">
        <f aca="false">L107+K108/$T$1*100</f>
        <v>185.576875</v>
      </c>
      <c r="M108" s="28" t="n">
        <f aca="false">MAX(0,MAX($L$2:L108))</f>
        <v>189.7003125</v>
      </c>
      <c r="N108" s="28" t="n">
        <f aca="false">L108-M108</f>
        <v>-4.12343749999999</v>
      </c>
      <c r="O108" s="25" t="n">
        <f aca="false">IF(N108&gt;=-0.0000001,A108,O107)</f>
        <v>46150</v>
      </c>
      <c r="P108" s="29" t="n">
        <f aca="false">IF(AND(N108&gt;=-0.0000001,N107&lt;0),1,0)</f>
        <v>0</v>
      </c>
      <c r="Q108" s="30" t="str">
        <f aca="false">IF(P108=1,A108-O107,"")</f>
        <v/>
      </c>
    </row>
    <row r="109" customFormat="false" ht="15" hidden="false" customHeight="false" outlineLevel="0" collapsed="false">
      <c r="A109" s="25" t="n">
        <v>46154</v>
      </c>
      <c r="B109" s="26" t="s">
        <v>80</v>
      </c>
      <c r="C109" s="27" t="n">
        <v>11427</v>
      </c>
      <c r="D109" s="28" t="n">
        <f aca="false">C109/$T$1*100</f>
        <v>3.5709375</v>
      </c>
      <c r="E109" s="28" t="n">
        <f aca="false">E108+D109</f>
        <v>171.154453125</v>
      </c>
      <c r="F109" s="28" t="n">
        <f aca="false">MAX(0,MAX($E$2:E109))</f>
        <v>173.68234375</v>
      </c>
      <c r="G109" s="28" t="n">
        <f aca="false">E109-F109</f>
        <v>-2.52789062499997</v>
      </c>
      <c r="H109" s="25" t="n">
        <f aca="false">IF(G109&gt;=-0.0000001,A109,H108)</f>
        <v>46147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11427</v>
      </c>
      <c r="L109" s="28" t="n">
        <f aca="false">L108+K109/$T$1*100</f>
        <v>189.1478125</v>
      </c>
      <c r="M109" s="28" t="n">
        <f aca="false">MAX(0,MAX($L$2:L109))</f>
        <v>189.7003125</v>
      </c>
      <c r="N109" s="28" t="n">
        <f aca="false">L109-M109</f>
        <v>-0.552499999999981</v>
      </c>
      <c r="O109" s="25" t="n">
        <f aca="false">IF(N109&gt;=-0.0000001,A109,O108)</f>
        <v>46150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46156</v>
      </c>
      <c r="B110" s="26" t="s">
        <v>82</v>
      </c>
      <c r="C110" s="27" t="n">
        <v>-13942.5</v>
      </c>
      <c r="D110" s="28" t="n">
        <f aca="false">C110/$T$1*100</f>
        <v>-4.35703125</v>
      </c>
      <c r="E110" s="28" t="n">
        <f aca="false">E109+D110</f>
        <v>166.797421875</v>
      </c>
      <c r="F110" s="28" t="n">
        <f aca="false">MAX(0,MAX($E$2:E110))</f>
        <v>173.68234375</v>
      </c>
      <c r="G110" s="28" t="n">
        <f aca="false">E110-F110</f>
        <v>-6.88492187499998</v>
      </c>
      <c r="H110" s="25" t="n">
        <f aca="false">IF(G110&gt;=-0.0000001,A110,H109)</f>
        <v>46147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-13942.5</v>
      </c>
      <c r="L110" s="28" t="n">
        <f aca="false">L109+K110/$T$1*100</f>
        <v>184.79078125</v>
      </c>
      <c r="M110" s="28" t="n">
        <f aca="false">MAX(0,MAX($L$2:L110))</f>
        <v>189.7003125</v>
      </c>
      <c r="N110" s="28" t="n">
        <f aca="false">L110-M110</f>
        <v>-4.90953124999999</v>
      </c>
      <c r="O110" s="25" t="n">
        <f aca="false">IF(N110&gt;=-0.0000001,A110,O109)</f>
        <v>46150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46160</v>
      </c>
      <c r="B111" s="26" t="s">
        <v>79</v>
      </c>
      <c r="C111" s="27" t="n">
        <v>14670.5</v>
      </c>
      <c r="D111" s="28" t="n">
        <f aca="false">C111/$T$1*100</f>
        <v>4.58453125</v>
      </c>
      <c r="E111" s="28" t="n">
        <f aca="false">E110+D111</f>
        <v>171.381953125</v>
      </c>
      <c r="F111" s="28" t="n">
        <f aca="false">MAX(0,MAX($E$2:E111))</f>
        <v>173.68234375</v>
      </c>
      <c r="G111" s="28" t="n">
        <f aca="false">E111-F111</f>
        <v>-2.30039062499998</v>
      </c>
      <c r="H111" s="25" t="n">
        <f aca="false">IF(G111&gt;=-0.0000001,A111,H110)</f>
        <v>46147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14670.5</v>
      </c>
      <c r="L111" s="28" t="n">
        <f aca="false">L110+K111/$T$1*100</f>
        <v>189.3753125</v>
      </c>
      <c r="M111" s="28" t="n">
        <f aca="false">MAX(0,MAX($L$2:L111))</f>
        <v>189.7003125</v>
      </c>
      <c r="N111" s="28" t="n">
        <f aca="false">L111-M111</f>
        <v>-0.324999999999989</v>
      </c>
      <c r="O111" s="25" t="n">
        <f aca="false">IF(N111&gt;=-0.0000001,A111,O110)</f>
        <v>46150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46161</v>
      </c>
      <c r="B112" s="26" t="s">
        <v>80</v>
      </c>
      <c r="C112" s="27" t="n">
        <v>7244.25</v>
      </c>
      <c r="D112" s="28" t="n">
        <f aca="false">C112/$T$1*100</f>
        <v>2.263828125</v>
      </c>
      <c r="E112" s="28" t="n">
        <f aca="false">E111+D112</f>
        <v>173.64578125</v>
      </c>
      <c r="F112" s="28" t="n">
        <f aca="false">MAX(0,MAX($E$2:E112))</f>
        <v>173.68234375</v>
      </c>
      <c r="G112" s="28" t="n">
        <f aca="false">E112-F112</f>
        <v>-0.0365624999999739</v>
      </c>
      <c r="H112" s="25" t="n">
        <f aca="false">IF(G112&gt;=-0.0000001,A112,H111)</f>
        <v>46147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7244.25</v>
      </c>
      <c r="L112" s="28" t="n">
        <f aca="false">L111+K112/$T$1*100</f>
        <v>191.639140625</v>
      </c>
      <c r="M112" s="28" t="n">
        <f aca="false">MAX(0,MAX($L$2:L112))</f>
        <v>191.639140625</v>
      </c>
      <c r="N112" s="28" t="n">
        <f aca="false">L112-M112</f>
        <v>0</v>
      </c>
      <c r="O112" s="25" t="n">
        <f aca="false">IF(N112&gt;=-0.0000001,A112,O111)</f>
        <v>46161</v>
      </c>
      <c r="P112" s="29" t="n">
        <f aca="false">IF(AND(N112&gt;=-0.0000001,N111&lt;0),1,0)</f>
        <v>1</v>
      </c>
      <c r="Q112" s="30" t="n">
        <f aca="false">IF(P112=1,A112-O111,"")</f>
        <v>11</v>
      </c>
    </row>
    <row r="113" customFormat="false" ht="15" hidden="false" customHeight="false" outlineLevel="0" collapsed="false">
      <c r="A113" s="25" t="n">
        <v>46162</v>
      </c>
      <c r="B113" s="26" t="s">
        <v>81</v>
      </c>
      <c r="C113" s="27" t="n">
        <v>-27738.75</v>
      </c>
      <c r="D113" s="28" t="n">
        <f aca="false">C113/$T$1*100</f>
        <v>-8.668359375</v>
      </c>
      <c r="E113" s="28" t="n">
        <f aca="false">E112+D113</f>
        <v>164.977421875</v>
      </c>
      <c r="F113" s="28" t="n">
        <f aca="false">MAX(0,MAX($E$2:E113))</f>
        <v>173.68234375</v>
      </c>
      <c r="G113" s="28" t="n">
        <f aca="false">E113-F113</f>
        <v>-8.70492187499997</v>
      </c>
      <c r="H113" s="25" t="n">
        <f aca="false">IF(G113&gt;=-0.0000001,A113,H112)</f>
        <v>46147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0</v>
      </c>
      <c r="L113" s="28" t="n">
        <f aca="false">L112+K113/$T$1*100</f>
        <v>191.639140625</v>
      </c>
      <c r="M113" s="28" t="n">
        <f aca="false">MAX(0,MAX($L$2:L113))</f>
        <v>191.639140625</v>
      </c>
      <c r="N113" s="28" t="n">
        <f aca="false">L113-M113</f>
        <v>0</v>
      </c>
      <c r="O113" s="25" t="n">
        <f aca="false">IF(N113&gt;=-0.0000001,A113,O112)</f>
        <v>46162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46164</v>
      </c>
      <c r="B114" s="26" t="s">
        <v>83</v>
      </c>
      <c r="C114" s="27" t="n">
        <v>14137.5</v>
      </c>
      <c r="D114" s="28" t="n">
        <f aca="false">C114/$T$1*100</f>
        <v>4.41796875</v>
      </c>
      <c r="E114" s="28" t="n">
        <f aca="false">E113+D114</f>
        <v>169.395390625</v>
      </c>
      <c r="F114" s="28" t="n">
        <f aca="false">MAX(0,MAX($E$2:E114))</f>
        <v>173.68234375</v>
      </c>
      <c r="G114" s="28" t="n">
        <f aca="false">E114-F114</f>
        <v>-4.28695312499997</v>
      </c>
      <c r="H114" s="25" t="n">
        <f aca="false">IF(G114&gt;=-0.0000001,A114,H113)</f>
        <v>46147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14137.5</v>
      </c>
      <c r="L114" s="28" t="n">
        <f aca="false">L113+K114/$T$1*100</f>
        <v>196.057109375</v>
      </c>
      <c r="M114" s="28" t="n">
        <f aca="false">MAX(0,MAX($L$2:L114))</f>
        <v>196.057109375</v>
      </c>
      <c r="N114" s="28" t="n">
        <f aca="false">L114-M114</f>
        <v>0</v>
      </c>
      <c r="O114" s="25" t="n">
        <f aca="false">IF(N114&gt;=-0.0000001,A114,O113)</f>
        <v>46164</v>
      </c>
      <c r="P114" s="29" t="n">
        <f aca="false">IF(AND(N114&gt;=-0.0000001,N113&lt;0),1,0)</f>
        <v>0</v>
      </c>
      <c r="Q114" s="30" t="str">
        <f aca="false">IF(P114=1,A114-O113,"")</f>
        <v/>
      </c>
    </row>
    <row r="115" customFormat="false" ht="15" hidden="false" customHeight="false" outlineLevel="0" collapsed="false">
      <c r="A115" s="25" t="n">
        <v>46168</v>
      </c>
      <c r="B115" s="26" t="s">
        <v>80</v>
      </c>
      <c r="C115" s="27" t="n">
        <v>19643</v>
      </c>
      <c r="D115" s="28" t="n">
        <f aca="false">C115/$T$1*100</f>
        <v>6.1384375</v>
      </c>
      <c r="E115" s="28" t="n">
        <f aca="false">E114+D115</f>
        <v>175.533828125</v>
      </c>
      <c r="F115" s="28" t="n">
        <f aca="false">MAX(0,MAX($E$2:E115))</f>
        <v>175.533828125</v>
      </c>
      <c r="G115" s="28" t="n">
        <f aca="false">E115-F115</f>
        <v>0</v>
      </c>
      <c r="H115" s="25" t="n">
        <f aca="false">IF(G115&gt;=-0.0000001,A115,H114)</f>
        <v>46168</v>
      </c>
      <c r="I115" s="29" t="n">
        <f aca="false">IF(AND(G115&gt;=-0.0000001,G114&lt;0),1,0)</f>
        <v>1</v>
      </c>
      <c r="J115" s="30" t="n">
        <f aca="false">IF(I115=1,A115-H114,"")</f>
        <v>21</v>
      </c>
      <c r="K115" s="27" t="n">
        <f aca="false">IF(B115="Wednesday",0,C115)</f>
        <v>19643</v>
      </c>
      <c r="L115" s="28" t="n">
        <f aca="false">L114+K115/$T$1*100</f>
        <v>202.195546875</v>
      </c>
      <c r="M115" s="28" t="n">
        <f aca="false">MAX(0,MAX($L$2:L115))</f>
        <v>202.195546875</v>
      </c>
      <c r="N115" s="28" t="n">
        <f aca="false">L115-M115</f>
        <v>0</v>
      </c>
      <c r="O115" s="25" t="n">
        <f aca="false">IF(N115&gt;=-0.0000001,A115,O114)</f>
        <v>46168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46171</v>
      </c>
      <c r="B116" s="26" t="s">
        <v>83</v>
      </c>
      <c r="C116" s="27" t="n">
        <v>24797.5</v>
      </c>
      <c r="D116" s="28" t="n">
        <f aca="false">C116/$T$1*100</f>
        <v>7.74921875</v>
      </c>
      <c r="E116" s="28" t="n">
        <f aca="false">E115+D116</f>
        <v>183.283046875</v>
      </c>
      <c r="F116" s="28" t="n">
        <f aca="false">MAX(0,MAX($E$2:E116))</f>
        <v>183.283046875</v>
      </c>
      <c r="G116" s="28" t="n">
        <f aca="false">E116-F116</f>
        <v>0</v>
      </c>
      <c r="H116" s="25" t="n">
        <f aca="false">IF(G116&gt;=-0.0000001,A116,H115)</f>
        <v>46171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24797.5</v>
      </c>
      <c r="L116" s="28" t="n">
        <f aca="false">L115+K116/$T$1*100</f>
        <v>209.944765625</v>
      </c>
      <c r="M116" s="28" t="n">
        <f aca="false">MAX(0,MAX($L$2:L116))</f>
        <v>209.944765625</v>
      </c>
      <c r="N116" s="28" t="n">
        <f aca="false">L116-M116</f>
        <v>0</v>
      </c>
      <c r="O116" s="25" t="n">
        <f aca="false">IF(N116&gt;=-0.0000001,A116,O115)</f>
        <v>46171</v>
      </c>
      <c r="P116" s="29" t="n">
        <f aca="false">IF(AND(N116&gt;=-0.0000001,N115&lt;0),1,0)</f>
        <v>0</v>
      </c>
      <c r="Q116" s="30" t="str">
        <f aca="false">IF(P116=1,A116-O115,"")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320000</v>
      </c>
    </row>
    <row r="2" customFormat="false" ht="15" hidden="false" customHeight="false" outlineLevel="0" collapsed="false">
      <c r="A2" s="25" t="n">
        <v>45917</v>
      </c>
      <c r="B2" s="26" t="s">
        <v>81</v>
      </c>
      <c r="C2" s="27" t="n">
        <v>4012.5</v>
      </c>
      <c r="D2" s="28" t="n">
        <f aca="false">C2/$T$1*100</f>
        <v>1.25390625</v>
      </c>
      <c r="E2" s="28" t="n">
        <f aca="false">D2</f>
        <v>1.25390625</v>
      </c>
      <c r="F2" s="28" t="n">
        <f aca="false">MAX(0,MAX($E$2:E2))</f>
        <v>1.25390625</v>
      </c>
      <c r="G2" s="28" t="n">
        <f aca="false">E2-F2</f>
        <v>0</v>
      </c>
      <c r="H2" s="25" t="n">
        <f aca="false">IF(G2&gt;=-0.0000001,A2,A2)</f>
        <v>45917</v>
      </c>
      <c r="I2" s="29" t="n">
        <v>0</v>
      </c>
      <c r="J2" s="30"/>
      <c r="K2" s="27" t="n">
        <f aca="false">IF(B2="Wednesday",0,C2)</f>
        <v>0</v>
      </c>
      <c r="L2" s="28" t="n">
        <f aca="false">K2/$T$1*100</f>
        <v>0</v>
      </c>
      <c r="M2" s="28" t="n">
        <f aca="false">MAX(0,MAX($L$2:L2))</f>
        <v>0</v>
      </c>
      <c r="N2" s="28" t="n">
        <f aca="false">L2-M2</f>
        <v>0</v>
      </c>
      <c r="O2" s="25" t="n">
        <f aca="false">IF(N2&gt;=-0.0000001,A2,A2)</f>
        <v>45917</v>
      </c>
      <c r="P2" s="29" t="n">
        <v>0</v>
      </c>
      <c r="Q2" s="30"/>
      <c r="S2" s="23" t="s">
        <v>108</v>
      </c>
      <c r="T2" s="31" t="n">
        <f aca="false">MAX(A2:A155)</f>
        <v>46174</v>
      </c>
    </row>
    <row r="3" customFormat="false" ht="15" hidden="false" customHeight="false" outlineLevel="0" collapsed="false">
      <c r="A3" s="25" t="n">
        <v>45918</v>
      </c>
      <c r="B3" s="26" t="s">
        <v>82</v>
      </c>
      <c r="C3" s="27" t="n">
        <v>2550</v>
      </c>
      <c r="D3" s="28" t="n">
        <f aca="false">C3/$T$1*100</f>
        <v>0.796875</v>
      </c>
      <c r="E3" s="28" t="n">
        <f aca="false">E2+D3</f>
        <v>2.05078125</v>
      </c>
      <c r="F3" s="28" t="n">
        <f aca="false">MAX(0,MAX($E$2:E3))</f>
        <v>2.05078125</v>
      </c>
      <c r="G3" s="28" t="n">
        <f aca="false">E3-F3</f>
        <v>0</v>
      </c>
      <c r="H3" s="25" t="n">
        <f aca="false">IF(G3&gt;=-0.0000001,A3,H2)</f>
        <v>45918</v>
      </c>
      <c r="I3" s="29" t="n">
        <f aca="false">IF(AND(G3&gt;=-0.0000001,G2&lt;0),1,0)</f>
        <v>0</v>
      </c>
      <c r="J3" s="30" t="str">
        <f aca="false">IF(I3=1,A3-H2,"")</f>
        <v/>
      </c>
      <c r="K3" s="27" t="n">
        <f aca="false">IF(B3="Wednesday",0,C3)</f>
        <v>2550</v>
      </c>
      <c r="L3" s="28" t="n">
        <f aca="false">L2+K3/$T$1*100</f>
        <v>0.796875</v>
      </c>
      <c r="M3" s="28" t="n">
        <f aca="false">MAX(0,MAX($L$2:L3))</f>
        <v>0.796875</v>
      </c>
      <c r="N3" s="28" t="n">
        <f aca="false">L3-M3</f>
        <v>0</v>
      </c>
      <c r="O3" s="25" t="n">
        <f aca="false">IF(N3&gt;=-0.0000001,A3,O2)</f>
        <v>45918</v>
      </c>
      <c r="P3" s="29" t="n">
        <f aca="false">IF(AND(N3&gt;=-0.0000001,N2&lt;0),1,0)</f>
        <v>0</v>
      </c>
      <c r="Q3" s="30" t="str">
        <f aca="false">IF(P3=1,A3-O2,"")</f>
        <v/>
      </c>
      <c r="S3" s="23" t="s">
        <v>109</v>
      </c>
      <c r="T3" s="31" t="n">
        <f aca="false">EDATE($T$2,-1)</f>
        <v>46143</v>
      </c>
    </row>
    <row r="4" customFormat="false" ht="15" hidden="false" customHeight="false" outlineLevel="0" collapsed="false">
      <c r="A4" s="25" t="n">
        <v>45919</v>
      </c>
      <c r="B4" s="26" t="s">
        <v>83</v>
      </c>
      <c r="C4" s="27" t="n">
        <v>4350</v>
      </c>
      <c r="D4" s="28" t="n">
        <f aca="false">C4/$T$1*100</f>
        <v>1.359375</v>
      </c>
      <c r="E4" s="28" t="n">
        <f aca="false">E3+D4</f>
        <v>3.41015625</v>
      </c>
      <c r="F4" s="28" t="n">
        <f aca="false">MAX(0,MAX($E$2:E4))</f>
        <v>3.41015625</v>
      </c>
      <c r="G4" s="28" t="n">
        <f aca="false">E4-F4</f>
        <v>0</v>
      </c>
      <c r="H4" s="25" t="n">
        <f aca="false">IF(G4&gt;=-0.0000001,A4,H3)</f>
        <v>45919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4350</v>
      </c>
      <c r="L4" s="28" t="n">
        <f aca="false">L3+K4/$T$1*100</f>
        <v>2.15625</v>
      </c>
      <c r="M4" s="28" t="n">
        <f aca="false">MAX(0,MAX($L$2:L4))</f>
        <v>2.15625</v>
      </c>
      <c r="N4" s="28" t="n">
        <f aca="false">L4-M4</f>
        <v>0</v>
      </c>
      <c r="O4" s="25" t="n">
        <f aca="false">IF(N4&gt;=-0.0000001,A4,O3)</f>
        <v>45919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46082</v>
      </c>
    </row>
    <row r="5" customFormat="false" ht="15" hidden="false" customHeight="false" outlineLevel="0" collapsed="false">
      <c r="A5" s="25" t="n">
        <v>45922</v>
      </c>
      <c r="B5" s="26" t="s">
        <v>79</v>
      </c>
      <c r="C5" s="27" t="n">
        <v>18187.5</v>
      </c>
      <c r="D5" s="28" t="n">
        <f aca="false">C5/$T$1*100</f>
        <v>5.68359375</v>
      </c>
      <c r="E5" s="28" t="n">
        <f aca="false">E4+D5</f>
        <v>9.09375</v>
      </c>
      <c r="F5" s="28" t="n">
        <f aca="false">MAX(0,MAX($E$2:E5))</f>
        <v>9.09375</v>
      </c>
      <c r="G5" s="28" t="n">
        <f aca="false">E5-F5</f>
        <v>0</v>
      </c>
      <c r="H5" s="25" t="n">
        <f aca="false">IF(G5&gt;=-0.0000001,A5,H4)</f>
        <v>45922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18187.5</v>
      </c>
      <c r="L5" s="28" t="n">
        <f aca="false">L4+K5/$T$1*100</f>
        <v>7.83984375</v>
      </c>
      <c r="M5" s="28" t="n">
        <f aca="false">MAX(0,MAX($L$2:L5))</f>
        <v>7.83984375</v>
      </c>
      <c r="N5" s="28" t="n">
        <f aca="false">L5-M5</f>
        <v>0</v>
      </c>
      <c r="O5" s="25" t="n">
        <f aca="false">IF(N5&gt;=-0.0000001,A5,O4)</f>
        <v>45922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45992</v>
      </c>
    </row>
    <row r="6" customFormat="false" ht="15" hidden="false" customHeight="false" outlineLevel="0" collapsed="false">
      <c r="A6" s="25" t="n">
        <v>45923</v>
      </c>
      <c r="B6" s="26" t="s">
        <v>80</v>
      </c>
      <c r="C6" s="27" t="n">
        <v>-8066.25</v>
      </c>
      <c r="D6" s="28" t="n">
        <f aca="false">C6/$T$1*100</f>
        <v>-2.520703125</v>
      </c>
      <c r="E6" s="28" t="n">
        <f aca="false">E5+D6</f>
        <v>6.573046875</v>
      </c>
      <c r="F6" s="28" t="n">
        <f aca="false">MAX(0,MAX($E$2:E6))</f>
        <v>9.09375</v>
      </c>
      <c r="G6" s="28" t="n">
        <f aca="false">E6-F6</f>
        <v>-2.520703125</v>
      </c>
      <c r="H6" s="25" t="n">
        <f aca="false">IF(G6&gt;=-0.0000001,A6,H5)</f>
        <v>45922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-8066.25</v>
      </c>
      <c r="L6" s="28" t="n">
        <f aca="false">L5+K6/$T$1*100</f>
        <v>5.319140625</v>
      </c>
      <c r="M6" s="28" t="n">
        <f aca="false">MAX(0,MAX($L$2:L6))</f>
        <v>7.83984375</v>
      </c>
      <c r="N6" s="28" t="n">
        <f aca="false">L6-M6</f>
        <v>-2.520703125</v>
      </c>
      <c r="O6" s="25" t="n">
        <f aca="false">IF(N6&gt;=-0.0000001,A6,O5)</f>
        <v>45922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45809</v>
      </c>
    </row>
    <row r="7" customFormat="false" ht="15" hidden="false" customHeight="false" outlineLevel="0" collapsed="false">
      <c r="A7" s="25" t="n">
        <v>45924</v>
      </c>
      <c r="B7" s="26" t="s">
        <v>81</v>
      </c>
      <c r="C7" s="27" t="n">
        <v>-5737.5</v>
      </c>
      <c r="D7" s="28" t="n">
        <f aca="false">C7/$T$1*100</f>
        <v>-1.79296875</v>
      </c>
      <c r="E7" s="28" t="n">
        <f aca="false">E6+D7</f>
        <v>4.780078125</v>
      </c>
      <c r="F7" s="28" t="n">
        <f aca="false">MAX(0,MAX($E$2:E7))</f>
        <v>9.09375</v>
      </c>
      <c r="G7" s="28" t="n">
        <f aca="false">E7-F7</f>
        <v>-4.313671875</v>
      </c>
      <c r="H7" s="25" t="n">
        <f aca="false">IF(G7&gt;=-0.0000001,A7,H6)</f>
        <v>45922</v>
      </c>
      <c r="I7" s="29" t="n">
        <f aca="false">IF(AND(G7&gt;=-0.0000001,G6&lt;0),1,0)</f>
        <v>0</v>
      </c>
      <c r="J7" s="30" t="str">
        <f aca="false">IF(I7=1,A7-H6,"")</f>
        <v/>
      </c>
      <c r="K7" s="27" t="n">
        <f aca="false">IF(B7="Wednesday",0,C7)</f>
        <v>0</v>
      </c>
      <c r="L7" s="28" t="n">
        <f aca="false">L6+K7/$T$1*100</f>
        <v>5.319140625</v>
      </c>
      <c r="M7" s="28" t="n">
        <f aca="false">MAX(0,MAX($L$2:L7))</f>
        <v>7.83984375</v>
      </c>
      <c r="N7" s="28" t="n">
        <f aca="false">L7-M7</f>
        <v>-2.520703125</v>
      </c>
      <c r="O7" s="25" t="n">
        <f aca="false">IF(N7&gt;=-0.0000001,A7,O6)</f>
        <v>45922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IF(G155&lt;-0.0000001,$T$2-H155,0)</f>
        <v>14</v>
      </c>
    </row>
    <row r="8" customFormat="false" ht="15" hidden="false" customHeight="false" outlineLevel="0" collapsed="false">
      <c r="A8" s="25" t="n">
        <v>45925</v>
      </c>
      <c r="B8" s="26" t="s">
        <v>82</v>
      </c>
      <c r="C8" s="27" t="n">
        <v>-15356.25</v>
      </c>
      <c r="D8" s="28" t="n">
        <f aca="false">C8/$T$1*100</f>
        <v>-4.798828125</v>
      </c>
      <c r="E8" s="28" t="n">
        <f aca="false">E7+D8</f>
        <v>-0.0187500000000007</v>
      </c>
      <c r="F8" s="28" t="n">
        <f aca="false">MAX(0,MAX($E$2:E8))</f>
        <v>9.09375</v>
      </c>
      <c r="G8" s="28" t="n">
        <f aca="false">E8-F8</f>
        <v>-9.1125</v>
      </c>
      <c r="H8" s="25" t="n">
        <f aca="false">IF(G8&gt;=-0.0000001,A8,H7)</f>
        <v>45922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-15356.25</v>
      </c>
      <c r="L8" s="28" t="n">
        <f aca="false">L7+K8/$T$1*100</f>
        <v>0.520312499999999</v>
      </c>
      <c r="M8" s="28" t="n">
        <f aca="false">MAX(0,MAX($L$2:L8))</f>
        <v>7.83984375</v>
      </c>
      <c r="N8" s="28" t="n">
        <f aca="false">L8-M8</f>
        <v>-7.31953125</v>
      </c>
      <c r="O8" s="25" t="n">
        <f aca="false">IF(N8&gt;=-0.0000001,A8,O7)</f>
        <v>45922</v>
      </c>
      <c r="P8" s="29" t="n">
        <f aca="false">IF(AND(N8&gt;=-0.0000001,N7&lt;0),1,0)</f>
        <v>0</v>
      </c>
      <c r="Q8" s="30" t="str">
        <f aca="false">IF(P8=1,A8-O7,"")</f>
        <v/>
      </c>
      <c r="S8" s="23" t="s">
        <v>114</v>
      </c>
      <c r="T8" s="32" t="n">
        <f aca="false">IF(N155&lt;-0.0000001,$T$2-O155,0)</f>
        <v>0</v>
      </c>
    </row>
    <row r="9" customFormat="false" ht="15" hidden="false" customHeight="false" outlineLevel="0" collapsed="false">
      <c r="A9" s="25" t="n">
        <v>45926</v>
      </c>
      <c r="B9" s="26" t="s">
        <v>83</v>
      </c>
      <c r="C9" s="27" t="n">
        <v>-1012.5</v>
      </c>
      <c r="D9" s="28" t="n">
        <f aca="false">C9/$T$1*100</f>
        <v>-0.31640625</v>
      </c>
      <c r="E9" s="28" t="n">
        <f aca="false">E8+D9</f>
        <v>-0.335156250000001</v>
      </c>
      <c r="F9" s="28" t="n">
        <f aca="false">MAX(0,MAX($E$2:E9))</f>
        <v>9.09375</v>
      </c>
      <c r="G9" s="28" t="n">
        <f aca="false">E9-F9</f>
        <v>-9.42890625</v>
      </c>
      <c r="H9" s="25" t="n">
        <f aca="false">IF(G9&gt;=-0.0000001,A9,H8)</f>
        <v>45922</v>
      </c>
      <c r="I9" s="29" t="n">
        <f aca="false">IF(AND(G9&gt;=-0.0000001,G8&lt;0),1,0)</f>
        <v>0</v>
      </c>
      <c r="J9" s="30" t="str">
        <f aca="false">IF(I9=1,A9-H8,"")</f>
        <v/>
      </c>
      <c r="K9" s="27" t="n">
        <f aca="false">IF(B9="Wednesday",0,C9)</f>
        <v>-1012.5</v>
      </c>
      <c r="L9" s="28" t="n">
        <f aca="false">L8+K9/$T$1*100</f>
        <v>0.203906249999999</v>
      </c>
      <c r="M9" s="28" t="n">
        <f aca="false">MAX(0,MAX($L$2:L9))</f>
        <v>7.83984375</v>
      </c>
      <c r="N9" s="28" t="n">
        <f aca="false">L9-M9</f>
        <v>-7.6359375</v>
      </c>
      <c r="O9" s="25" t="n">
        <f aca="false">IF(N9&gt;=-0.0000001,A9,O8)</f>
        <v>45922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MIN(A2:A155)</f>
        <v>45917</v>
      </c>
    </row>
    <row r="10" customFormat="false" ht="15" hidden="false" customHeight="false" outlineLevel="0" collapsed="false">
      <c r="A10" s="25" t="n">
        <v>45929</v>
      </c>
      <c r="B10" s="26" t="s">
        <v>79</v>
      </c>
      <c r="C10" s="27" t="n">
        <v>768.75</v>
      </c>
      <c r="D10" s="28" t="n">
        <f aca="false">C10/$T$1*100</f>
        <v>0.240234375</v>
      </c>
      <c r="E10" s="28" t="n">
        <f aca="false">E9+D10</f>
        <v>-0.0949218750000007</v>
      </c>
      <c r="F10" s="28" t="n">
        <f aca="false">MAX(0,MAX($E$2:E10))</f>
        <v>9.09375</v>
      </c>
      <c r="G10" s="28" t="n">
        <f aca="false">E10-F10</f>
        <v>-9.188671875</v>
      </c>
      <c r="H10" s="25" t="n">
        <f aca="false">IF(G10&gt;=-0.0000001,A10,H9)</f>
        <v>45922</v>
      </c>
      <c r="I10" s="29" t="n">
        <f aca="false">IF(AND(G10&gt;=-0.0000001,G9&lt;0),1,0)</f>
        <v>0</v>
      </c>
      <c r="J10" s="30" t="str">
        <f aca="false">IF(I10=1,A10-H9,"")</f>
        <v/>
      </c>
      <c r="K10" s="27" t="n">
        <f aca="false">IF(B10="Wednesday",0,C10)</f>
        <v>768.75</v>
      </c>
      <c r="L10" s="28" t="n">
        <f aca="false">L9+K10/$T$1*100</f>
        <v>0.444140624999999</v>
      </c>
      <c r="M10" s="28" t="n">
        <f aca="false">MAX(0,MAX($L$2:L10))</f>
        <v>7.83984375</v>
      </c>
      <c r="N10" s="28" t="n">
        <f aca="false">L10-M10</f>
        <v>-7.395703125</v>
      </c>
      <c r="O10" s="25" t="n">
        <f aca="false">IF(N10&gt;=-0.0000001,A10,O9)</f>
        <v>45922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45930</v>
      </c>
      <c r="B11" s="26" t="s">
        <v>80</v>
      </c>
      <c r="C11" s="27" t="n">
        <v>7863.75</v>
      </c>
      <c r="D11" s="28" t="n">
        <f aca="false">C11/$T$1*100</f>
        <v>2.457421875</v>
      </c>
      <c r="E11" s="28" t="n">
        <f aca="false">E10+D11</f>
        <v>2.3625</v>
      </c>
      <c r="F11" s="28" t="n">
        <f aca="false">MAX(0,MAX($E$2:E11))</f>
        <v>9.09375</v>
      </c>
      <c r="G11" s="28" t="n">
        <f aca="false">E11-F11</f>
        <v>-6.73125</v>
      </c>
      <c r="H11" s="25" t="n">
        <f aca="false">IF(G11&gt;=-0.0000001,A11,H10)</f>
        <v>45922</v>
      </c>
      <c r="I11" s="29" t="n">
        <f aca="false">IF(AND(G11&gt;=-0.0000001,G10&lt;0),1,0)</f>
        <v>0</v>
      </c>
      <c r="J11" s="30" t="str">
        <f aca="false">IF(I11=1,A11-H10,"")</f>
        <v/>
      </c>
      <c r="K11" s="27" t="n">
        <f aca="false">IF(B11="Wednesday",0,C11)</f>
        <v>7863.75</v>
      </c>
      <c r="L11" s="28" t="n">
        <f aca="false">L10+K11/$T$1*100</f>
        <v>2.9015625</v>
      </c>
      <c r="M11" s="28" t="n">
        <f aca="false">MAX(0,MAX($L$2:L11))</f>
        <v>7.83984375</v>
      </c>
      <c r="N11" s="28" t="n">
        <f aca="false">L11-M11</f>
        <v>-4.93828125</v>
      </c>
      <c r="O11" s="25" t="n">
        <f aca="false">IF(N11&gt;=-0.0000001,A11,O10)</f>
        <v>45922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45931</v>
      </c>
      <c r="B12" s="26" t="s">
        <v>81</v>
      </c>
      <c r="C12" s="27" t="n">
        <v>-2081.25</v>
      </c>
      <c r="D12" s="28" t="n">
        <f aca="false">C12/$T$1*100</f>
        <v>-0.650390625</v>
      </c>
      <c r="E12" s="28" t="n">
        <f aca="false">E11+D12</f>
        <v>1.712109375</v>
      </c>
      <c r="F12" s="28" t="n">
        <f aca="false">MAX(0,MAX($E$2:E12))</f>
        <v>9.09375</v>
      </c>
      <c r="G12" s="28" t="n">
        <f aca="false">E12-F12</f>
        <v>-7.381640625</v>
      </c>
      <c r="H12" s="25" t="n">
        <f aca="false">IF(G12&gt;=-0.0000001,A12,H11)</f>
        <v>45922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0</v>
      </c>
      <c r="L12" s="28" t="n">
        <f aca="false">L11+K12/$T$1*100</f>
        <v>2.9015625</v>
      </c>
      <c r="M12" s="28" t="n">
        <f aca="false">MAX(0,MAX($L$2:L12))</f>
        <v>7.83984375</v>
      </c>
      <c r="N12" s="28" t="n">
        <f aca="false">L12-M12</f>
        <v>-4.93828125</v>
      </c>
      <c r="O12" s="25" t="n">
        <f aca="false">IF(N12&gt;=-0.0000001,A12,O11)</f>
        <v>45922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45933</v>
      </c>
      <c r="B13" s="26" t="s">
        <v>83</v>
      </c>
      <c r="C13" s="27" t="n">
        <v>-14868.75</v>
      </c>
      <c r="D13" s="28" t="n">
        <f aca="false">C13/$T$1*100</f>
        <v>-4.646484375</v>
      </c>
      <c r="E13" s="28" t="n">
        <f aca="false">E12+D13</f>
        <v>-2.934375</v>
      </c>
      <c r="F13" s="28" t="n">
        <f aca="false">MAX(0,MAX($E$2:E13))</f>
        <v>9.09375</v>
      </c>
      <c r="G13" s="28" t="n">
        <f aca="false">E13-F13</f>
        <v>-12.028125</v>
      </c>
      <c r="H13" s="25" t="n">
        <f aca="false">IF(G13&gt;=-0.0000001,A13,H12)</f>
        <v>45922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-14868.75</v>
      </c>
      <c r="L13" s="28" t="n">
        <f aca="false">L12+K13/$T$1*100</f>
        <v>-1.744921875</v>
      </c>
      <c r="M13" s="28" t="n">
        <f aca="false">MAX(0,MAX($L$2:L13))</f>
        <v>7.83984375</v>
      </c>
      <c r="N13" s="28" t="n">
        <f aca="false">L13-M13</f>
        <v>-9.584765625</v>
      </c>
      <c r="O13" s="25" t="n">
        <f aca="false">IF(N13&gt;=-0.0000001,A13,O12)</f>
        <v>45922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45936</v>
      </c>
      <c r="B14" s="26" t="s">
        <v>79</v>
      </c>
      <c r="C14" s="27" t="n">
        <v>-7687.5</v>
      </c>
      <c r="D14" s="28" t="n">
        <f aca="false">C14/$T$1*100</f>
        <v>-2.40234375</v>
      </c>
      <c r="E14" s="28" t="n">
        <f aca="false">E13+D14</f>
        <v>-5.33671875</v>
      </c>
      <c r="F14" s="28" t="n">
        <f aca="false">MAX(0,MAX($E$2:E14))</f>
        <v>9.09375</v>
      </c>
      <c r="G14" s="28" t="n">
        <f aca="false">E14-F14</f>
        <v>-14.43046875</v>
      </c>
      <c r="H14" s="25" t="n">
        <f aca="false">IF(G14&gt;=-0.0000001,A14,H13)</f>
        <v>45922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-7687.5</v>
      </c>
      <c r="L14" s="28" t="n">
        <f aca="false">L13+K14/$T$1*100</f>
        <v>-4.147265625</v>
      </c>
      <c r="M14" s="28" t="n">
        <f aca="false">MAX(0,MAX($L$2:L14))</f>
        <v>7.83984375</v>
      </c>
      <c r="N14" s="28" t="n">
        <f aca="false">L14-M14</f>
        <v>-11.987109375</v>
      </c>
      <c r="O14" s="25" t="n">
        <f aca="false">IF(N14&gt;=-0.0000001,A14,O13)</f>
        <v>45922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45937</v>
      </c>
      <c r="B15" s="26" t="s">
        <v>80</v>
      </c>
      <c r="C15" s="27" t="n">
        <v>9326.25</v>
      </c>
      <c r="D15" s="28" t="n">
        <f aca="false">C15/$T$1*100</f>
        <v>2.914453125</v>
      </c>
      <c r="E15" s="28" t="n">
        <f aca="false">E14+D15</f>
        <v>-2.422265625</v>
      </c>
      <c r="F15" s="28" t="n">
        <f aca="false">MAX(0,MAX($E$2:E15))</f>
        <v>9.09375</v>
      </c>
      <c r="G15" s="28" t="n">
        <f aca="false">E15-F15</f>
        <v>-11.516015625</v>
      </c>
      <c r="H15" s="25" t="n">
        <f aca="false">IF(G15&gt;=-0.0000001,A15,H14)</f>
        <v>45922</v>
      </c>
      <c r="I15" s="29" t="n">
        <f aca="false">IF(AND(G15&gt;=-0.0000001,G14&lt;0),1,0)</f>
        <v>0</v>
      </c>
      <c r="J15" s="30" t="str">
        <f aca="false">IF(I15=1,A15-H14,"")</f>
        <v/>
      </c>
      <c r="K15" s="27" t="n">
        <f aca="false">IF(B15="Wednesday",0,C15)</f>
        <v>9326.25</v>
      </c>
      <c r="L15" s="28" t="n">
        <f aca="false">L14+K15/$T$1*100</f>
        <v>-1.2328125</v>
      </c>
      <c r="M15" s="28" t="n">
        <f aca="false">MAX(0,MAX($L$2:L15))</f>
        <v>7.83984375</v>
      </c>
      <c r="N15" s="28" t="n">
        <f aca="false">L15-M15</f>
        <v>-9.07265625</v>
      </c>
      <c r="O15" s="25" t="n">
        <f aca="false">IF(N15&gt;=-0.0000001,A15,O14)</f>
        <v>45922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45938</v>
      </c>
      <c r="B16" s="26" t="s">
        <v>81</v>
      </c>
      <c r="C16" s="27" t="n">
        <v>19687.5</v>
      </c>
      <c r="D16" s="28" t="n">
        <f aca="false">C16/$T$1*100</f>
        <v>6.15234375</v>
      </c>
      <c r="E16" s="28" t="n">
        <f aca="false">E15+D16</f>
        <v>3.730078125</v>
      </c>
      <c r="F16" s="28" t="n">
        <f aca="false">MAX(0,MAX($E$2:E16))</f>
        <v>9.09375</v>
      </c>
      <c r="G16" s="28" t="n">
        <f aca="false">E16-F16</f>
        <v>-5.363671875</v>
      </c>
      <c r="H16" s="25" t="n">
        <f aca="false">IF(G16&gt;=-0.0000001,A16,H15)</f>
        <v>45922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0</v>
      </c>
      <c r="L16" s="28" t="n">
        <f aca="false">L15+K16/$T$1*100</f>
        <v>-1.2328125</v>
      </c>
      <c r="M16" s="28" t="n">
        <f aca="false">MAX(0,MAX($L$2:L16))</f>
        <v>7.83984375</v>
      </c>
      <c r="N16" s="28" t="n">
        <f aca="false">L16-M16</f>
        <v>-9.07265625</v>
      </c>
      <c r="O16" s="25" t="n">
        <f aca="false">IF(N16&gt;=-0.0000001,A16,O15)</f>
        <v>45922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45939</v>
      </c>
      <c r="B17" s="26" t="s">
        <v>82</v>
      </c>
      <c r="C17" s="27" t="n">
        <v>17043.75</v>
      </c>
      <c r="D17" s="28" t="n">
        <f aca="false">C17/$T$1*100</f>
        <v>5.326171875</v>
      </c>
      <c r="E17" s="28" t="n">
        <f aca="false">E16+D17</f>
        <v>9.05625</v>
      </c>
      <c r="F17" s="28" t="n">
        <f aca="false">MAX(0,MAX($E$2:E17))</f>
        <v>9.09375</v>
      </c>
      <c r="G17" s="28" t="n">
        <f aca="false">E17-F17</f>
        <v>-0.0375000000000014</v>
      </c>
      <c r="H17" s="25" t="n">
        <f aca="false">IF(G17&gt;=-0.0000001,A17,H16)</f>
        <v>45922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17043.75</v>
      </c>
      <c r="L17" s="28" t="n">
        <f aca="false">L16+K17/$T$1*100</f>
        <v>4.093359375</v>
      </c>
      <c r="M17" s="28" t="n">
        <f aca="false">MAX(0,MAX($L$2:L17))</f>
        <v>7.83984375</v>
      </c>
      <c r="N17" s="28" t="n">
        <f aca="false">L17-M17</f>
        <v>-3.746484375</v>
      </c>
      <c r="O17" s="25" t="n">
        <f aca="false">IF(N17&gt;=-0.0000001,A17,O16)</f>
        <v>45922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45940</v>
      </c>
      <c r="B18" s="26" t="s">
        <v>83</v>
      </c>
      <c r="C18" s="27" t="n">
        <v>3243.75</v>
      </c>
      <c r="D18" s="28" t="n">
        <f aca="false">C18/$T$1*100</f>
        <v>1.013671875</v>
      </c>
      <c r="E18" s="28" t="n">
        <f aca="false">E17+D18</f>
        <v>10.069921875</v>
      </c>
      <c r="F18" s="28" t="n">
        <f aca="false">MAX(0,MAX($E$2:E18))</f>
        <v>10.069921875</v>
      </c>
      <c r="G18" s="28" t="n">
        <f aca="false">E18-F18</f>
        <v>0</v>
      </c>
      <c r="H18" s="25" t="n">
        <f aca="false">IF(G18&gt;=-0.0000001,A18,H17)</f>
        <v>45940</v>
      </c>
      <c r="I18" s="29" t="n">
        <f aca="false">IF(AND(G18&gt;=-0.0000001,G17&lt;0),1,0)</f>
        <v>1</v>
      </c>
      <c r="J18" s="30" t="n">
        <f aca="false">IF(I18=1,A18-H17,"")</f>
        <v>18</v>
      </c>
      <c r="K18" s="27" t="n">
        <f aca="false">IF(B18="Wednesday",0,C18)</f>
        <v>3243.75</v>
      </c>
      <c r="L18" s="28" t="n">
        <f aca="false">L17+K18/$T$1*100</f>
        <v>5.10703125</v>
      </c>
      <c r="M18" s="28" t="n">
        <f aca="false">MAX(0,MAX($L$2:L18))</f>
        <v>7.83984375</v>
      </c>
      <c r="N18" s="28" t="n">
        <f aca="false">L18-M18</f>
        <v>-2.7328125</v>
      </c>
      <c r="O18" s="25" t="n">
        <f aca="false">IF(N18&gt;=-0.0000001,A18,O17)</f>
        <v>45922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45943</v>
      </c>
      <c r="B19" s="26" t="s">
        <v>79</v>
      </c>
      <c r="C19" s="27" t="n">
        <v>-3660</v>
      </c>
      <c r="D19" s="28" t="n">
        <f aca="false">C19/$T$1*100</f>
        <v>-1.14375</v>
      </c>
      <c r="E19" s="28" t="n">
        <f aca="false">E18+D19</f>
        <v>8.926171875</v>
      </c>
      <c r="F19" s="28" t="n">
        <f aca="false">MAX(0,MAX($E$2:E19))</f>
        <v>10.069921875</v>
      </c>
      <c r="G19" s="28" t="n">
        <f aca="false">E19-F19</f>
        <v>-1.14375</v>
      </c>
      <c r="H19" s="25" t="n">
        <f aca="false">IF(G19&gt;=-0.0000001,A19,H18)</f>
        <v>45940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-3660</v>
      </c>
      <c r="L19" s="28" t="n">
        <f aca="false">L18+K19/$T$1*100</f>
        <v>3.96328125</v>
      </c>
      <c r="M19" s="28" t="n">
        <f aca="false">MAX(0,MAX($L$2:L19))</f>
        <v>7.83984375</v>
      </c>
      <c r="N19" s="28" t="n">
        <f aca="false">L19-M19</f>
        <v>-3.8765625</v>
      </c>
      <c r="O19" s="25" t="n">
        <f aca="false">IF(N19&gt;=-0.0000001,A19,O18)</f>
        <v>45922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45944</v>
      </c>
      <c r="B20" s="26" t="s">
        <v>80</v>
      </c>
      <c r="C20" s="27" t="n">
        <v>12240</v>
      </c>
      <c r="D20" s="28" t="n">
        <f aca="false">C20/$T$1*100</f>
        <v>3.825</v>
      </c>
      <c r="E20" s="28" t="n">
        <f aca="false">E19+D20</f>
        <v>12.751171875</v>
      </c>
      <c r="F20" s="28" t="n">
        <f aca="false">MAX(0,MAX($E$2:E20))</f>
        <v>12.751171875</v>
      </c>
      <c r="G20" s="28" t="n">
        <f aca="false">E20-F20</f>
        <v>0</v>
      </c>
      <c r="H20" s="25" t="n">
        <f aca="false">IF(G20&gt;=-0.0000001,A20,H19)</f>
        <v>45944</v>
      </c>
      <c r="I20" s="29" t="n">
        <f aca="false">IF(AND(G20&gt;=-0.0000001,G19&lt;0),1,0)</f>
        <v>1</v>
      </c>
      <c r="J20" s="30" t="n">
        <f aca="false">IF(I20=1,A20-H19,"")</f>
        <v>4</v>
      </c>
      <c r="K20" s="27" t="n">
        <f aca="false">IF(B20="Wednesday",0,C20)</f>
        <v>12240</v>
      </c>
      <c r="L20" s="28" t="n">
        <f aca="false">L19+K20/$T$1*100</f>
        <v>7.78828125</v>
      </c>
      <c r="M20" s="28" t="n">
        <f aca="false">MAX(0,MAX($L$2:L20))</f>
        <v>7.83984375</v>
      </c>
      <c r="N20" s="28" t="n">
        <f aca="false">L20-M20</f>
        <v>-0.0515625000000011</v>
      </c>
      <c r="O20" s="25" t="n">
        <f aca="false">IF(N20&gt;=-0.0000001,A20,O19)</f>
        <v>45922</v>
      </c>
      <c r="P20" s="29" t="n">
        <f aca="false">IF(AND(N20&gt;=-0.0000001,N19&lt;0),1,0)</f>
        <v>0</v>
      </c>
      <c r="Q20" s="30" t="str">
        <f aca="false">IF(P20=1,A20-O19,"")</f>
        <v/>
      </c>
    </row>
    <row r="21" customFormat="false" ht="15" hidden="false" customHeight="false" outlineLevel="0" collapsed="false">
      <c r="A21" s="25" t="n">
        <v>45945</v>
      </c>
      <c r="B21" s="26" t="s">
        <v>81</v>
      </c>
      <c r="C21" s="27" t="n">
        <v>7725</v>
      </c>
      <c r="D21" s="28" t="n">
        <f aca="false">C21/$T$1*100</f>
        <v>2.4140625</v>
      </c>
      <c r="E21" s="28" t="n">
        <f aca="false">E20+D21</f>
        <v>15.165234375</v>
      </c>
      <c r="F21" s="28" t="n">
        <f aca="false">MAX(0,MAX($E$2:E21))</f>
        <v>15.165234375</v>
      </c>
      <c r="G21" s="28" t="n">
        <f aca="false">E21-F21</f>
        <v>0</v>
      </c>
      <c r="H21" s="25" t="n">
        <f aca="false">IF(G21&gt;=-0.0000001,A21,H20)</f>
        <v>45945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0</v>
      </c>
      <c r="L21" s="28" t="n">
        <f aca="false">L20+K21/$T$1*100</f>
        <v>7.78828125</v>
      </c>
      <c r="M21" s="28" t="n">
        <f aca="false">MAX(0,MAX($L$2:L21))</f>
        <v>7.83984375</v>
      </c>
      <c r="N21" s="28" t="n">
        <f aca="false">L21-M21</f>
        <v>-0.0515625000000011</v>
      </c>
      <c r="O21" s="25" t="n">
        <f aca="false">IF(N21&gt;=-0.0000001,A21,O20)</f>
        <v>45922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45946</v>
      </c>
      <c r="B22" s="26" t="s">
        <v>82</v>
      </c>
      <c r="C22" s="27" t="n">
        <v>10875</v>
      </c>
      <c r="D22" s="28" t="n">
        <f aca="false">C22/$T$1*100</f>
        <v>3.3984375</v>
      </c>
      <c r="E22" s="28" t="n">
        <f aca="false">E21+D22</f>
        <v>18.563671875</v>
      </c>
      <c r="F22" s="28" t="n">
        <f aca="false">MAX(0,MAX($E$2:E22))</f>
        <v>18.563671875</v>
      </c>
      <c r="G22" s="28" t="n">
        <f aca="false">E22-F22</f>
        <v>0</v>
      </c>
      <c r="H22" s="25" t="n">
        <f aca="false">IF(G22&gt;=-0.0000001,A22,H21)</f>
        <v>45946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10875</v>
      </c>
      <c r="L22" s="28" t="n">
        <f aca="false">L21+K22/$T$1*100</f>
        <v>11.18671875</v>
      </c>
      <c r="M22" s="28" t="n">
        <f aca="false">MAX(0,MAX($L$2:L22))</f>
        <v>11.18671875</v>
      </c>
      <c r="N22" s="28" t="n">
        <f aca="false">L22-M22</f>
        <v>0</v>
      </c>
      <c r="O22" s="25" t="n">
        <f aca="false">IF(N22&gt;=-0.0000001,A22,O21)</f>
        <v>45946</v>
      </c>
      <c r="P22" s="29" t="n">
        <f aca="false">IF(AND(N22&gt;=-0.0000001,N21&lt;0),1,0)</f>
        <v>1</v>
      </c>
      <c r="Q22" s="30" t="n">
        <f aca="false">IF(P22=1,A22-O21,"")</f>
        <v>24</v>
      </c>
    </row>
    <row r="23" customFormat="false" ht="15" hidden="false" customHeight="false" outlineLevel="0" collapsed="false">
      <c r="A23" s="25" t="n">
        <v>45947</v>
      </c>
      <c r="B23" s="26" t="s">
        <v>83</v>
      </c>
      <c r="C23" s="27" t="n">
        <v>-26940</v>
      </c>
      <c r="D23" s="28" t="n">
        <f aca="false">C23/$T$1*100</f>
        <v>-8.41875</v>
      </c>
      <c r="E23" s="28" t="n">
        <f aca="false">E22+D23</f>
        <v>10.144921875</v>
      </c>
      <c r="F23" s="28" t="n">
        <f aca="false">MAX(0,MAX($E$2:E23))</f>
        <v>18.563671875</v>
      </c>
      <c r="G23" s="28" t="n">
        <f aca="false">E23-F23</f>
        <v>-8.41875</v>
      </c>
      <c r="H23" s="25" t="n">
        <f aca="false">IF(G23&gt;=-0.0000001,A23,H22)</f>
        <v>45946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-26940</v>
      </c>
      <c r="L23" s="28" t="n">
        <f aca="false">L22+K23/$T$1*100</f>
        <v>2.76796875</v>
      </c>
      <c r="M23" s="28" t="n">
        <f aca="false">MAX(0,MAX($L$2:L23))</f>
        <v>11.18671875</v>
      </c>
      <c r="N23" s="28" t="n">
        <f aca="false">L23-M23</f>
        <v>-8.41875</v>
      </c>
      <c r="O23" s="25" t="n">
        <f aca="false">IF(N23&gt;=-0.0000001,A23,O22)</f>
        <v>45946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45950</v>
      </c>
      <c r="B24" s="26" t="s">
        <v>79</v>
      </c>
      <c r="C24" s="27" t="n">
        <v>7087.5</v>
      </c>
      <c r="D24" s="28" t="n">
        <f aca="false">C24/$T$1*100</f>
        <v>2.21484375</v>
      </c>
      <c r="E24" s="28" t="n">
        <f aca="false">E23+D24</f>
        <v>12.359765625</v>
      </c>
      <c r="F24" s="28" t="n">
        <f aca="false">MAX(0,MAX($E$2:E24))</f>
        <v>18.563671875</v>
      </c>
      <c r="G24" s="28" t="n">
        <f aca="false">E24-F24</f>
        <v>-6.20390625</v>
      </c>
      <c r="H24" s="25" t="n">
        <f aca="false">IF(G24&gt;=-0.0000001,A24,H23)</f>
        <v>45946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7087.5</v>
      </c>
      <c r="L24" s="28" t="n">
        <f aca="false">L23+K24/$T$1*100</f>
        <v>4.9828125</v>
      </c>
      <c r="M24" s="28" t="n">
        <f aca="false">MAX(0,MAX($L$2:L24))</f>
        <v>11.18671875</v>
      </c>
      <c r="N24" s="28" t="n">
        <f aca="false">L24-M24</f>
        <v>-6.20390625</v>
      </c>
      <c r="O24" s="25" t="n">
        <f aca="false">IF(N24&gt;=-0.0000001,A24,O23)</f>
        <v>45946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45953</v>
      </c>
      <c r="B25" s="26" t="s">
        <v>82</v>
      </c>
      <c r="C25" s="27" t="n">
        <v>18210</v>
      </c>
      <c r="D25" s="28" t="n">
        <f aca="false">C25/$T$1*100</f>
        <v>5.690625</v>
      </c>
      <c r="E25" s="28" t="n">
        <f aca="false">E24+D25</f>
        <v>18.050390625</v>
      </c>
      <c r="F25" s="28" t="n">
        <f aca="false">MAX(0,MAX($E$2:E25))</f>
        <v>18.563671875</v>
      </c>
      <c r="G25" s="28" t="n">
        <f aca="false">E25-F25</f>
        <v>-0.513281249999999</v>
      </c>
      <c r="H25" s="25" t="n">
        <f aca="false">IF(G25&gt;=-0.0000001,A25,H24)</f>
        <v>45946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18210</v>
      </c>
      <c r="L25" s="28" t="n">
        <f aca="false">L24+K25/$T$1*100</f>
        <v>10.6734375</v>
      </c>
      <c r="M25" s="28" t="n">
        <f aca="false">MAX(0,MAX($L$2:L25))</f>
        <v>11.18671875</v>
      </c>
      <c r="N25" s="28" t="n">
        <f aca="false">L25-M25</f>
        <v>-0.51328125</v>
      </c>
      <c r="O25" s="25" t="n">
        <f aca="false">IF(N25&gt;=-0.0000001,A25,O24)</f>
        <v>45946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45954</v>
      </c>
      <c r="B26" s="26" t="s">
        <v>83</v>
      </c>
      <c r="C26" s="27" t="n">
        <v>19260</v>
      </c>
      <c r="D26" s="28" t="n">
        <f aca="false">C26/$T$1*100</f>
        <v>6.01875</v>
      </c>
      <c r="E26" s="28" t="n">
        <f aca="false">E25+D26</f>
        <v>24.069140625</v>
      </c>
      <c r="F26" s="28" t="n">
        <f aca="false">MAX(0,MAX($E$2:E26))</f>
        <v>24.069140625</v>
      </c>
      <c r="G26" s="28" t="n">
        <f aca="false">E26-F26</f>
        <v>0</v>
      </c>
      <c r="H26" s="25" t="n">
        <f aca="false">IF(G26&gt;=-0.0000001,A26,H25)</f>
        <v>45954</v>
      </c>
      <c r="I26" s="29" t="n">
        <f aca="false">IF(AND(G26&gt;=-0.0000001,G25&lt;0),1,0)</f>
        <v>1</v>
      </c>
      <c r="J26" s="30" t="n">
        <f aca="false">IF(I26=1,A26-H25,"")</f>
        <v>8</v>
      </c>
      <c r="K26" s="27" t="n">
        <f aca="false">IF(B26="Wednesday",0,C26)</f>
        <v>19260</v>
      </c>
      <c r="L26" s="28" t="n">
        <f aca="false">L25+K26/$T$1*100</f>
        <v>16.6921875</v>
      </c>
      <c r="M26" s="28" t="n">
        <f aca="false">MAX(0,MAX($L$2:L26))</f>
        <v>16.6921875</v>
      </c>
      <c r="N26" s="28" t="n">
        <f aca="false">L26-M26</f>
        <v>0</v>
      </c>
      <c r="O26" s="25" t="n">
        <f aca="false">IF(N26&gt;=-0.0000001,A26,O25)</f>
        <v>45954</v>
      </c>
      <c r="P26" s="29" t="n">
        <f aca="false">IF(AND(N26&gt;=-0.0000001,N25&lt;0),1,0)</f>
        <v>1</v>
      </c>
      <c r="Q26" s="30" t="n">
        <f aca="false">IF(P26=1,A26-O25,"")</f>
        <v>8</v>
      </c>
    </row>
    <row r="27" customFormat="false" ht="15" hidden="false" customHeight="false" outlineLevel="0" collapsed="false">
      <c r="A27" s="25" t="n">
        <v>45957</v>
      </c>
      <c r="B27" s="26" t="s">
        <v>79</v>
      </c>
      <c r="C27" s="27" t="n">
        <v>8775</v>
      </c>
      <c r="D27" s="28" t="n">
        <f aca="false">C27/$T$1*100</f>
        <v>2.7421875</v>
      </c>
      <c r="E27" s="28" t="n">
        <f aca="false">E26+D27</f>
        <v>26.811328125</v>
      </c>
      <c r="F27" s="28" t="n">
        <f aca="false">MAX(0,MAX($E$2:E27))</f>
        <v>26.811328125</v>
      </c>
      <c r="G27" s="28" t="n">
        <f aca="false">E27-F27</f>
        <v>0</v>
      </c>
      <c r="H27" s="25" t="n">
        <f aca="false">IF(G27&gt;=-0.0000001,A27,H26)</f>
        <v>45957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8775</v>
      </c>
      <c r="L27" s="28" t="n">
        <f aca="false">L26+K27/$T$1*100</f>
        <v>19.434375</v>
      </c>
      <c r="M27" s="28" t="n">
        <f aca="false">MAX(0,MAX($L$2:L27))</f>
        <v>19.434375</v>
      </c>
      <c r="N27" s="28" t="n">
        <f aca="false">L27-M27</f>
        <v>0</v>
      </c>
      <c r="O27" s="25" t="n">
        <f aca="false">IF(N27&gt;=-0.0000001,A27,O26)</f>
        <v>45957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45958</v>
      </c>
      <c r="B28" s="26" t="s">
        <v>80</v>
      </c>
      <c r="C28" s="27" t="n">
        <v>10215</v>
      </c>
      <c r="D28" s="28" t="n">
        <f aca="false">C28/$T$1*100</f>
        <v>3.1921875</v>
      </c>
      <c r="E28" s="28" t="n">
        <f aca="false">E27+D28</f>
        <v>30.003515625</v>
      </c>
      <c r="F28" s="28" t="n">
        <f aca="false">MAX(0,MAX($E$2:E28))</f>
        <v>30.003515625</v>
      </c>
      <c r="G28" s="28" t="n">
        <f aca="false">E28-F28</f>
        <v>0</v>
      </c>
      <c r="H28" s="25" t="n">
        <f aca="false">IF(G28&gt;=-0.0000001,A28,H27)</f>
        <v>45958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10215</v>
      </c>
      <c r="L28" s="28" t="n">
        <f aca="false">L27+K28/$T$1*100</f>
        <v>22.6265625</v>
      </c>
      <c r="M28" s="28" t="n">
        <f aca="false">MAX(0,MAX($L$2:L28))</f>
        <v>22.6265625</v>
      </c>
      <c r="N28" s="28" t="n">
        <f aca="false">L28-M28</f>
        <v>0</v>
      </c>
      <c r="O28" s="25" t="n">
        <f aca="false">IF(N28&gt;=-0.0000001,A28,O27)</f>
        <v>45958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45959</v>
      </c>
      <c r="B29" s="26" t="s">
        <v>81</v>
      </c>
      <c r="C29" s="27" t="n">
        <v>-6600</v>
      </c>
      <c r="D29" s="28" t="n">
        <f aca="false">C29/$T$1*100</f>
        <v>-2.0625</v>
      </c>
      <c r="E29" s="28" t="n">
        <f aca="false">E28+D29</f>
        <v>27.941015625</v>
      </c>
      <c r="F29" s="28" t="n">
        <f aca="false">MAX(0,MAX($E$2:E29))</f>
        <v>30.003515625</v>
      </c>
      <c r="G29" s="28" t="n">
        <f aca="false">E29-F29</f>
        <v>-2.0625</v>
      </c>
      <c r="H29" s="25" t="n">
        <f aca="false">IF(G29&gt;=-0.0000001,A29,H28)</f>
        <v>45958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0</v>
      </c>
      <c r="L29" s="28" t="n">
        <f aca="false">L28+K29/$T$1*100</f>
        <v>22.6265625</v>
      </c>
      <c r="M29" s="28" t="n">
        <f aca="false">MAX(0,MAX($L$2:L29))</f>
        <v>22.6265625</v>
      </c>
      <c r="N29" s="28" t="n">
        <f aca="false">L29-M29</f>
        <v>0</v>
      </c>
      <c r="O29" s="25" t="n">
        <f aca="false">IF(N29&gt;=-0.0000001,A29,O28)</f>
        <v>45959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45960</v>
      </c>
      <c r="B30" s="26" t="s">
        <v>82</v>
      </c>
      <c r="C30" s="27" t="n">
        <v>-5775</v>
      </c>
      <c r="D30" s="28" t="n">
        <f aca="false">C30/$T$1*100</f>
        <v>-1.8046875</v>
      </c>
      <c r="E30" s="28" t="n">
        <f aca="false">E29+D30</f>
        <v>26.136328125</v>
      </c>
      <c r="F30" s="28" t="n">
        <f aca="false">MAX(0,MAX($E$2:E30))</f>
        <v>30.003515625</v>
      </c>
      <c r="G30" s="28" t="n">
        <f aca="false">E30-F30</f>
        <v>-3.8671875</v>
      </c>
      <c r="H30" s="25" t="n">
        <f aca="false">IF(G30&gt;=-0.0000001,A30,H29)</f>
        <v>45958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-5775</v>
      </c>
      <c r="L30" s="28" t="n">
        <f aca="false">L29+K30/$T$1*100</f>
        <v>20.821875</v>
      </c>
      <c r="M30" s="28" t="n">
        <f aca="false">MAX(0,MAX($L$2:L30))</f>
        <v>22.6265625</v>
      </c>
      <c r="N30" s="28" t="n">
        <f aca="false">L30-M30</f>
        <v>-1.8046875</v>
      </c>
      <c r="O30" s="25" t="n">
        <f aca="false">IF(N30&gt;=-0.0000001,A30,O29)</f>
        <v>45959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45961</v>
      </c>
      <c r="B31" s="26" t="s">
        <v>83</v>
      </c>
      <c r="C31" s="27" t="n">
        <v>17130</v>
      </c>
      <c r="D31" s="28" t="n">
        <f aca="false">C31/$T$1*100</f>
        <v>5.353125</v>
      </c>
      <c r="E31" s="28" t="n">
        <f aca="false">E30+D31</f>
        <v>31.489453125</v>
      </c>
      <c r="F31" s="28" t="n">
        <f aca="false">MAX(0,MAX($E$2:E31))</f>
        <v>31.489453125</v>
      </c>
      <c r="G31" s="28" t="n">
        <f aca="false">E31-F31</f>
        <v>0</v>
      </c>
      <c r="H31" s="25" t="n">
        <f aca="false">IF(G31&gt;=-0.0000001,A31,H30)</f>
        <v>45961</v>
      </c>
      <c r="I31" s="29" t="n">
        <f aca="false">IF(AND(G31&gt;=-0.0000001,G30&lt;0),1,0)</f>
        <v>1</v>
      </c>
      <c r="J31" s="30" t="n">
        <f aca="false">IF(I31=1,A31-H30,"")</f>
        <v>3</v>
      </c>
      <c r="K31" s="27" t="n">
        <f aca="false">IF(B31="Wednesday",0,C31)</f>
        <v>17130</v>
      </c>
      <c r="L31" s="28" t="n">
        <f aca="false">L30+K31/$T$1*100</f>
        <v>26.175</v>
      </c>
      <c r="M31" s="28" t="n">
        <f aca="false">MAX(0,MAX($L$2:L31))</f>
        <v>26.175</v>
      </c>
      <c r="N31" s="28" t="n">
        <f aca="false">L31-M31</f>
        <v>0</v>
      </c>
      <c r="O31" s="25" t="n">
        <f aca="false">IF(N31&gt;=-0.0000001,A31,O30)</f>
        <v>45961</v>
      </c>
      <c r="P31" s="29" t="n">
        <f aca="false">IF(AND(N31&gt;=-0.0000001,N30&lt;0),1,0)</f>
        <v>1</v>
      </c>
      <c r="Q31" s="30" t="n">
        <f aca="false">IF(P31=1,A31-O30,"")</f>
        <v>2</v>
      </c>
    </row>
    <row r="32" customFormat="false" ht="15" hidden="false" customHeight="false" outlineLevel="0" collapsed="false">
      <c r="A32" s="25" t="n">
        <v>45964</v>
      </c>
      <c r="B32" s="26" t="s">
        <v>79</v>
      </c>
      <c r="C32" s="27" t="n">
        <v>6345</v>
      </c>
      <c r="D32" s="28" t="n">
        <f aca="false">C32/$T$1*100</f>
        <v>1.9828125</v>
      </c>
      <c r="E32" s="28" t="n">
        <f aca="false">E31+D32</f>
        <v>33.472265625</v>
      </c>
      <c r="F32" s="28" t="n">
        <f aca="false">MAX(0,MAX($E$2:E32))</f>
        <v>33.472265625</v>
      </c>
      <c r="G32" s="28" t="n">
        <f aca="false">E32-F32</f>
        <v>0</v>
      </c>
      <c r="H32" s="25" t="n">
        <f aca="false">IF(G32&gt;=-0.0000001,A32,H31)</f>
        <v>45964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6345</v>
      </c>
      <c r="L32" s="28" t="n">
        <f aca="false">L31+K32/$T$1*100</f>
        <v>28.1578125</v>
      </c>
      <c r="M32" s="28" t="n">
        <f aca="false">MAX(0,MAX($L$2:L32))</f>
        <v>28.1578125</v>
      </c>
      <c r="N32" s="28" t="n">
        <f aca="false">L32-M32</f>
        <v>0</v>
      </c>
      <c r="O32" s="25" t="n">
        <f aca="false">IF(N32&gt;=-0.0000001,A32,O31)</f>
        <v>45964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45965</v>
      </c>
      <c r="B33" s="26" t="s">
        <v>80</v>
      </c>
      <c r="C33" s="27" t="n">
        <v>5752.5</v>
      </c>
      <c r="D33" s="28" t="n">
        <f aca="false">C33/$T$1*100</f>
        <v>1.79765625</v>
      </c>
      <c r="E33" s="28" t="n">
        <f aca="false">E32+D33</f>
        <v>35.269921875</v>
      </c>
      <c r="F33" s="28" t="n">
        <f aca="false">MAX(0,MAX($E$2:E33))</f>
        <v>35.269921875</v>
      </c>
      <c r="G33" s="28" t="n">
        <f aca="false">E33-F33</f>
        <v>0</v>
      </c>
      <c r="H33" s="25" t="n">
        <f aca="false">IF(G33&gt;=-0.0000001,A33,H32)</f>
        <v>45965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5752.5</v>
      </c>
      <c r="L33" s="28" t="n">
        <f aca="false">L32+K33/$T$1*100</f>
        <v>29.95546875</v>
      </c>
      <c r="M33" s="28" t="n">
        <f aca="false">MAX(0,MAX($L$2:L33))</f>
        <v>29.95546875</v>
      </c>
      <c r="N33" s="28" t="n">
        <f aca="false">L33-M33</f>
        <v>0</v>
      </c>
      <c r="O33" s="25" t="n">
        <f aca="false">IF(N33&gt;=-0.0000001,A33,O32)</f>
        <v>45965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45967</v>
      </c>
      <c r="B34" s="26" t="s">
        <v>82</v>
      </c>
      <c r="C34" s="27" t="n">
        <v>4485</v>
      </c>
      <c r="D34" s="28" t="n">
        <f aca="false">C34/$T$1*100</f>
        <v>1.4015625</v>
      </c>
      <c r="E34" s="28" t="n">
        <f aca="false">E33+D34</f>
        <v>36.671484375</v>
      </c>
      <c r="F34" s="28" t="n">
        <f aca="false">MAX(0,MAX($E$2:E34))</f>
        <v>36.671484375</v>
      </c>
      <c r="G34" s="28" t="n">
        <f aca="false">E34-F34</f>
        <v>0</v>
      </c>
      <c r="H34" s="25" t="n">
        <f aca="false">IF(G34&gt;=-0.0000001,A34,H33)</f>
        <v>45967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4485</v>
      </c>
      <c r="L34" s="28" t="n">
        <f aca="false">L33+K34/$T$1*100</f>
        <v>31.35703125</v>
      </c>
      <c r="M34" s="28" t="n">
        <f aca="false">MAX(0,MAX($L$2:L34))</f>
        <v>31.35703125</v>
      </c>
      <c r="N34" s="28" t="n">
        <f aca="false">L34-M34</f>
        <v>0</v>
      </c>
      <c r="O34" s="25" t="n">
        <f aca="false">IF(N34&gt;=-0.0000001,A34,O33)</f>
        <v>45967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45968</v>
      </c>
      <c r="B35" s="26" t="s">
        <v>83</v>
      </c>
      <c r="C35" s="27" t="n">
        <v>13350</v>
      </c>
      <c r="D35" s="28" t="n">
        <f aca="false">C35/$T$1*100</f>
        <v>4.171875</v>
      </c>
      <c r="E35" s="28" t="n">
        <f aca="false">E34+D35</f>
        <v>40.843359375</v>
      </c>
      <c r="F35" s="28" t="n">
        <f aca="false">MAX(0,MAX($E$2:E35))</f>
        <v>40.843359375</v>
      </c>
      <c r="G35" s="28" t="n">
        <f aca="false">E35-F35</f>
        <v>0</v>
      </c>
      <c r="H35" s="25" t="n">
        <f aca="false">IF(G35&gt;=-0.0000001,A35,H34)</f>
        <v>45968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13350</v>
      </c>
      <c r="L35" s="28" t="n">
        <f aca="false">L34+K35/$T$1*100</f>
        <v>35.52890625</v>
      </c>
      <c r="M35" s="28" t="n">
        <f aca="false">MAX(0,MAX($L$2:L35))</f>
        <v>35.52890625</v>
      </c>
      <c r="N35" s="28" t="n">
        <f aca="false">L35-M35</f>
        <v>0</v>
      </c>
      <c r="O35" s="25" t="n">
        <f aca="false">IF(N35&gt;=-0.0000001,A35,O34)</f>
        <v>45968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45971</v>
      </c>
      <c r="B36" s="26" t="s">
        <v>79</v>
      </c>
      <c r="C36" s="27" t="n">
        <v>3855</v>
      </c>
      <c r="D36" s="28" t="n">
        <f aca="false">C36/$T$1*100</f>
        <v>1.2046875</v>
      </c>
      <c r="E36" s="28" t="n">
        <f aca="false">E35+D36</f>
        <v>42.048046875</v>
      </c>
      <c r="F36" s="28" t="n">
        <f aca="false">MAX(0,MAX($E$2:E36))</f>
        <v>42.048046875</v>
      </c>
      <c r="G36" s="28" t="n">
        <f aca="false">E36-F36</f>
        <v>0</v>
      </c>
      <c r="H36" s="25" t="n">
        <f aca="false">IF(G36&gt;=-0.0000001,A36,H35)</f>
        <v>45971</v>
      </c>
      <c r="I36" s="29" t="n">
        <f aca="false">IF(AND(G36&gt;=-0.0000001,G35&lt;0),1,0)</f>
        <v>0</v>
      </c>
      <c r="J36" s="30" t="str">
        <f aca="false">IF(I36=1,A36-H35,"")</f>
        <v/>
      </c>
      <c r="K36" s="27" t="n">
        <f aca="false">IF(B36="Wednesday",0,C36)</f>
        <v>3855</v>
      </c>
      <c r="L36" s="28" t="n">
        <f aca="false">L35+K36/$T$1*100</f>
        <v>36.73359375</v>
      </c>
      <c r="M36" s="28" t="n">
        <f aca="false">MAX(0,MAX($L$2:L36))</f>
        <v>36.73359375</v>
      </c>
      <c r="N36" s="28" t="n">
        <f aca="false">L36-M36</f>
        <v>0</v>
      </c>
      <c r="O36" s="25" t="n">
        <f aca="false">IF(N36&gt;=-0.0000001,A36,O35)</f>
        <v>45971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45972</v>
      </c>
      <c r="B37" s="26" t="s">
        <v>80</v>
      </c>
      <c r="C37" s="27" t="n">
        <v>1751.25</v>
      </c>
      <c r="D37" s="28" t="n">
        <f aca="false">C37/$T$1*100</f>
        <v>0.547265625</v>
      </c>
      <c r="E37" s="28" t="n">
        <f aca="false">E36+D37</f>
        <v>42.5953125</v>
      </c>
      <c r="F37" s="28" t="n">
        <f aca="false">MAX(0,MAX($E$2:E37))</f>
        <v>42.5953125</v>
      </c>
      <c r="G37" s="28" t="n">
        <f aca="false">E37-F37</f>
        <v>0</v>
      </c>
      <c r="H37" s="25" t="n">
        <f aca="false">IF(G37&gt;=-0.0000001,A37,H36)</f>
        <v>45972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1751.25</v>
      </c>
      <c r="L37" s="28" t="n">
        <f aca="false">L36+K37/$T$1*100</f>
        <v>37.280859375</v>
      </c>
      <c r="M37" s="28" t="n">
        <f aca="false">MAX(0,MAX($L$2:L37))</f>
        <v>37.280859375</v>
      </c>
      <c r="N37" s="28" t="n">
        <f aca="false">L37-M37</f>
        <v>0</v>
      </c>
      <c r="O37" s="25" t="n">
        <f aca="false">IF(N37&gt;=-0.0000001,A37,O36)</f>
        <v>45972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45974</v>
      </c>
      <c r="B38" s="26" t="s">
        <v>82</v>
      </c>
      <c r="C38" s="27" t="n">
        <v>-5340</v>
      </c>
      <c r="D38" s="28" t="n">
        <f aca="false">C38/$T$1*100</f>
        <v>-1.66875</v>
      </c>
      <c r="E38" s="28" t="n">
        <f aca="false">E37+D38</f>
        <v>40.9265625</v>
      </c>
      <c r="F38" s="28" t="n">
        <f aca="false">MAX(0,MAX($E$2:E38))</f>
        <v>42.5953125</v>
      </c>
      <c r="G38" s="28" t="n">
        <f aca="false">E38-F38</f>
        <v>-1.66875</v>
      </c>
      <c r="H38" s="25" t="n">
        <f aca="false">IF(G38&gt;=-0.0000001,A38,H37)</f>
        <v>45972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-5340</v>
      </c>
      <c r="L38" s="28" t="n">
        <f aca="false">L37+K38/$T$1*100</f>
        <v>35.612109375</v>
      </c>
      <c r="M38" s="28" t="n">
        <f aca="false">MAX(0,MAX($L$2:L38))</f>
        <v>37.280859375</v>
      </c>
      <c r="N38" s="28" t="n">
        <f aca="false">L38-M38</f>
        <v>-1.66875</v>
      </c>
      <c r="O38" s="25" t="n">
        <f aca="false">IF(N38&gt;=-0.0000001,A38,O37)</f>
        <v>45972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45975</v>
      </c>
      <c r="B39" s="26" t="s">
        <v>83</v>
      </c>
      <c r="C39" s="27" t="n">
        <v>8100</v>
      </c>
      <c r="D39" s="28" t="n">
        <f aca="false">C39/$T$1*100</f>
        <v>2.53125</v>
      </c>
      <c r="E39" s="28" t="n">
        <f aca="false">E38+D39</f>
        <v>43.4578125</v>
      </c>
      <c r="F39" s="28" t="n">
        <f aca="false">MAX(0,MAX($E$2:E39))</f>
        <v>43.4578125</v>
      </c>
      <c r="G39" s="28" t="n">
        <f aca="false">E39-F39</f>
        <v>0</v>
      </c>
      <c r="H39" s="25" t="n">
        <f aca="false">IF(G39&gt;=-0.0000001,A39,H38)</f>
        <v>45975</v>
      </c>
      <c r="I39" s="29" t="n">
        <f aca="false">IF(AND(G39&gt;=-0.0000001,G38&lt;0),1,0)</f>
        <v>1</v>
      </c>
      <c r="J39" s="30" t="n">
        <f aca="false">IF(I39=1,A39-H38,"")</f>
        <v>3</v>
      </c>
      <c r="K39" s="27" t="n">
        <f aca="false">IF(B39="Wednesday",0,C39)</f>
        <v>8100</v>
      </c>
      <c r="L39" s="28" t="n">
        <f aca="false">L38+K39/$T$1*100</f>
        <v>38.143359375</v>
      </c>
      <c r="M39" s="28" t="n">
        <f aca="false">MAX(0,MAX($L$2:L39))</f>
        <v>38.143359375</v>
      </c>
      <c r="N39" s="28" t="n">
        <f aca="false">L39-M39</f>
        <v>0</v>
      </c>
      <c r="O39" s="25" t="n">
        <f aca="false">IF(N39&gt;=-0.0000001,A39,O38)</f>
        <v>45975</v>
      </c>
      <c r="P39" s="29" t="n">
        <f aca="false">IF(AND(N39&gt;=-0.0000001,N38&lt;0),1,0)</f>
        <v>1</v>
      </c>
      <c r="Q39" s="30" t="n">
        <f aca="false">IF(P39=1,A39-O38,"")</f>
        <v>3</v>
      </c>
    </row>
    <row r="40" customFormat="false" ht="15" hidden="false" customHeight="false" outlineLevel="0" collapsed="false">
      <c r="A40" s="25" t="n">
        <v>45978</v>
      </c>
      <c r="B40" s="26" t="s">
        <v>79</v>
      </c>
      <c r="C40" s="27" t="n">
        <v>5745</v>
      </c>
      <c r="D40" s="28" t="n">
        <f aca="false">C40/$T$1*100</f>
        <v>1.7953125</v>
      </c>
      <c r="E40" s="28" t="n">
        <f aca="false">E39+D40</f>
        <v>45.253125</v>
      </c>
      <c r="F40" s="28" t="n">
        <f aca="false">MAX(0,MAX($E$2:E40))</f>
        <v>45.253125</v>
      </c>
      <c r="G40" s="28" t="n">
        <f aca="false">E40-F40</f>
        <v>0</v>
      </c>
      <c r="H40" s="25" t="n">
        <f aca="false">IF(G40&gt;=-0.0000001,A40,H39)</f>
        <v>45978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5745</v>
      </c>
      <c r="L40" s="28" t="n">
        <f aca="false">L39+K40/$T$1*100</f>
        <v>39.938671875</v>
      </c>
      <c r="M40" s="28" t="n">
        <f aca="false">MAX(0,MAX($L$2:L40))</f>
        <v>39.938671875</v>
      </c>
      <c r="N40" s="28" t="n">
        <f aca="false">L40-M40</f>
        <v>0</v>
      </c>
      <c r="O40" s="25" t="n">
        <f aca="false">IF(N40&gt;=-0.0000001,A40,O39)</f>
        <v>45978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45979</v>
      </c>
      <c r="B41" s="26" t="s">
        <v>80</v>
      </c>
      <c r="C41" s="27" t="n">
        <v>5587.5</v>
      </c>
      <c r="D41" s="28" t="n">
        <f aca="false">C41/$T$1*100</f>
        <v>1.74609375</v>
      </c>
      <c r="E41" s="28" t="n">
        <f aca="false">E40+D41</f>
        <v>46.99921875</v>
      </c>
      <c r="F41" s="28" t="n">
        <f aca="false">MAX(0,MAX($E$2:E41))</f>
        <v>46.99921875</v>
      </c>
      <c r="G41" s="28" t="n">
        <f aca="false">E41-F41</f>
        <v>0</v>
      </c>
      <c r="H41" s="25" t="n">
        <f aca="false">IF(G41&gt;=-0.0000001,A41,H40)</f>
        <v>45979</v>
      </c>
      <c r="I41" s="29" t="n">
        <f aca="false">IF(AND(G41&gt;=-0.0000001,G40&lt;0),1,0)</f>
        <v>0</v>
      </c>
      <c r="J41" s="30" t="str">
        <f aca="false">IF(I41=1,A41-H40,"")</f>
        <v/>
      </c>
      <c r="K41" s="27" t="n">
        <f aca="false">IF(B41="Wednesday",0,C41)</f>
        <v>5587.5</v>
      </c>
      <c r="L41" s="28" t="n">
        <f aca="false">L40+K41/$T$1*100</f>
        <v>41.684765625</v>
      </c>
      <c r="M41" s="28" t="n">
        <f aca="false">MAX(0,MAX($L$2:L41))</f>
        <v>41.684765625</v>
      </c>
      <c r="N41" s="28" t="n">
        <f aca="false">L41-M41</f>
        <v>0</v>
      </c>
      <c r="O41" s="25" t="n">
        <f aca="false">IF(N41&gt;=-0.0000001,A41,O40)</f>
        <v>45979</v>
      </c>
      <c r="P41" s="29" t="n">
        <f aca="false">IF(AND(N41&gt;=-0.0000001,N40&lt;0),1,0)</f>
        <v>0</v>
      </c>
      <c r="Q41" s="30" t="str">
        <f aca="false">IF(P41=1,A41-O40,"")</f>
        <v/>
      </c>
    </row>
    <row r="42" customFormat="false" ht="15" hidden="false" customHeight="false" outlineLevel="0" collapsed="false">
      <c r="A42" s="25" t="n">
        <v>45980</v>
      </c>
      <c r="B42" s="26" t="s">
        <v>81</v>
      </c>
      <c r="C42" s="27" t="n">
        <v>-14250</v>
      </c>
      <c r="D42" s="28" t="n">
        <f aca="false">C42/$T$1*100</f>
        <v>-4.453125</v>
      </c>
      <c r="E42" s="28" t="n">
        <f aca="false">E41+D42</f>
        <v>42.54609375</v>
      </c>
      <c r="F42" s="28" t="n">
        <f aca="false">MAX(0,MAX($E$2:E42))</f>
        <v>46.99921875</v>
      </c>
      <c r="G42" s="28" t="n">
        <f aca="false">E42-F42</f>
        <v>-4.453125</v>
      </c>
      <c r="H42" s="25" t="n">
        <f aca="false">IF(G42&gt;=-0.0000001,A42,H41)</f>
        <v>45979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0</v>
      </c>
      <c r="L42" s="28" t="n">
        <f aca="false">L41+K42/$T$1*100</f>
        <v>41.684765625</v>
      </c>
      <c r="M42" s="28" t="n">
        <f aca="false">MAX(0,MAX($L$2:L42))</f>
        <v>41.684765625</v>
      </c>
      <c r="N42" s="28" t="n">
        <f aca="false">L42-M42</f>
        <v>0</v>
      </c>
      <c r="O42" s="25" t="n">
        <f aca="false">IF(N42&gt;=-0.0000001,A42,O41)</f>
        <v>45980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45981</v>
      </c>
      <c r="B43" s="26" t="s">
        <v>82</v>
      </c>
      <c r="C43" s="27" t="n">
        <v>11325</v>
      </c>
      <c r="D43" s="28" t="n">
        <f aca="false">C43/$T$1*100</f>
        <v>3.5390625</v>
      </c>
      <c r="E43" s="28" t="n">
        <f aca="false">E42+D43</f>
        <v>46.08515625</v>
      </c>
      <c r="F43" s="28" t="n">
        <f aca="false">MAX(0,MAX($E$2:E43))</f>
        <v>46.99921875</v>
      </c>
      <c r="G43" s="28" t="n">
        <f aca="false">E43-F43</f>
        <v>-0.9140625</v>
      </c>
      <c r="H43" s="25" t="n">
        <f aca="false">IF(G43&gt;=-0.0000001,A43,H42)</f>
        <v>45979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11325</v>
      </c>
      <c r="L43" s="28" t="n">
        <f aca="false">L42+K43/$T$1*100</f>
        <v>45.223828125</v>
      </c>
      <c r="M43" s="28" t="n">
        <f aca="false">MAX(0,MAX($L$2:L43))</f>
        <v>45.223828125</v>
      </c>
      <c r="N43" s="28" t="n">
        <f aca="false">L43-M43</f>
        <v>0</v>
      </c>
      <c r="O43" s="25" t="n">
        <f aca="false">IF(N43&gt;=-0.0000001,A43,O42)</f>
        <v>45981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45982</v>
      </c>
      <c r="B44" s="26" t="s">
        <v>83</v>
      </c>
      <c r="C44" s="27" t="n">
        <v>-28395</v>
      </c>
      <c r="D44" s="28" t="n">
        <f aca="false">C44/$T$1*100</f>
        <v>-8.8734375</v>
      </c>
      <c r="E44" s="28" t="n">
        <f aca="false">E43+D44</f>
        <v>37.21171875</v>
      </c>
      <c r="F44" s="28" t="n">
        <f aca="false">MAX(0,MAX($E$2:E44))</f>
        <v>46.99921875</v>
      </c>
      <c r="G44" s="28" t="n">
        <f aca="false">E44-F44</f>
        <v>-9.7875</v>
      </c>
      <c r="H44" s="25" t="n">
        <f aca="false">IF(G44&gt;=-0.0000001,A44,H43)</f>
        <v>45979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-28395</v>
      </c>
      <c r="L44" s="28" t="n">
        <f aca="false">L43+K44/$T$1*100</f>
        <v>36.350390625</v>
      </c>
      <c r="M44" s="28" t="n">
        <f aca="false">MAX(0,MAX($L$2:L44))</f>
        <v>45.223828125</v>
      </c>
      <c r="N44" s="28" t="n">
        <f aca="false">L44-M44</f>
        <v>-8.8734375</v>
      </c>
      <c r="O44" s="25" t="n">
        <f aca="false">IF(N44&gt;=-0.0000001,A44,O43)</f>
        <v>45981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45985</v>
      </c>
      <c r="B45" s="26" t="s">
        <v>79</v>
      </c>
      <c r="C45" s="27" t="n">
        <v>-12900</v>
      </c>
      <c r="D45" s="28" t="n">
        <f aca="false">C45/$T$1*100</f>
        <v>-4.03125</v>
      </c>
      <c r="E45" s="28" t="n">
        <f aca="false">E44+D45</f>
        <v>33.18046875</v>
      </c>
      <c r="F45" s="28" t="n">
        <f aca="false">MAX(0,MAX($E$2:E45))</f>
        <v>46.99921875</v>
      </c>
      <c r="G45" s="28" t="n">
        <f aca="false">E45-F45</f>
        <v>-13.81875</v>
      </c>
      <c r="H45" s="25" t="n">
        <f aca="false">IF(G45&gt;=-0.0000001,A45,H44)</f>
        <v>45979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-12900</v>
      </c>
      <c r="L45" s="28" t="n">
        <f aca="false">L44+K45/$T$1*100</f>
        <v>32.319140625</v>
      </c>
      <c r="M45" s="28" t="n">
        <f aca="false">MAX(0,MAX($L$2:L45))</f>
        <v>45.223828125</v>
      </c>
      <c r="N45" s="28" t="n">
        <f aca="false">L45-M45</f>
        <v>-12.9046875</v>
      </c>
      <c r="O45" s="25" t="n">
        <f aca="false">IF(N45&gt;=-0.0000001,A45,O44)</f>
        <v>45981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45986</v>
      </c>
      <c r="B46" s="26" t="s">
        <v>80</v>
      </c>
      <c r="C46" s="27" t="n">
        <v>-3896.25</v>
      </c>
      <c r="D46" s="28" t="n">
        <f aca="false">C46/$T$1*100</f>
        <v>-1.217578125</v>
      </c>
      <c r="E46" s="28" t="n">
        <f aca="false">E45+D46</f>
        <v>31.962890625</v>
      </c>
      <c r="F46" s="28" t="n">
        <f aca="false">MAX(0,MAX($E$2:E46))</f>
        <v>46.99921875</v>
      </c>
      <c r="G46" s="28" t="n">
        <f aca="false">E46-F46</f>
        <v>-15.036328125</v>
      </c>
      <c r="H46" s="25" t="n">
        <f aca="false">IF(G46&gt;=-0.0000001,A46,H45)</f>
        <v>45979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-3896.25</v>
      </c>
      <c r="L46" s="28" t="n">
        <f aca="false">L45+K46/$T$1*100</f>
        <v>31.1015625</v>
      </c>
      <c r="M46" s="28" t="n">
        <f aca="false">MAX(0,MAX($L$2:L46))</f>
        <v>45.223828125</v>
      </c>
      <c r="N46" s="28" t="n">
        <f aca="false">L46-M46</f>
        <v>-14.122265625</v>
      </c>
      <c r="O46" s="25" t="n">
        <f aca="false">IF(N46&gt;=-0.0000001,A46,O45)</f>
        <v>45981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45987</v>
      </c>
      <c r="B47" s="26" t="s">
        <v>81</v>
      </c>
      <c r="C47" s="27" t="n">
        <v>-16770</v>
      </c>
      <c r="D47" s="28" t="n">
        <f aca="false">C47/$T$1*100</f>
        <v>-5.240625</v>
      </c>
      <c r="E47" s="28" t="n">
        <f aca="false">E46+D47</f>
        <v>26.722265625</v>
      </c>
      <c r="F47" s="28" t="n">
        <f aca="false">MAX(0,MAX($E$2:E47))</f>
        <v>46.99921875</v>
      </c>
      <c r="G47" s="28" t="n">
        <f aca="false">E47-F47</f>
        <v>-20.276953125</v>
      </c>
      <c r="H47" s="25" t="n">
        <f aca="false">IF(G47&gt;=-0.0000001,A47,H46)</f>
        <v>45979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0</v>
      </c>
      <c r="L47" s="28" t="n">
        <f aca="false">L46+K47/$T$1*100</f>
        <v>31.1015625</v>
      </c>
      <c r="M47" s="28" t="n">
        <f aca="false">MAX(0,MAX($L$2:L47))</f>
        <v>45.223828125</v>
      </c>
      <c r="N47" s="28" t="n">
        <f aca="false">L47-M47</f>
        <v>-14.122265625</v>
      </c>
      <c r="O47" s="25" t="n">
        <f aca="false">IF(N47&gt;=-0.0000001,A47,O46)</f>
        <v>45981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45988</v>
      </c>
      <c r="B48" s="26" t="s">
        <v>82</v>
      </c>
      <c r="C48" s="27" t="n">
        <v>12855</v>
      </c>
      <c r="D48" s="28" t="n">
        <f aca="false">C48/$T$1*100</f>
        <v>4.0171875</v>
      </c>
      <c r="E48" s="28" t="n">
        <f aca="false">E47+D48</f>
        <v>30.739453125</v>
      </c>
      <c r="F48" s="28" t="n">
        <f aca="false">MAX(0,MAX($E$2:E48))</f>
        <v>46.99921875</v>
      </c>
      <c r="G48" s="28" t="n">
        <f aca="false">E48-F48</f>
        <v>-16.259765625</v>
      </c>
      <c r="H48" s="25" t="n">
        <f aca="false">IF(G48&gt;=-0.0000001,A48,H47)</f>
        <v>45979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12855</v>
      </c>
      <c r="L48" s="28" t="n">
        <f aca="false">L47+K48/$T$1*100</f>
        <v>35.11875</v>
      </c>
      <c r="M48" s="28" t="n">
        <f aca="false">MAX(0,MAX($L$2:L48))</f>
        <v>45.223828125</v>
      </c>
      <c r="N48" s="28" t="n">
        <f aca="false">L48-M48</f>
        <v>-10.105078125</v>
      </c>
      <c r="O48" s="25" t="n">
        <f aca="false">IF(N48&gt;=-0.0000001,A48,O47)</f>
        <v>45981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45989</v>
      </c>
      <c r="B49" s="26" t="s">
        <v>83</v>
      </c>
      <c r="C49" s="27" t="n">
        <v>7725</v>
      </c>
      <c r="D49" s="28" t="n">
        <f aca="false">C49/$T$1*100</f>
        <v>2.4140625</v>
      </c>
      <c r="E49" s="28" t="n">
        <f aca="false">E48+D49</f>
        <v>33.153515625</v>
      </c>
      <c r="F49" s="28" t="n">
        <f aca="false">MAX(0,MAX($E$2:E49))</f>
        <v>46.99921875</v>
      </c>
      <c r="G49" s="28" t="n">
        <f aca="false">E49-F49</f>
        <v>-13.845703125</v>
      </c>
      <c r="H49" s="25" t="n">
        <f aca="false">IF(G49&gt;=-0.0000001,A49,H48)</f>
        <v>45979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7725</v>
      </c>
      <c r="L49" s="28" t="n">
        <f aca="false">L48+K49/$T$1*100</f>
        <v>37.5328125</v>
      </c>
      <c r="M49" s="28" t="n">
        <f aca="false">MAX(0,MAX($L$2:L49))</f>
        <v>45.223828125</v>
      </c>
      <c r="N49" s="28" t="n">
        <f aca="false">L49-M49</f>
        <v>-7.691015625</v>
      </c>
      <c r="O49" s="25" t="n">
        <f aca="false">IF(N49&gt;=-0.0000001,A49,O48)</f>
        <v>45981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45992</v>
      </c>
      <c r="B50" s="26" t="s">
        <v>79</v>
      </c>
      <c r="C50" s="27" t="n">
        <v>15150</v>
      </c>
      <c r="D50" s="28" t="n">
        <f aca="false">C50/$T$1*100</f>
        <v>4.734375</v>
      </c>
      <c r="E50" s="28" t="n">
        <f aca="false">E49+D50</f>
        <v>37.887890625</v>
      </c>
      <c r="F50" s="28" t="n">
        <f aca="false">MAX(0,MAX($E$2:E50))</f>
        <v>46.99921875</v>
      </c>
      <c r="G50" s="28" t="n">
        <f aca="false">E50-F50</f>
        <v>-9.111328125</v>
      </c>
      <c r="H50" s="25" t="n">
        <f aca="false">IF(G50&gt;=-0.0000001,A50,H49)</f>
        <v>45979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15150</v>
      </c>
      <c r="L50" s="28" t="n">
        <f aca="false">L49+K50/$T$1*100</f>
        <v>42.2671875</v>
      </c>
      <c r="M50" s="28" t="n">
        <f aca="false">MAX(0,MAX($L$2:L50))</f>
        <v>45.223828125</v>
      </c>
      <c r="N50" s="28" t="n">
        <f aca="false">L50-M50</f>
        <v>-2.956640625</v>
      </c>
      <c r="O50" s="25" t="n">
        <f aca="false">IF(N50&gt;=-0.0000001,A50,O49)</f>
        <v>45981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45993</v>
      </c>
      <c r="B51" s="26" t="s">
        <v>80</v>
      </c>
      <c r="C51" s="27" t="n">
        <v>8505</v>
      </c>
      <c r="D51" s="28" t="n">
        <f aca="false">C51/$T$1*100</f>
        <v>2.6578125</v>
      </c>
      <c r="E51" s="28" t="n">
        <f aca="false">E50+D51</f>
        <v>40.545703125</v>
      </c>
      <c r="F51" s="28" t="n">
        <f aca="false">MAX(0,MAX($E$2:E51))</f>
        <v>46.99921875</v>
      </c>
      <c r="G51" s="28" t="n">
        <f aca="false">E51-F51</f>
        <v>-6.453515625</v>
      </c>
      <c r="H51" s="25" t="n">
        <f aca="false">IF(G51&gt;=-0.0000001,A51,H50)</f>
        <v>45979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8505</v>
      </c>
      <c r="L51" s="28" t="n">
        <f aca="false">L50+K51/$T$1*100</f>
        <v>44.925</v>
      </c>
      <c r="M51" s="28" t="n">
        <f aca="false">MAX(0,MAX($L$2:L51))</f>
        <v>45.223828125</v>
      </c>
      <c r="N51" s="28" t="n">
        <f aca="false">L51-M51</f>
        <v>-0.298828125</v>
      </c>
      <c r="O51" s="25" t="n">
        <f aca="false">IF(N51&gt;=-0.0000001,A51,O50)</f>
        <v>45981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45994</v>
      </c>
      <c r="B52" s="26" t="s">
        <v>81</v>
      </c>
      <c r="C52" s="27" t="n">
        <v>9540</v>
      </c>
      <c r="D52" s="28" t="n">
        <f aca="false">C52/$T$1*100</f>
        <v>2.98125</v>
      </c>
      <c r="E52" s="28" t="n">
        <f aca="false">E51+D52</f>
        <v>43.526953125</v>
      </c>
      <c r="F52" s="28" t="n">
        <f aca="false">MAX(0,MAX($E$2:E52))</f>
        <v>46.99921875</v>
      </c>
      <c r="G52" s="28" t="n">
        <f aca="false">E52-F52</f>
        <v>-3.472265625</v>
      </c>
      <c r="H52" s="25" t="n">
        <f aca="false">IF(G52&gt;=-0.0000001,A52,H51)</f>
        <v>45979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0</v>
      </c>
      <c r="L52" s="28" t="n">
        <f aca="false">L51+K52/$T$1*100</f>
        <v>44.925</v>
      </c>
      <c r="M52" s="28" t="n">
        <f aca="false">MAX(0,MAX($L$2:L52))</f>
        <v>45.223828125</v>
      </c>
      <c r="N52" s="28" t="n">
        <f aca="false">L52-M52</f>
        <v>-0.298828125</v>
      </c>
      <c r="O52" s="25" t="n">
        <f aca="false">IF(N52&gt;=-0.0000001,A52,O51)</f>
        <v>45981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45995</v>
      </c>
      <c r="B53" s="26" t="s">
        <v>82</v>
      </c>
      <c r="C53" s="27" t="n">
        <v>3315</v>
      </c>
      <c r="D53" s="28" t="n">
        <f aca="false">C53/$T$1*100</f>
        <v>1.0359375</v>
      </c>
      <c r="E53" s="28" t="n">
        <f aca="false">E52+D53</f>
        <v>44.562890625</v>
      </c>
      <c r="F53" s="28" t="n">
        <f aca="false">MAX(0,MAX($E$2:E53))</f>
        <v>46.99921875</v>
      </c>
      <c r="G53" s="28" t="n">
        <f aca="false">E53-F53</f>
        <v>-2.436328125</v>
      </c>
      <c r="H53" s="25" t="n">
        <f aca="false">IF(G53&gt;=-0.0000001,A53,H52)</f>
        <v>45979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3315</v>
      </c>
      <c r="L53" s="28" t="n">
        <f aca="false">L52+K53/$T$1*100</f>
        <v>45.9609375</v>
      </c>
      <c r="M53" s="28" t="n">
        <f aca="false">MAX(0,MAX($L$2:L53))</f>
        <v>45.9609375</v>
      </c>
      <c r="N53" s="28" t="n">
        <f aca="false">L53-M53</f>
        <v>0</v>
      </c>
      <c r="O53" s="25" t="n">
        <f aca="false">IF(N53&gt;=-0.0000001,A53,O52)</f>
        <v>45995</v>
      </c>
      <c r="P53" s="29" t="n">
        <f aca="false">IF(AND(N53&gt;=-0.0000001,N52&lt;0),1,0)</f>
        <v>1</v>
      </c>
      <c r="Q53" s="30" t="n">
        <f aca="false">IF(P53=1,A53-O52,"")</f>
        <v>14</v>
      </c>
    </row>
    <row r="54" customFormat="false" ht="15" hidden="false" customHeight="false" outlineLevel="0" collapsed="false">
      <c r="A54" s="25" t="n">
        <v>45996</v>
      </c>
      <c r="B54" s="26" t="s">
        <v>83</v>
      </c>
      <c r="C54" s="27" t="n">
        <v>-27510</v>
      </c>
      <c r="D54" s="28" t="n">
        <f aca="false">C54/$T$1*100</f>
        <v>-8.596875</v>
      </c>
      <c r="E54" s="28" t="n">
        <f aca="false">E53+D54</f>
        <v>35.966015625</v>
      </c>
      <c r="F54" s="28" t="n">
        <f aca="false">MAX(0,MAX($E$2:E54))</f>
        <v>46.99921875</v>
      </c>
      <c r="G54" s="28" t="n">
        <f aca="false">E54-F54</f>
        <v>-11.033203125</v>
      </c>
      <c r="H54" s="25" t="n">
        <f aca="false">IF(G54&gt;=-0.0000001,A54,H53)</f>
        <v>45979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-27510</v>
      </c>
      <c r="L54" s="28" t="n">
        <f aca="false">L53+K54/$T$1*100</f>
        <v>37.3640625</v>
      </c>
      <c r="M54" s="28" t="n">
        <f aca="false">MAX(0,MAX($L$2:L54))</f>
        <v>45.9609375</v>
      </c>
      <c r="N54" s="28" t="n">
        <f aca="false">L54-M54</f>
        <v>-8.596875</v>
      </c>
      <c r="O54" s="25" t="n">
        <f aca="false">IF(N54&gt;=-0.0000001,A54,O53)</f>
        <v>45995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45999</v>
      </c>
      <c r="B55" s="26" t="s">
        <v>79</v>
      </c>
      <c r="C55" s="27" t="n">
        <v>-6405</v>
      </c>
      <c r="D55" s="28" t="n">
        <f aca="false">C55/$T$1*100</f>
        <v>-2.0015625</v>
      </c>
      <c r="E55" s="28" t="n">
        <f aca="false">E54+D55</f>
        <v>33.964453125</v>
      </c>
      <c r="F55" s="28" t="n">
        <f aca="false">MAX(0,MAX($E$2:E55))</f>
        <v>46.99921875</v>
      </c>
      <c r="G55" s="28" t="n">
        <f aca="false">E55-F55</f>
        <v>-13.034765625</v>
      </c>
      <c r="H55" s="25" t="n">
        <f aca="false">IF(G55&gt;=-0.0000001,A55,H54)</f>
        <v>45979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-6405</v>
      </c>
      <c r="L55" s="28" t="n">
        <f aca="false">L54+K55/$T$1*100</f>
        <v>35.3625</v>
      </c>
      <c r="M55" s="28" t="n">
        <f aca="false">MAX(0,MAX($L$2:L55))</f>
        <v>45.9609375</v>
      </c>
      <c r="N55" s="28" t="n">
        <f aca="false">L55-M55</f>
        <v>-10.5984375</v>
      </c>
      <c r="O55" s="25" t="n">
        <f aca="false">IF(N55&gt;=-0.0000001,A55,O54)</f>
        <v>45995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46000</v>
      </c>
      <c r="B56" s="26" t="s">
        <v>80</v>
      </c>
      <c r="C56" s="27" t="n">
        <v>9742.5</v>
      </c>
      <c r="D56" s="28" t="n">
        <f aca="false">C56/$T$1*100</f>
        <v>3.04453125</v>
      </c>
      <c r="E56" s="28" t="n">
        <f aca="false">E55+D56</f>
        <v>37.008984375</v>
      </c>
      <c r="F56" s="28" t="n">
        <f aca="false">MAX(0,MAX($E$2:E56))</f>
        <v>46.99921875</v>
      </c>
      <c r="G56" s="28" t="n">
        <f aca="false">E56-F56</f>
        <v>-9.99023437499999</v>
      </c>
      <c r="H56" s="25" t="n">
        <f aca="false">IF(G56&gt;=-0.0000001,A56,H55)</f>
        <v>45979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9742.5</v>
      </c>
      <c r="L56" s="28" t="n">
        <f aca="false">L55+K56/$T$1*100</f>
        <v>38.40703125</v>
      </c>
      <c r="M56" s="28" t="n">
        <f aca="false">MAX(0,MAX($L$2:L56))</f>
        <v>45.9609375</v>
      </c>
      <c r="N56" s="28" t="n">
        <f aca="false">L56-M56</f>
        <v>-7.55390625</v>
      </c>
      <c r="O56" s="25" t="n">
        <f aca="false">IF(N56&gt;=-0.0000001,A56,O55)</f>
        <v>45995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46001</v>
      </c>
      <c r="B57" s="26" t="s">
        <v>81</v>
      </c>
      <c r="C57" s="27" t="n">
        <v>25087.5</v>
      </c>
      <c r="D57" s="28" t="n">
        <f aca="false">C57/$T$1*100</f>
        <v>7.83984375</v>
      </c>
      <c r="E57" s="28" t="n">
        <f aca="false">E56+D57</f>
        <v>44.848828125</v>
      </c>
      <c r="F57" s="28" t="n">
        <f aca="false">MAX(0,MAX($E$2:E57))</f>
        <v>46.99921875</v>
      </c>
      <c r="G57" s="28" t="n">
        <f aca="false">E57-F57</f>
        <v>-2.15039062499999</v>
      </c>
      <c r="H57" s="25" t="n">
        <f aca="false">IF(G57&gt;=-0.0000001,A57,H56)</f>
        <v>45979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0</v>
      </c>
      <c r="L57" s="28" t="n">
        <f aca="false">L56+K57/$T$1*100</f>
        <v>38.40703125</v>
      </c>
      <c r="M57" s="28" t="n">
        <f aca="false">MAX(0,MAX($L$2:L57))</f>
        <v>45.9609375</v>
      </c>
      <c r="N57" s="28" t="n">
        <f aca="false">L57-M57</f>
        <v>-7.55390625</v>
      </c>
      <c r="O57" s="25" t="n">
        <f aca="false">IF(N57&gt;=-0.0000001,A57,O56)</f>
        <v>45995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46002</v>
      </c>
      <c r="B58" s="26" t="s">
        <v>82</v>
      </c>
      <c r="C58" s="27" t="n">
        <v>8835</v>
      </c>
      <c r="D58" s="28" t="n">
        <f aca="false">C58/$T$1*100</f>
        <v>2.7609375</v>
      </c>
      <c r="E58" s="28" t="n">
        <f aca="false">E57+D58</f>
        <v>47.609765625</v>
      </c>
      <c r="F58" s="28" t="n">
        <f aca="false">MAX(0,MAX($E$2:E58))</f>
        <v>47.609765625</v>
      </c>
      <c r="G58" s="28" t="n">
        <f aca="false">E58-F58</f>
        <v>0</v>
      </c>
      <c r="H58" s="25" t="n">
        <f aca="false">IF(G58&gt;=-0.0000001,A58,H57)</f>
        <v>46002</v>
      </c>
      <c r="I58" s="29" t="n">
        <f aca="false">IF(AND(G58&gt;=-0.0000001,G57&lt;0),1,0)</f>
        <v>1</v>
      </c>
      <c r="J58" s="30" t="n">
        <f aca="false">IF(I58=1,A58-H57,"")</f>
        <v>23</v>
      </c>
      <c r="K58" s="27" t="n">
        <f aca="false">IF(B58="Wednesday",0,C58)</f>
        <v>8835</v>
      </c>
      <c r="L58" s="28" t="n">
        <f aca="false">L57+K58/$T$1*100</f>
        <v>41.16796875</v>
      </c>
      <c r="M58" s="28" t="n">
        <f aca="false">MAX(0,MAX($L$2:L58))</f>
        <v>45.9609375</v>
      </c>
      <c r="N58" s="28" t="n">
        <f aca="false">L58-M58</f>
        <v>-4.79296875</v>
      </c>
      <c r="O58" s="25" t="n">
        <f aca="false">IF(N58&gt;=-0.0000001,A58,O57)</f>
        <v>45995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46003</v>
      </c>
      <c r="B59" s="26" t="s">
        <v>83</v>
      </c>
      <c r="C59" s="27" t="n">
        <v>6915</v>
      </c>
      <c r="D59" s="28" t="n">
        <f aca="false">C59/$T$1*100</f>
        <v>2.1609375</v>
      </c>
      <c r="E59" s="28" t="n">
        <f aca="false">E58+D59</f>
        <v>49.770703125</v>
      </c>
      <c r="F59" s="28" t="n">
        <f aca="false">MAX(0,MAX($E$2:E59))</f>
        <v>49.770703125</v>
      </c>
      <c r="G59" s="28" t="n">
        <f aca="false">E59-F59</f>
        <v>0</v>
      </c>
      <c r="H59" s="25" t="n">
        <f aca="false">IF(G59&gt;=-0.0000001,A59,H58)</f>
        <v>46003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6915</v>
      </c>
      <c r="L59" s="28" t="n">
        <f aca="false">L58+K59/$T$1*100</f>
        <v>43.32890625</v>
      </c>
      <c r="M59" s="28" t="n">
        <f aca="false">MAX(0,MAX($L$2:L59))</f>
        <v>45.9609375</v>
      </c>
      <c r="N59" s="28" t="n">
        <f aca="false">L59-M59</f>
        <v>-2.63203125</v>
      </c>
      <c r="O59" s="25" t="n">
        <f aca="false">IF(N59&gt;=-0.0000001,A59,O58)</f>
        <v>45995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46006</v>
      </c>
      <c r="B60" s="26" t="s">
        <v>79</v>
      </c>
      <c r="C60" s="27" t="n">
        <v>11940</v>
      </c>
      <c r="D60" s="28" t="n">
        <f aca="false">C60/$T$1*100</f>
        <v>3.73125</v>
      </c>
      <c r="E60" s="28" t="n">
        <f aca="false">E59+D60</f>
        <v>53.501953125</v>
      </c>
      <c r="F60" s="28" t="n">
        <f aca="false">MAX(0,MAX($E$2:E60))</f>
        <v>53.501953125</v>
      </c>
      <c r="G60" s="28" t="n">
        <f aca="false">E60-F60</f>
        <v>0</v>
      </c>
      <c r="H60" s="25" t="n">
        <f aca="false">IF(G60&gt;=-0.0000001,A60,H59)</f>
        <v>46006</v>
      </c>
      <c r="I60" s="29" t="n">
        <f aca="false">IF(AND(G60&gt;=-0.0000001,G59&lt;0),1,0)</f>
        <v>0</v>
      </c>
      <c r="J60" s="30" t="str">
        <f aca="false">IF(I60=1,A60-H59,"")</f>
        <v/>
      </c>
      <c r="K60" s="27" t="n">
        <f aca="false">IF(B60="Wednesday",0,C60)</f>
        <v>11940</v>
      </c>
      <c r="L60" s="28" t="n">
        <f aca="false">L59+K60/$T$1*100</f>
        <v>47.06015625</v>
      </c>
      <c r="M60" s="28" t="n">
        <f aca="false">MAX(0,MAX($L$2:L60))</f>
        <v>47.06015625</v>
      </c>
      <c r="N60" s="28" t="n">
        <f aca="false">L60-M60</f>
        <v>0</v>
      </c>
      <c r="O60" s="25" t="n">
        <f aca="false">IF(N60&gt;=-0.0000001,A60,O59)</f>
        <v>46006</v>
      </c>
      <c r="P60" s="29" t="n">
        <f aca="false">IF(AND(N60&gt;=-0.0000001,N59&lt;0),1,0)</f>
        <v>1</v>
      </c>
      <c r="Q60" s="30" t="n">
        <f aca="false">IF(P60=1,A60-O59,"")</f>
        <v>11</v>
      </c>
    </row>
    <row r="61" customFormat="false" ht="15" hidden="false" customHeight="false" outlineLevel="0" collapsed="false">
      <c r="A61" s="25" t="n">
        <v>46007</v>
      </c>
      <c r="B61" s="26" t="s">
        <v>80</v>
      </c>
      <c r="C61" s="27" t="n">
        <v>2527.5</v>
      </c>
      <c r="D61" s="28" t="n">
        <f aca="false">C61/$T$1*100</f>
        <v>0.78984375</v>
      </c>
      <c r="E61" s="28" t="n">
        <f aca="false">E60+D61</f>
        <v>54.291796875</v>
      </c>
      <c r="F61" s="28" t="n">
        <f aca="false">MAX(0,MAX($E$2:E61))</f>
        <v>54.291796875</v>
      </c>
      <c r="G61" s="28" t="n">
        <f aca="false">E61-F61</f>
        <v>0</v>
      </c>
      <c r="H61" s="25" t="n">
        <f aca="false">IF(G61&gt;=-0.0000001,A61,H60)</f>
        <v>46007</v>
      </c>
      <c r="I61" s="29" t="n">
        <f aca="false">IF(AND(G61&gt;=-0.0000001,G60&lt;0),1,0)</f>
        <v>0</v>
      </c>
      <c r="J61" s="30" t="str">
        <f aca="false">IF(I61=1,A61-H60,"")</f>
        <v/>
      </c>
      <c r="K61" s="27" t="n">
        <f aca="false">IF(B61="Wednesday",0,C61)</f>
        <v>2527.5</v>
      </c>
      <c r="L61" s="28" t="n">
        <f aca="false">L60+K61/$T$1*100</f>
        <v>47.85</v>
      </c>
      <c r="M61" s="28" t="n">
        <f aca="false">MAX(0,MAX($L$2:L61))</f>
        <v>47.85</v>
      </c>
      <c r="N61" s="28" t="n">
        <f aca="false">L61-M61</f>
        <v>0</v>
      </c>
      <c r="O61" s="25" t="n">
        <f aca="false">IF(N61&gt;=-0.0000001,A61,O60)</f>
        <v>46007</v>
      </c>
      <c r="P61" s="29" t="n">
        <f aca="false">IF(AND(N61&gt;=-0.0000001,N60&lt;0),1,0)</f>
        <v>0</v>
      </c>
      <c r="Q61" s="30" t="str">
        <f aca="false">IF(P61=1,A61-O60,"")</f>
        <v/>
      </c>
    </row>
    <row r="62" customFormat="false" ht="15" hidden="false" customHeight="false" outlineLevel="0" collapsed="false">
      <c r="A62" s="25" t="n">
        <v>46008</v>
      </c>
      <c r="B62" s="26" t="s">
        <v>81</v>
      </c>
      <c r="C62" s="27" t="n">
        <v>2085</v>
      </c>
      <c r="D62" s="28" t="n">
        <f aca="false">C62/$T$1*100</f>
        <v>0.6515625</v>
      </c>
      <c r="E62" s="28" t="n">
        <f aca="false">E61+D62</f>
        <v>54.943359375</v>
      </c>
      <c r="F62" s="28" t="n">
        <f aca="false">MAX(0,MAX($E$2:E62))</f>
        <v>54.943359375</v>
      </c>
      <c r="G62" s="28" t="n">
        <f aca="false">E62-F62</f>
        <v>0</v>
      </c>
      <c r="H62" s="25" t="n">
        <f aca="false">IF(G62&gt;=-0.0000001,A62,H61)</f>
        <v>46008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0</v>
      </c>
      <c r="L62" s="28" t="n">
        <f aca="false">L61+K62/$T$1*100</f>
        <v>47.85</v>
      </c>
      <c r="M62" s="28" t="n">
        <f aca="false">MAX(0,MAX($L$2:L62))</f>
        <v>47.85</v>
      </c>
      <c r="N62" s="28" t="n">
        <f aca="false">L62-M62</f>
        <v>0</v>
      </c>
      <c r="O62" s="25" t="n">
        <f aca="false">IF(N62&gt;=-0.0000001,A62,O61)</f>
        <v>46008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46009</v>
      </c>
      <c r="B63" s="26" t="s">
        <v>82</v>
      </c>
      <c r="C63" s="27" t="n">
        <v>3420</v>
      </c>
      <c r="D63" s="28" t="n">
        <f aca="false">C63/$T$1*100</f>
        <v>1.06875</v>
      </c>
      <c r="E63" s="28" t="n">
        <f aca="false">E62+D63</f>
        <v>56.012109375</v>
      </c>
      <c r="F63" s="28" t="n">
        <f aca="false">MAX(0,MAX($E$2:E63))</f>
        <v>56.012109375</v>
      </c>
      <c r="G63" s="28" t="n">
        <f aca="false">E63-F63</f>
        <v>0</v>
      </c>
      <c r="H63" s="25" t="n">
        <f aca="false">IF(G63&gt;=-0.0000001,A63,H62)</f>
        <v>46009</v>
      </c>
      <c r="I63" s="29" t="n">
        <f aca="false">IF(AND(G63&gt;=-0.0000001,G62&lt;0),1,0)</f>
        <v>0</v>
      </c>
      <c r="J63" s="30" t="str">
        <f aca="false">IF(I63=1,A63-H62,"")</f>
        <v/>
      </c>
      <c r="K63" s="27" t="n">
        <f aca="false">IF(B63="Wednesday",0,C63)</f>
        <v>3420</v>
      </c>
      <c r="L63" s="28" t="n">
        <f aca="false">L62+K63/$T$1*100</f>
        <v>48.91875</v>
      </c>
      <c r="M63" s="28" t="n">
        <f aca="false">MAX(0,MAX($L$2:L63))</f>
        <v>48.91875</v>
      </c>
      <c r="N63" s="28" t="n">
        <f aca="false">L63-M63</f>
        <v>0</v>
      </c>
      <c r="O63" s="25" t="n">
        <f aca="false">IF(N63&gt;=-0.0000001,A63,O62)</f>
        <v>46009</v>
      </c>
      <c r="P63" s="29" t="n">
        <f aca="false">IF(AND(N63&gt;=-0.0000001,N62&lt;0),1,0)</f>
        <v>0</v>
      </c>
      <c r="Q63" s="30" t="str">
        <f aca="false">IF(P63=1,A63-O62,"")</f>
        <v/>
      </c>
    </row>
    <row r="64" customFormat="false" ht="15" hidden="false" customHeight="false" outlineLevel="0" collapsed="false">
      <c r="A64" s="25" t="n">
        <v>46010</v>
      </c>
      <c r="B64" s="26" t="s">
        <v>83</v>
      </c>
      <c r="C64" s="27" t="n">
        <v>1185</v>
      </c>
      <c r="D64" s="28" t="n">
        <f aca="false">C64/$T$1*100</f>
        <v>0.3703125</v>
      </c>
      <c r="E64" s="28" t="n">
        <f aca="false">E63+D64</f>
        <v>56.382421875</v>
      </c>
      <c r="F64" s="28" t="n">
        <f aca="false">MAX(0,MAX($E$2:E64))</f>
        <v>56.382421875</v>
      </c>
      <c r="G64" s="28" t="n">
        <f aca="false">E64-F64</f>
        <v>0</v>
      </c>
      <c r="H64" s="25" t="n">
        <f aca="false">IF(G64&gt;=-0.0000001,A64,H63)</f>
        <v>46010</v>
      </c>
      <c r="I64" s="29" t="n">
        <f aca="false">IF(AND(G64&gt;=-0.0000001,G63&lt;0),1,0)</f>
        <v>0</v>
      </c>
      <c r="J64" s="30" t="str">
        <f aca="false">IF(I64=1,A64-H63,"")</f>
        <v/>
      </c>
      <c r="K64" s="27" t="n">
        <f aca="false">IF(B64="Wednesday",0,C64)</f>
        <v>1185</v>
      </c>
      <c r="L64" s="28" t="n">
        <f aca="false">L63+K64/$T$1*100</f>
        <v>49.2890625</v>
      </c>
      <c r="M64" s="28" t="n">
        <f aca="false">MAX(0,MAX($L$2:L64))</f>
        <v>49.2890625</v>
      </c>
      <c r="N64" s="28" t="n">
        <f aca="false">L64-M64</f>
        <v>0</v>
      </c>
      <c r="O64" s="25" t="n">
        <f aca="false">IF(N64&gt;=-0.0000001,A64,O63)</f>
        <v>46010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46013</v>
      </c>
      <c r="B65" s="26" t="s">
        <v>79</v>
      </c>
      <c r="C65" s="27" t="n">
        <v>-641.25</v>
      </c>
      <c r="D65" s="28" t="n">
        <f aca="false">C65/$T$1*100</f>
        <v>-0.200390625</v>
      </c>
      <c r="E65" s="28" t="n">
        <f aca="false">E64+D65</f>
        <v>56.18203125</v>
      </c>
      <c r="F65" s="28" t="n">
        <f aca="false">MAX(0,MAX($E$2:E65))</f>
        <v>56.382421875</v>
      </c>
      <c r="G65" s="28" t="n">
        <f aca="false">E65-F65</f>
        <v>-0.200390624999997</v>
      </c>
      <c r="H65" s="25" t="n">
        <f aca="false">IF(G65&gt;=-0.0000001,A65,H64)</f>
        <v>46010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-641.25</v>
      </c>
      <c r="L65" s="28" t="n">
        <f aca="false">L64+K65/$T$1*100</f>
        <v>49.088671875</v>
      </c>
      <c r="M65" s="28" t="n">
        <f aca="false">MAX(0,MAX($L$2:L65))</f>
        <v>49.2890625</v>
      </c>
      <c r="N65" s="28" t="n">
        <f aca="false">L65-M65</f>
        <v>-0.200390624999997</v>
      </c>
      <c r="O65" s="25" t="n">
        <f aca="false">IF(N65&gt;=-0.0000001,A65,O64)</f>
        <v>46010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46014</v>
      </c>
      <c r="B66" s="26" t="s">
        <v>80</v>
      </c>
      <c r="C66" s="27" t="n">
        <v>5040</v>
      </c>
      <c r="D66" s="28" t="n">
        <f aca="false">C66/$T$1*100</f>
        <v>1.575</v>
      </c>
      <c r="E66" s="28" t="n">
        <f aca="false">E65+D66</f>
        <v>57.75703125</v>
      </c>
      <c r="F66" s="28" t="n">
        <f aca="false">MAX(0,MAX($E$2:E66))</f>
        <v>57.75703125</v>
      </c>
      <c r="G66" s="28" t="n">
        <f aca="false">E66-F66</f>
        <v>0</v>
      </c>
      <c r="H66" s="25" t="n">
        <f aca="false">IF(G66&gt;=-0.0000001,A66,H65)</f>
        <v>46014</v>
      </c>
      <c r="I66" s="29" t="n">
        <f aca="false">IF(AND(G66&gt;=-0.0000001,G65&lt;0),1,0)</f>
        <v>1</v>
      </c>
      <c r="J66" s="30" t="n">
        <f aca="false">IF(I66=1,A66-H65,"")</f>
        <v>4</v>
      </c>
      <c r="K66" s="27" t="n">
        <f aca="false">IF(B66="Wednesday",0,C66)</f>
        <v>5040</v>
      </c>
      <c r="L66" s="28" t="n">
        <f aca="false">L65+K66/$T$1*100</f>
        <v>50.663671875</v>
      </c>
      <c r="M66" s="28" t="n">
        <f aca="false">MAX(0,MAX($L$2:L66))</f>
        <v>50.663671875</v>
      </c>
      <c r="N66" s="28" t="n">
        <f aca="false">L66-M66</f>
        <v>0</v>
      </c>
      <c r="O66" s="25" t="n">
        <f aca="false">IF(N66&gt;=-0.0000001,A66,O65)</f>
        <v>46014</v>
      </c>
      <c r="P66" s="29" t="n">
        <f aca="false">IF(AND(N66&gt;=-0.0000001,N65&lt;0),1,0)</f>
        <v>1</v>
      </c>
      <c r="Q66" s="30" t="n">
        <f aca="false">IF(P66=1,A66-O65,"")</f>
        <v>4</v>
      </c>
    </row>
    <row r="67" customFormat="false" ht="15" hidden="false" customHeight="false" outlineLevel="0" collapsed="false">
      <c r="A67" s="25" t="n">
        <v>46015</v>
      </c>
      <c r="B67" s="26" t="s">
        <v>81</v>
      </c>
      <c r="C67" s="27" t="n">
        <v>-14085</v>
      </c>
      <c r="D67" s="28" t="n">
        <f aca="false">C67/$T$1*100</f>
        <v>-4.4015625</v>
      </c>
      <c r="E67" s="28" t="n">
        <f aca="false">E66+D67</f>
        <v>53.35546875</v>
      </c>
      <c r="F67" s="28" t="n">
        <f aca="false">MAX(0,MAX($E$2:E67))</f>
        <v>57.75703125</v>
      </c>
      <c r="G67" s="28" t="n">
        <f aca="false">E67-F67</f>
        <v>-4.4015625</v>
      </c>
      <c r="H67" s="25" t="n">
        <f aca="false">IF(G67&gt;=-0.0000001,A67,H66)</f>
        <v>46014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0</v>
      </c>
      <c r="L67" s="28" t="n">
        <f aca="false">L66+K67/$T$1*100</f>
        <v>50.663671875</v>
      </c>
      <c r="M67" s="28" t="n">
        <f aca="false">MAX(0,MAX($L$2:L67))</f>
        <v>50.663671875</v>
      </c>
      <c r="N67" s="28" t="n">
        <f aca="false">L67-M67</f>
        <v>0</v>
      </c>
      <c r="O67" s="25" t="n">
        <f aca="false">IF(N67&gt;=-0.0000001,A67,O66)</f>
        <v>46015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46017</v>
      </c>
      <c r="B68" s="26" t="s">
        <v>83</v>
      </c>
      <c r="C68" s="27" t="n">
        <v>-5460</v>
      </c>
      <c r="D68" s="28" t="n">
        <f aca="false">C68/$T$1*100</f>
        <v>-1.70625</v>
      </c>
      <c r="E68" s="28" t="n">
        <f aca="false">E67+D68</f>
        <v>51.64921875</v>
      </c>
      <c r="F68" s="28" t="n">
        <f aca="false">MAX(0,MAX($E$2:E68))</f>
        <v>57.75703125</v>
      </c>
      <c r="G68" s="28" t="n">
        <f aca="false">E68-F68</f>
        <v>-6.10781249999999</v>
      </c>
      <c r="H68" s="25" t="n">
        <f aca="false">IF(G68&gt;=-0.0000001,A68,H67)</f>
        <v>46014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-5460</v>
      </c>
      <c r="L68" s="28" t="n">
        <f aca="false">L67+K68/$T$1*100</f>
        <v>48.957421875</v>
      </c>
      <c r="M68" s="28" t="n">
        <f aca="false">MAX(0,MAX($L$2:L68))</f>
        <v>50.663671875</v>
      </c>
      <c r="N68" s="28" t="n">
        <f aca="false">L68-M68</f>
        <v>-1.70625</v>
      </c>
      <c r="O68" s="25" t="n">
        <f aca="false">IF(N68&gt;=-0.0000001,A68,O67)</f>
        <v>46015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46020</v>
      </c>
      <c r="B69" s="26" t="s">
        <v>79</v>
      </c>
      <c r="C69" s="27" t="n">
        <v>6232.5</v>
      </c>
      <c r="D69" s="28" t="n">
        <f aca="false">C69/$T$1*100</f>
        <v>1.94765625</v>
      </c>
      <c r="E69" s="28" t="n">
        <f aca="false">E68+D69</f>
        <v>53.596875</v>
      </c>
      <c r="F69" s="28" t="n">
        <f aca="false">MAX(0,MAX($E$2:E69))</f>
        <v>57.75703125</v>
      </c>
      <c r="G69" s="28" t="n">
        <f aca="false">E69-F69</f>
        <v>-4.16015624999999</v>
      </c>
      <c r="H69" s="25" t="n">
        <f aca="false">IF(G69&gt;=-0.0000001,A69,H68)</f>
        <v>46014</v>
      </c>
      <c r="I69" s="29" t="n">
        <f aca="false">IF(AND(G69&gt;=-0.0000001,G68&lt;0),1,0)</f>
        <v>0</v>
      </c>
      <c r="J69" s="30" t="str">
        <f aca="false">IF(I69=1,A69-H68,"")</f>
        <v/>
      </c>
      <c r="K69" s="27" t="n">
        <f aca="false">IF(B69="Wednesday",0,C69)</f>
        <v>6232.5</v>
      </c>
      <c r="L69" s="28" t="n">
        <f aca="false">L68+K69/$T$1*100</f>
        <v>50.905078125</v>
      </c>
      <c r="M69" s="28" t="n">
        <f aca="false">MAX(0,MAX($L$2:L69))</f>
        <v>50.905078125</v>
      </c>
      <c r="N69" s="28" t="n">
        <f aca="false">L69-M69</f>
        <v>0</v>
      </c>
      <c r="O69" s="25" t="n">
        <f aca="false">IF(N69&gt;=-0.0000001,A69,O68)</f>
        <v>46020</v>
      </c>
      <c r="P69" s="29" t="n">
        <f aca="false">IF(AND(N69&gt;=-0.0000001,N68&lt;0),1,0)</f>
        <v>1</v>
      </c>
      <c r="Q69" s="30" t="n">
        <f aca="false">IF(P69=1,A69-O68,"")</f>
        <v>5</v>
      </c>
    </row>
    <row r="70" customFormat="false" ht="15" hidden="false" customHeight="false" outlineLevel="0" collapsed="false">
      <c r="A70" s="25" t="n">
        <v>46021</v>
      </c>
      <c r="B70" s="26" t="s">
        <v>80</v>
      </c>
      <c r="C70" s="27" t="n">
        <v>-9810</v>
      </c>
      <c r="D70" s="28" t="n">
        <f aca="false">C70/$T$1*100</f>
        <v>-3.065625</v>
      </c>
      <c r="E70" s="28" t="n">
        <f aca="false">E69+D70</f>
        <v>50.53125</v>
      </c>
      <c r="F70" s="28" t="n">
        <f aca="false">MAX(0,MAX($E$2:E70))</f>
        <v>57.75703125</v>
      </c>
      <c r="G70" s="28" t="n">
        <f aca="false">E70-F70</f>
        <v>-7.22578124999999</v>
      </c>
      <c r="H70" s="25" t="n">
        <f aca="false">IF(G70&gt;=-0.0000001,A70,H69)</f>
        <v>46014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-9810</v>
      </c>
      <c r="L70" s="28" t="n">
        <f aca="false">L69+K70/$T$1*100</f>
        <v>47.839453125</v>
      </c>
      <c r="M70" s="28" t="n">
        <f aca="false">MAX(0,MAX($L$2:L70))</f>
        <v>50.905078125</v>
      </c>
      <c r="N70" s="28" t="n">
        <f aca="false">L70-M70</f>
        <v>-3.065625</v>
      </c>
      <c r="O70" s="25" t="n">
        <f aca="false">IF(N70&gt;=-0.0000001,A70,O69)</f>
        <v>46020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46022</v>
      </c>
      <c r="B71" s="26" t="s">
        <v>81</v>
      </c>
      <c r="C71" s="27" t="n">
        <v>11293.75</v>
      </c>
      <c r="D71" s="28" t="n">
        <f aca="false">C71/$T$1*100</f>
        <v>3.529296875</v>
      </c>
      <c r="E71" s="28" t="n">
        <f aca="false">E70+D71</f>
        <v>54.060546875</v>
      </c>
      <c r="F71" s="28" t="n">
        <f aca="false">MAX(0,MAX($E$2:E71))</f>
        <v>57.75703125</v>
      </c>
      <c r="G71" s="28" t="n">
        <f aca="false">E71-F71</f>
        <v>-3.69648437499999</v>
      </c>
      <c r="H71" s="25" t="n">
        <f aca="false">IF(G71&gt;=-0.0000001,A71,H70)</f>
        <v>46014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0</v>
      </c>
      <c r="L71" s="28" t="n">
        <f aca="false">L70+K71/$T$1*100</f>
        <v>47.839453125</v>
      </c>
      <c r="M71" s="28" t="n">
        <f aca="false">MAX(0,MAX($L$2:L71))</f>
        <v>50.905078125</v>
      </c>
      <c r="N71" s="28" t="n">
        <f aca="false">L71-M71</f>
        <v>-3.065625</v>
      </c>
      <c r="O71" s="25" t="n">
        <f aca="false">IF(N71&gt;=-0.0000001,A71,O70)</f>
        <v>46020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46023</v>
      </c>
      <c r="B72" s="26" t="s">
        <v>82</v>
      </c>
      <c r="C72" s="27" t="n">
        <v>-991.25</v>
      </c>
      <c r="D72" s="28" t="n">
        <f aca="false">C72/$T$1*100</f>
        <v>-0.309765625</v>
      </c>
      <c r="E72" s="28" t="n">
        <f aca="false">E71+D72</f>
        <v>53.75078125</v>
      </c>
      <c r="F72" s="28" t="n">
        <f aca="false">MAX(0,MAX($E$2:E72))</f>
        <v>57.75703125</v>
      </c>
      <c r="G72" s="28" t="n">
        <f aca="false">E72-F72</f>
        <v>-4.00624999999999</v>
      </c>
      <c r="H72" s="25" t="n">
        <f aca="false">IF(G72&gt;=-0.0000001,A72,H71)</f>
        <v>46014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-991.25</v>
      </c>
      <c r="L72" s="28" t="n">
        <f aca="false">L71+K72/$T$1*100</f>
        <v>47.5296875</v>
      </c>
      <c r="M72" s="28" t="n">
        <f aca="false">MAX(0,MAX($L$2:L72))</f>
        <v>50.905078125</v>
      </c>
      <c r="N72" s="28" t="n">
        <f aca="false">L72-M72</f>
        <v>-3.37539062499999</v>
      </c>
      <c r="O72" s="25" t="n">
        <f aca="false">IF(N72&gt;=-0.0000001,A72,O71)</f>
        <v>46020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46024</v>
      </c>
      <c r="B73" s="26" t="s">
        <v>83</v>
      </c>
      <c r="C73" s="27" t="n">
        <v>6126.25</v>
      </c>
      <c r="D73" s="28" t="n">
        <f aca="false">C73/$T$1*100</f>
        <v>1.914453125</v>
      </c>
      <c r="E73" s="28" t="n">
        <f aca="false">E72+D73</f>
        <v>55.665234375</v>
      </c>
      <c r="F73" s="28" t="n">
        <f aca="false">MAX(0,MAX($E$2:E73))</f>
        <v>57.75703125</v>
      </c>
      <c r="G73" s="28" t="n">
        <f aca="false">E73-F73</f>
        <v>-2.09179687499999</v>
      </c>
      <c r="H73" s="25" t="n">
        <f aca="false">IF(G73&gt;=-0.0000001,A73,H72)</f>
        <v>46014</v>
      </c>
      <c r="I73" s="29" t="n">
        <f aca="false">IF(AND(G73&gt;=-0.0000001,G72&lt;0),1,0)</f>
        <v>0</v>
      </c>
      <c r="J73" s="30" t="str">
        <f aca="false">IF(I73=1,A73-H72,"")</f>
        <v/>
      </c>
      <c r="K73" s="27" t="n">
        <f aca="false">IF(B73="Wednesday",0,C73)</f>
        <v>6126.25</v>
      </c>
      <c r="L73" s="28" t="n">
        <f aca="false">L72+K73/$T$1*100</f>
        <v>49.444140625</v>
      </c>
      <c r="M73" s="28" t="n">
        <f aca="false">MAX(0,MAX($L$2:L73))</f>
        <v>50.905078125</v>
      </c>
      <c r="N73" s="28" t="n">
        <f aca="false">L73-M73</f>
        <v>-1.46093749999999</v>
      </c>
      <c r="O73" s="25" t="n">
        <f aca="false">IF(N73&gt;=-0.0000001,A73,O72)</f>
        <v>46020</v>
      </c>
      <c r="P73" s="29" t="n">
        <f aca="false">IF(AND(N73&gt;=-0.0000001,N72&lt;0),1,0)</f>
        <v>0</v>
      </c>
      <c r="Q73" s="30" t="str">
        <f aca="false">IF(P73=1,A73-O72,"")</f>
        <v/>
      </c>
    </row>
    <row r="74" customFormat="false" ht="15" hidden="false" customHeight="false" outlineLevel="0" collapsed="false">
      <c r="A74" s="25" t="n">
        <v>46027</v>
      </c>
      <c r="B74" s="26" t="s">
        <v>79</v>
      </c>
      <c r="C74" s="27" t="n">
        <v>-10478</v>
      </c>
      <c r="D74" s="28" t="n">
        <f aca="false">C74/$T$1*100</f>
        <v>-3.274375</v>
      </c>
      <c r="E74" s="28" t="n">
        <f aca="false">E73+D74</f>
        <v>52.390859375</v>
      </c>
      <c r="F74" s="28" t="n">
        <f aca="false">MAX(0,MAX($E$2:E74))</f>
        <v>57.75703125</v>
      </c>
      <c r="G74" s="28" t="n">
        <f aca="false">E74-F74</f>
        <v>-5.36617187499999</v>
      </c>
      <c r="H74" s="25" t="n">
        <f aca="false">IF(G74&gt;=-0.0000001,A74,H73)</f>
        <v>46014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-10478</v>
      </c>
      <c r="L74" s="28" t="n">
        <f aca="false">L73+K74/$T$1*100</f>
        <v>46.169765625</v>
      </c>
      <c r="M74" s="28" t="n">
        <f aca="false">MAX(0,MAX($L$2:L74))</f>
        <v>50.905078125</v>
      </c>
      <c r="N74" s="28" t="n">
        <f aca="false">L74-M74</f>
        <v>-4.73531249999999</v>
      </c>
      <c r="O74" s="25" t="n">
        <f aca="false">IF(N74&gt;=-0.0000001,A74,O73)</f>
        <v>46020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46028</v>
      </c>
      <c r="B75" s="26" t="s">
        <v>80</v>
      </c>
      <c r="C75" s="27" t="n">
        <v>4875</v>
      </c>
      <c r="D75" s="28" t="n">
        <f aca="false">C75/$T$1*100</f>
        <v>1.5234375</v>
      </c>
      <c r="E75" s="28" t="n">
        <f aca="false">E74+D75</f>
        <v>53.914296875</v>
      </c>
      <c r="F75" s="28" t="n">
        <f aca="false">MAX(0,MAX($E$2:E75))</f>
        <v>57.75703125</v>
      </c>
      <c r="G75" s="28" t="n">
        <f aca="false">E75-F75</f>
        <v>-3.84273437499999</v>
      </c>
      <c r="H75" s="25" t="n">
        <f aca="false">IF(G75&gt;=-0.0000001,A75,H74)</f>
        <v>46014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4875</v>
      </c>
      <c r="L75" s="28" t="n">
        <f aca="false">L74+K75/$T$1*100</f>
        <v>47.693203125</v>
      </c>
      <c r="M75" s="28" t="n">
        <f aca="false">MAX(0,MAX($L$2:L75))</f>
        <v>50.905078125</v>
      </c>
      <c r="N75" s="28" t="n">
        <f aca="false">L75-M75</f>
        <v>-3.21187499999999</v>
      </c>
      <c r="O75" s="25" t="n">
        <f aca="false">IF(N75&gt;=-0.0000001,A75,O74)</f>
        <v>46020</v>
      </c>
      <c r="P75" s="29" t="n">
        <f aca="false">IF(AND(N75&gt;=-0.0000001,N74&lt;0),1,0)</f>
        <v>0</v>
      </c>
      <c r="Q75" s="30" t="str">
        <f aca="false">IF(P75=1,A75-O74,"")</f>
        <v/>
      </c>
    </row>
    <row r="76" customFormat="false" ht="15" hidden="false" customHeight="false" outlineLevel="0" collapsed="false">
      <c r="A76" s="25" t="n">
        <v>46029</v>
      </c>
      <c r="B76" s="26" t="s">
        <v>81</v>
      </c>
      <c r="C76" s="27" t="n">
        <v>-3997.5</v>
      </c>
      <c r="D76" s="28" t="n">
        <f aca="false">C76/$T$1*100</f>
        <v>-1.24921875</v>
      </c>
      <c r="E76" s="28" t="n">
        <f aca="false">E75+D76</f>
        <v>52.665078125</v>
      </c>
      <c r="F76" s="28" t="n">
        <f aca="false">MAX(0,MAX($E$2:E76))</f>
        <v>57.75703125</v>
      </c>
      <c r="G76" s="28" t="n">
        <f aca="false">E76-F76</f>
        <v>-5.09195312499998</v>
      </c>
      <c r="H76" s="25" t="n">
        <f aca="false">IF(G76&gt;=-0.0000001,A76,H75)</f>
        <v>46014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0</v>
      </c>
      <c r="L76" s="28" t="n">
        <f aca="false">L75+K76/$T$1*100</f>
        <v>47.693203125</v>
      </c>
      <c r="M76" s="28" t="n">
        <f aca="false">MAX(0,MAX($L$2:L76))</f>
        <v>50.905078125</v>
      </c>
      <c r="N76" s="28" t="n">
        <f aca="false">L76-M76</f>
        <v>-3.21187499999999</v>
      </c>
      <c r="O76" s="25" t="n">
        <f aca="false">IF(N76&gt;=-0.0000001,A76,O75)</f>
        <v>46020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46030</v>
      </c>
      <c r="B77" s="26" t="s">
        <v>82</v>
      </c>
      <c r="C77" s="27" t="n">
        <v>-11342.5</v>
      </c>
      <c r="D77" s="28" t="n">
        <f aca="false">C77/$T$1*100</f>
        <v>-3.54453125</v>
      </c>
      <c r="E77" s="28" t="n">
        <f aca="false">E76+D77</f>
        <v>49.120546875</v>
      </c>
      <c r="F77" s="28" t="n">
        <f aca="false">MAX(0,MAX($E$2:E77))</f>
        <v>57.75703125</v>
      </c>
      <c r="G77" s="28" t="n">
        <f aca="false">E77-F77</f>
        <v>-8.63648437499998</v>
      </c>
      <c r="H77" s="25" t="n">
        <f aca="false">IF(G77&gt;=-0.0000001,A77,H76)</f>
        <v>46014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-11342.5</v>
      </c>
      <c r="L77" s="28" t="n">
        <f aca="false">L76+K77/$T$1*100</f>
        <v>44.148671875</v>
      </c>
      <c r="M77" s="28" t="n">
        <f aca="false">MAX(0,MAX($L$2:L77))</f>
        <v>50.905078125</v>
      </c>
      <c r="N77" s="28" t="n">
        <f aca="false">L77-M77</f>
        <v>-6.75640624999999</v>
      </c>
      <c r="O77" s="25" t="n">
        <f aca="false">IF(N77&gt;=-0.0000001,A77,O76)</f>
        <v>46020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46031</v>
      </c>
      <c r="B78" s="26" t="s">
        <v>83</v>
      </c>
      <c r="C78" s="27" t="n">
        <v>27657.5</v>
      </c>
      <c r="D78" s="28" t="n">
        <f aca="false">C78/$T$1*100</f>
        <v>8.64296875</v>
      </c>
      <c r="E78" s="28" t="n">
        <f aca="false">E77+D78</f>
        <v>57.763515625</v>
      </c>
      <c r="F78" s="28" t="n">
        <f aca="false">MAX(0,MAX($E$2:E78))</f>
        <v>57.763515625</v>
      </c>
      <c r="G78" s="28" t="n">
        <f aca="false">E78-F78</f>
        <v>0</v>
      </c>
      <c r="H78" s="25" t="n">
        <f aca="false">IF(G78&gt;=-0.0000001,A78,H77)</f>
        <v>46031</v>
      </c>
      <c r="I78" s="29" t="n">
        <f aca="false">IF(AND(G78&gt;=-0.0000001,G77&lt;0),1,0)</f>
        <v>1</v>
      </c>
      <c r="J78" s="30" t="n">
        <f aca="false">IF(I78=1,A78-H77,"")</f>
        <v>17</v>
      </c>
      <c r="K78" s="27" t="n">
        <f aca="false">IF(B78="Wednesday",0,C78)</f>
        <v>27657.5</v>
      </c>
      <c r="L78" s="28" t="n">
        <f aca="false">L77+K78/$T$1*100</f>
        <v>52.791640625</v>
      </c>
      <c r="M78" s="28" t="n">
        <f aca="false">MAX(0,MAX($L$2:L78))</f>
        <v>52.791640625</v>
      </c>
      <c r="N78" s="28" t="n">
        <f aca="false">L78-M78</f>
        <v>0</v>
      </c>
      <c r="O78" s="25" t="n">
        <f aca="false">IF(N78&gt;=-0.0000001,A78,O77)</f>
        <v>46031</v>
      </c>
      <c r="P78" s="29" t="n">
        <f aca="false">IF(AND(N78&gt;=-0.0000001,N77&lt;0),1,0)</f>
        <v>1</v>
      </c>
      <c r="Q78" s="30" t="n">
        <f aca="false">IF(P78=1,A78-O77,"")</f>
        <v>11</v>
      </c>
    </row>
    <row r="79" customFormat="false" ht="15" hidden="false" customHeight="false" outlineLevel="0" collapsed="false">
      <c r="A79" s="25" t="n">
        <v>46035</v>
      </c>
      <c r="B79" s="26" t="s">
        <v>80</v>
      </c>
      <c r="C79" s="27" t="n">
        <v>-10140</v>
      </c>
      <c r="D79" s="28" t="n">
        <f aca="false">C79/$T$1*100</f>
        <v>-3.16875</v>
      </c>
      <c r="E79" s="28" t="n">
        <f aca="false">E78+D79</f>
        <v>54.594765625</v>
      </c>
      <c r="F79" s="28" t="n">
        <f aca="false">MAX(0,MAX($E$2:E79))</f>
        <v>57.763515625</v>
      </c>
      <c r="G79" s="28" t="n">
        <f aca="false">E79-F79</f>
        <v>-3.16875</v>
      </c>
      <c r="H79" s="25" t="n">
        <f aca="false">IF(G79&gt;=-0.0000001,A79,H78)</f>
        <v>46031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-10140</v>
      </c>
      <c r="L79" s="28" t="n">
        <f aca="false">L78+K79/$T$1*100</f>
        <v>49.622890625</v>
      </c>
      <c r="M79" s="28" t="n">
        <f aca="false">MAX(0,MAX($L$2:L79))</f>
        <v>52.791640625</v>
      </c>
      <c r="N79" s="28" t="n">
        <f aca="false">L79-M79</f>
        <v>-3.16875</v>
      </c>
      <c r="O79" s="25" t="n">
        <f aca="false">IF(N79&gt;=-0.0000001,A79,O78)</f>
        <v>46031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46036</v>
      </c>
      <c r="B80" s="26" t="s">
        <v>81</v>
      </c>
      <c r="C80" s="27" t="n">
        <v>4241.25</v>
      </c>
      <c r="D80" s="28" t="n">
        <f aca="false">C80/$T$1*100</f>
        <v>1.325390625</v>
      </c>
      <c r="E80" s="28" t="n">
        <f aca="false">E79+D80</f>
        <v>55.92015625</v>
      </c>
      <c r="F80" s="28" t="n">
        <f aca="false">MAX(0,MAX($E$2:E80))</f>
        <v>57.763515625</v>
      </c>
      <c r="G80" s="28" t="n">
        <f aca="false">E80-F80</f>
        <v>-1.84335937500001</v>
      </c>
      <c r="H80" s="25" t="n">
        <f aca="false">IF(G80&gt;=-0.0000001,A80,H79)</f>
        <v>46031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0</v>
      </c>
      <c r="L80" s="28" t="n">
        <f aca="false">L79+K80/$T$1*100</f>
        <v>49.622890625</v>
      </c>
      <c r="M80" s="28" t="n">
        <f aca="false">MAX(0,MAX($L$2:L80))</f>
        <v>52.791640625</v>
      </c>
      <c r="N80" s="28" t="n">
        <f aca="false">L80-M80</f>
        <v>-3.16875</v>
      </c>
      <c r="O80" s="25" t="n">
        <f aca="false">IF(N80&gt;=-0.0000001,A80,O79)</f>
        <v>46031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46038</v>
      </c>
      <c r="B81" s="26" t="s">
        <v>83</v>
      </c>
      <c r="C81" s="27" t="n">
        <v>-22538.75</v>
      </c>
      <c r="D81" s="28" t="n">
        <f aca="false">C81/$T$1*100</f>
        <v>-7.043359375</v>
      </c>
      <c r="E81" s="28" t="n">
        <f aca="false">E80+D81</f>
        <v>48.876796875</v>
      </c>
      <c r="F81" s="28" t="n">
        <f aca="false">MAX(0,MAX($E$2:E81))</f>
        <v>57.763515625</v>
      </c>
      <c r="G81" s="28" t="n">
        <f aca="false">E81-F81</f>
        <v>-8.88671875000001</v>
      </c>
      <c r="H81" s="25" t="n">
        <f aca="false">IF(G81&gt;=-0.0000001,A81,H80)</f>
        <v>46031</v>
      </c>
      <c r="I81" s="29" t="n">
        <f aca="false">IF(AND(G81&gt;=-0.0000001,G80&lt;0),1,0)</f>
        <v>0</v>
      </c>
      <c r="J81" s="30" t="str">
        <f aca="false">IF(I81=1,A81-H80,"")</f>
        <v/>
      </c>
      <c r="K81" s="27" t="n">
        <f aca="false">IF(B81="Wednesday",0,C81)</f>
        <v>-22538.75</v>
      </c>
      <c r="L81" s="28" t="n">
        <f aca="false">L80+K81/$T$1*100</f>
        <v>42.57953125</v>
      </c>
      <c r="M81" s="28" t="n">
        <f aca="false">MAX(0,MAX($L$2:L81))</f>
        <v>52.791640625</v>
      </c>
      <c r="N81" s="28" t="n">
        <f aca="false">L81-M81</f>
        <v>-10.212109375</v>
      </c>
      <c r="O81" s="25" t="n">
        <f aca="false">IF(N81&gt;=-0.0000001,A81,O80)</f>
        <v>46031</v>
      </c>
      <c r="P81" s="29" t="n">
        <f aca="false">IF(AND(N81&gt;=-0.0000001,N80&lt;0),1,0)</f>
        <v>0</v>
      </c>
      <c r="Q81" s="30" t="str">
        <f aca="false">IF(P81=1,A81-O80,"")</f>
        <v/>
      </c>
    </row>
    <row r="82" customFormat="false" ht="15" hidden="false" customHeight="false" outlineLevel="0" collapsed="false">
      <c r="A82" s="25" t="n">
        <v>46041</v>
      </c>
      <c r="B82" s="26" t="s">
        <v>79</v>
      </c>
      <c r="C82" s="27" t="n">
        <v>11700</v>
      </c>
      <c r="D82" s="28" t="n">
        <f aca="false">C82/$T$1*100</f>
        <v>3.65625</v>
      </c>
      <c r="E82" s="28" t="n">
        <f aca="false">E81+D82</f>
        <v>52.533046875</v>
      </c>
      <c r="F82" s="28" t="n">
        <f aca="false">MAX(0,MAX($E$2:E82))</f>
        <v>57.763515625</v>
      </c>
      <c r="G82" s="28" t="n">
        <f aca="false">E82-F82</f>
        <v>-5.23046875000001</v>
      </c>
      <c r="H82" s="25" t="n">
        <f aca="false">IF(G82&gt;=-0.0000001,A82,H81)</f>
        <v>46031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11700</v>
      </c>
      <c r="L82" s="28" t="n">
        <f aca="false">L81+K82/$T$1*100</f>
        <v>46.23578125</v>
      </c>
      <c r="M82" s="28" t="n">
        <f aca="false">MAX(0,MAX($L$2:L82))</f>
        <v>52.791640625</v>
      </c>
      <c r="N82" s="28" t="n">
        <f aca="false">L82-M82</f>
        <v>-6.555859375</v>
      </c>
      <c r="O82" s="25" t="n">
        <f aca="false">IF(N82&gt;=-0.0000001,A82,O81)</f>
        <v>46031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46042</v>
      </c>
      <c r="B83" s="26" t="s">
        <v>80</v>
      </c>
      <c r="C83" s="27" t="n">
        <v>11007.75</v>
      </c>
      <c r="D83" s="28" t="n">
        <f aca="false">C83/$T$1*100</f>
        <v>3.439921875</v>
      </c>
      <c r="E83" s="28" t="n">
        <f aca="false">E82+D83</f>
        <v>55.97296875</v>
      </c>
      <c r="F83" s="28" t="n">
        <f aca="false">MAX(0,MAX($E$2:E83))</f>
        <v>57.763515625</v>
      </c>
      <c r="G83" s="28" t="n">
        <f aca="false">E83-F83</f>
        <v>-1.790546875</v>
      </c>
      <c r="H83" s="25" t="n">
        <f aca="false">IF(G83&gt;=-0.0000001,A83,H82)</f>
        <v>46031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11007.75</v>
      </c>
      <c r="L83" s="28" t="n">
        <f aca="false">L82+K83/$T$1*100</f>
        <v>49.675703125</v>
      </c>
      <c r="M83" s="28" t="n">
        <f aca="false">MAX(0,MAX($L$2:L83))</f>
        <v>52.791640625</v>
      </c>
      <c r="N83" s="28" t="n">
        <f aca="false">L83-M83</f>
        <v>-3.1159375</v>
      </c>
      <c r="O83" s="25" t="n">
        <f aca="false">IF(N83&gt;=-0.0000001,A83,O82)</f>
        <v>46031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46043</v>
      </c>
      <c r="B84" s="26" t="s">
        <v>81</v>
      </c>
      <c r="C84" s="27" t="n">
        <v>-36400</v>
      </c>
      <c r="D84" s="28" t="n">
        <f aca="false">C84/$T$1*100</f>
        <v>-11.375</v>
      </c>
      <c r="E84" s="28" t="n">
        <f aca="false">E83+D84</f>
        <v>44.59796875</v>
      </c>
      <c r="F84" s="28" t="n">
        <f aca="false">MAX(0,MAX($E$2:E84))</f>
        <v>57.763515625</v>
      </c>
      <c r="G84" s="28" t="n">
        <f aca="false">E84-F84</f>
        <v>-13.165546875</v>
      </c>
      <c r="H84" s="25" t="n">
        <f aca="false">IF(G84&gt;=-0.0000001,A84,H83)</f>
        <v>46031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0</v>
      </c>
      <c r="L84" s="28" t="n">
        <f aca="false">L83+K84/$T$1*100</f>
        <v>49.675703125</v>
      </c>
      <c r="M84" s="28" t="n">
        <f aca="false">MAX(0,MAX($L$2:L84))</f>
        <v>52.791640625</v>
      </c>
      <c r="N84" s="28" t="n">
        <f aca="false">L84-M84</f>
        <v>-3.1159375</v>
      </c>
      <c r="O84" s="25" t="n">
        <f aca="false">IF(N84&gt;=-0.0000001,A84,O83)</f>
        <v>46031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46044</v>
      </c>
      <c r="B85" s="26" t="s">
        <v>82</v>
      </c>
      <c r="C85" s="27" t="n">
        <v>10806.25</v>
      </c>
      <c r="D85" s="28" t="n">
        <f aca="false">C85/$T$1*100</f>
        <v>3.376953125</v>
      </c>
      <c r="E85" s="28" t="n">
        <f aca="false">E84+D85</f>
        <v>47.974921875</v>
      </c>
      <c r="F85" s="28" t="n">
        <f aca="false">MAX(0,MAX($E$2:E85))</f>
        <v>57.763515625</v>
      </c>
      <c r="G85" s="28" t="n">
        <f aca="false">E85-F85</f>
        <v>-9.78859375</v>
      </c>
      <c r="H85" s="25" t="n">
        <f aca="false">IF(G85&gt;=-0.0000001,A85,H84)</f>
        <v>46031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10806.25</v>
      </c>
      <c r="L85" s="28" t="n">
        <f aca="false">L84+K85/$T$1*100</f>
        <v>53.05265625</v>
      </c>
      <c r="M85" s="28" t="n">
        <f aca="false">MAX(0,MAX($L$2:L85))</f>
        <v>53.05265625</v>
      </c>
      <c r="N85" s="28" t="n">
        <f aca="false">L85-M85</f>
        <v>0</v>
      </c>
      <c r="O85" s="25" t="n">
        <f aca="false">IF(N85&gt;=-0.0000001,A85,O84)</f>
        <v>46044</v>
      </c>
      <c r="P85" s="29" t="n">
        <f aca="false">IF(AND(N85&gt;=-0.0000001,N84&lt;0),1,0)</f>
        <v>1</v>
      </c>
      <c r="Q85" s="30" t="n">
        <f aca="false">IF(P85=1,A85-O84,"")</f>
        <v>13</v>
      </c>
    </row>
    <row r="86" customFormat="false" ht="15" hidden="false" customHeight="false" outlineLevel="0" collapsed="false">
      <c r="A86" s="25" t="n">
        <v>46045</v>
      </c>
      <c r="B86" s="26" t="s">
        <v>83</v>
      </c>
      <c r="C86" s="27" t="n">
        <v>24976.25</v>
      </c>
      <c r="D86" s="28" t="n">
        <f aca="false">C86/$T$1*100</f>
        <v>7.805078125</v>
      </c>
      <c r="E86" s="28" t="n">
        <f aca="false">E85+D86</f>
        <v>55.78</v>
      </c>
      <c r="F86" s="28" t="n">
        <f aca="false">MAX(0,MAX($E$2:E86))</f>
        <v>57.763515625</v>
      </c>
      <c r="G86" s="28" t="n">
        <f aca="false">E86-F86</f>
        <v>-1.983515625</v>
      </c>
      <c r="H86" s="25" t="n">
        <f aca="false">IF(G86&gt;=-0.0000001,A86,H85)</f>
        <v>46031</v>
      </c>
      <c r="I86" s="29" t="n">
        <f aca="false">IF(AND(G86&gt;=-0.0000001,G85&lt;0),1,0)</f>
        <v>0</v>
      </c>
      <c r="J86" s="30" t="str">
        <f aca="false">IF(I86=1,A86-H85,"")</f>
        <v/>
      </c>
      <c r="K86" s="27" t="n">
        <f aca="false">IF(B86="Wednesday",0,C86)</f>
        <v>24976.25</v>
      </c>
      <c r="L86" s="28" t="n">
        <f aca="false">L85+K86/$T$1*100</f>
        <v>60.857734375</v>
      </c>
      <c r="M86" s="28" t="n">
        <f aca="false">MAX(0,MAX($L$2:L86))</f>
        <v>60.857734375</v>
      </c>
      <c r="N86" s="28" t="n">
        <f aca="false">L86-M86</f>
        <v>0</v>
      </c>
      <c r="O86" s="25" t="n">
        <f aca="false">IF(N86&gt;=-0.0000001,A86,O85)</f>
        <v>46045</v>
      </c>
      <c r="P86" s="29" t="n">
        <f aca="false">IF(AND(N86&gt;=-0.0000001,N85&lt;0),1,0)</f>
        <v>0</v>
      </c>
      <c r="Q86" s="30" t="str">
        <f aca="false">IF(P86=1,A86-O85,"")</f>
        <v/>
      </c>
    </row>
    <row r="87" customFormat="false" ht="15" hidden="false" customHeight="false" outlineLevel="0" collapsed="false">
      <c r="A87" s="25" t="n">
        <v>46050</v>
      </c>
      <c r="B87" s="26" t="s">
        <v>81</v>
      </c>
      <c r="C87" s="27" t="n">
        <v>4858.75</v>
      </c>
      <c r="D87" s="28" t="n">
        <f aca="false">C87/$T$1*100</f>
        <v>1.518359375</v>
      </c>
      <c r="E87" s="28" t="n">
        <f aca="false">E86+D87</f>
        <v>57.298359375</v>
      </c>
      <c r="F87" s="28" t="n">
        <f aca="false">MAX(0,MAX($E$2:E87))</f>
        <v>57.763515625</v>
      </c>
      <c r="G87" s="28" t="n">
        <f aca="false">E87-F87</f>
        <v>-0.46515625</v>
      </c>
      <c r="H87" s="25" t="n">
        <f aca="false">IF(G87&gt;=-0.0000001,A87,H86)</f>
        <v>46031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0</v>
      </c>
      <c r="L87" s="28" t="n">
        <f aca="false">L86+K87/$T$1*100</f>
        <v>60.857734375</v>
      </c>
      <c r="M87" s="28" t="n">
        <f aca="false">MAX(0,MAX($L$2:L87))</f>
        <v>60.857734375</v>
      </c>
      <c r="N87" s="28" t="n">
        <f aca="false">L87-M87</f>
        <v>0</v>
      </c>
      <c r="O87" s="25" t="n">
        <f aca="false">IF(N87&gt;=-0.0000001,A87,O86)</f>
        <v>46050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46051</v>
      </c>
      <c r="B88" s="26" t="s">
        <v>82</v>
      </c>
      <c r="C88" s="27" t="n">
        <v>20556.25</v>
      </c>
      <c r="D88" s="28" t="n">
        <f aca="false">C88/$T$1*100</f>
        <v>6.423828125</v>
      </c>
      <c r="E88" s="28" t="n">
        <f aca="false">E87+D88</f>
        <v>63.7221875</v>
      </c>
      <c r="F88" s="28" t="n">
        <f aca="false">MAX(0,MAX($E$2:E88))</f>
        <v>63.7221875</v>
      </c>
      <c r="G88" s="28" t="n">
        <f aca="false">E88-F88</f>
        <v>0</v>
      </c>
      <c r="H88" s="25" t="n">
        <f aca="false">IF(G88&gt;=-0.0000001,A88,H87)</f>
        <v>46051</v>
      </c>
      <c r="I88" s="29" t="n">
        <f aca="false">IF(AND(G88&gt;=-0.0000001,G87&lt;0),1,0)</f>
        <v>1</v>
      </c>
      <c r="J88" s="30" t="n">
        <f aca="false">IF(I88=1,A88-H87,"")</f>
        <v>20</v>
      </c>
      <c r="K88" s="27" t="n">
        <f aca="false">IF(B88="Wednesday",0,C88)</f>
        <v>20556.25</v>
      </c>
      <c r="L88" s="28" t="n">
        <f aca="false">L87+K88/$T$1*100</f>
        <v>67.2815625</v>
      </c>
      <c r="M88" s="28" t="n">
        <f aca="false">MAX(0,MAX($L$2:L88))</f>
        <v>67.2815625</v>
      </c>
      <c r="N88" s="28" t="n">
        <f aca="false">L88-M88</f>
        <v>0</v>
      </c>
      <c r="O88" s="25" t="n">
        <f aca="false">IF(N88&gt;=-0.0000001,A88,O87)</f>
        <v>46051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46052</v>
      </c>
      <c r="B89" s="26" t="s">
        <v>83</v>
      </c>
      <c r="C89" s="27" t="n">
        <v>146.25</v>
      </c>
      <c r="D89" s="28" t="n">
        <f aca="false">C89/$T$1*100</f>
        <v>0.045703125</v>
      </c>
      <c r="E89" s="28" t="n">
        <f aca="false">E88+D89</f>
        <v>63.767890625</v>
      </c>
      <c r="F89" s="28" t="n">
        <f aca="false">MAX(0,MAX($E$2:E89))</f>
        <v>63.767890625</v>
      </c>
      <c r="G89" s="28" t="n">
        <f aca="false">E89-F89</f>
        <v>0</v>
      </c>
      <c r="H89" s="25" t="n">
        <f aca="false">IF(G89&gt;=-0.0000001,A89,H88)</f>
        <v>46052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146.25</v>
      </c>
      <c r="L89" s="28" t="n">
        <f aca="false">L88+K89/$T$1*100</f>
        <v>67.327265625</v>
      </c>
      <c r="M89" s="28" t="n">
        <f aca="false">MAX(0,MAX($L$2:L89))</f>
        <v>67.327265625</v>
      </c>
      <c r="N89" s="28" t="n">
        <f aca="false">L89-M89</f>
        <v>0</v>
      </c>
      <c r="O89" s="25" t="n">
        <f aca="false">IF(N89&gt;=-0.0000001,A89,O88)</f>
        <v>46052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46055</v>
      </c>
      <c r="B90" s="26" t="s">
        <v>79</v>
      </c>
      <c r="C90" s="27" t="n">
        <v>21827</v>
      </c>
      <c r="D90" s="28" t="n">
        <f aca="false">C90/$T$1*100</f>
        <v>6.8209375</v>
      </c>
      <c r="E90" s="28" t="n">
        <f aca="false">E89+D90</f>
        <v>70.588828125</v>
      </c>
      <c r="F90" s="28" t="n">
        <f aca="false">MAX(0,MAX($E$2:E90))</f>
        <v>70.588828125</v>
      </c>
      <c r="G90" s="28" t="n">
        <f aca="false">E90-F90</f>
        <v>0</v>
      </c>
      <c r="H90" s="25" t="n">
        <f aca="false">IF(G90&gt;=-0.0000001,A90,H89)</f>
        <v>46055</v>
      </c>
      <c r="I90" s="29" t="n">
        <f aca="false">IF(AND(G90&gt;=-0.0000001,G89&lt;0),1,0)</f>
        <v>0</v>
      </c>
      <c r="J90" s="30" t="str">
        <f aca="false">IF(I90=1,A90-H89,"")</f>
        <v/>
      </c>
      <c r="K90" s="27" t="n">
        <f aca="false">IF(B90="Wednesday",0,C90)</f>
        <v>21827</v>
      </c>
      <c r="L90" s="28" t="n">
        <f aca="false">L89+K90/$T$1*100</f>
        <v>74.148203125</v>
      </c>
      <c r="M90" s="28" t="n">
        <f aca="false">MAX(0,MAX($L$2:L90))</f>
        <v>74.148203125</v>
      </c>
      <c r="N90" s="28" t="n">
        <f aca="false">L90-M90</f>
        <v>0</v>
      </c>
      <c r="O90" s="25" t="n">
        <f aca="false">IF(N90&gt;=-0.0000001,A90,O89)</f>
        <v>46055</v>
      </c>
      <c r="P90" s="29" t="n">
        <f aca="false">IF(AND(N90&gt;=-0.0000001,N89&lt;0),1,0)</f>
        <v>0</v>
      </c>
      <c r="Q90" s="30" t="str">
        <f aca="false">IF(P90=1,A90-O89,"")</f>
        <v/>
      </c>
    </row>
    <row r="91" customFormat="false" ht="15" hidden="false" customHeight="false" outlineLevel="0" collapsed="false">
      <c r="A91" s="25" t="n">
        <v>46056</v>
      </c>
      <c r="B91" s="26" t="s">
        <v>80</v>
      </c>
      <c r="C91" s="27" t="n">
        <v>14547</v>
      </c>
      <c r="D91" s="28" t="n">
        <f aca="false">C91/$T$1*100</f>
        <v>4.5459375</v>
      </c>
      <c r="E91" s="28" t="n">
        <f aca="false">E90+D91</f>
        <v>75.134765625</v>
      </c>
      <c r="F91" s="28" t="n">
        <f aca="false">MAX(0,MAX($E$2:E91))</f>
        <v>75.134765625</v>
      </c>
      <c r="G91" s="28" t="n">
        <f aca="false">E91-F91</f>
        <v>0</v>
      </c>
      <c r="H91" s="25" t="n">
        <f aca="false">IF(G91&gt;=-0.0000001,A91,H90)</f>
        <v>46056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14547</v>
      </c>
      <c r="L91" s="28" t="n">
        <f aca="false">L90+K91/$T$1*100</f>
        <v>78.694140625</v>
      </c>
      <c r="M91" s="28" t="n">
        <f aca="false">MAX(0,MAX($L$2:L91))</f>
        <v>78.694140625</v>
      </c>
      <c r="N91" s="28" t="n">
        <f aca="false">L91-M91</f>
        <v>0</v>
      </c>
      <c r="O91" s="25" t="n">
        <f aca="false">IF(N91&gt;=-0.0000001,A91,O90)</f>
        <v>46056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46057</v>
      </c>
      <c r="B92" s="26" t="s">
        <v>81</v>
      </c>
      <c r="C92" s="27" t="n">
        <v>-3217.5</v>
      </c>
      <c r="D92" s="28" t="n">
        <f aca="false">C92/$T$1*100</f>
        <v>-1.00546875</v>
      </c>
      <c r="E92" s="28" t="n">
        <f aca="false">E91+D92</f>
        <v>74.129296875</v>
      </c>
      <c r="F92" s="28" t="n">
        <f aca="false">MAX(0,MAX($E$2:E92))</f>
        <v>75.134765625</v>
      </c>
      <c r="G92" s="28" t="n">
        <f aca="false">E92-F92</f>
        <v>-1.00546875000001</v>
      </c>
      <c r="H92" s="25" t="n">
        <f aca="false">IF(G92&gt;=-0.0000001,A92,H91)</f>
        <v>46056</v>
      </c>
      <c r="I92" s="29" t="n">
        <f aca="false">IF(AND(G92&gt;=-0.0000001,G91&lt;0),1,0)</f>
        <v>0</v>
      </c>
      <c r="J92" s="30" t="str">
        <f aca="false">IF(I92=1,A92-H91,"")</f>
        <v/>
      </c>
      <c r="K92" s="27" t="n">
        <f aca="false">IF(B92="Wednesday",0,C92)</f>
        <v>0</v>
      </c>
      <c r="L92" s="28" t="n">
        <f aca="false">L91+K92/$T$1*100</f>
        <v>78.694140625</v>
      </c>
      <c r="M92" s="28" t="n">
        <f aca="false">MAX(0,MAX($L$2:L92))</f>
        <v>78.694140625</v>
      </c>
      <c r="N92" s="28" t="n">
        <f aca="false">L92-M92</f>
        <v>0</v>
      </c>
      <c r="O92" s="25" t="n">
        <f aca="false">IF(N92&gt;=-0.0000001,A92,O91)</f>
        <v>46057</v>
      </c>
      <c r="P92" s="29" t="n">
        <f aca="false">IF(AND(N92&gt;=-0.0000001,N91&lt;0),1,0)</f>
        <v>0</v>
      </c>
      <c r="Q92" s="30" t="str">
        <f aca="false">IF(P92=1,A92-O91,"")</f>
        <v/>
      </c>
    </row>
    <row r="93" customFormat="false" ht="15" hidden="false" customHeight="false" outlineLevel="0" collapsed="false">
      <c r="A93" s="25" t="n">
        <v>46058</v>
      </c>
      <c r="B93" s="26" t="s">
        <v>82</v>
      </c>
      <c r="C93" s="27" t="n">
        <v>1495</v>
      </c>
      <c r="D93" s="28" t="n">
        <f aca="false">C93/$T$1*100</f>
        <v>0.4671875</v>
      </c>
      <c r="E93" s="28" t="n">
        <f aca="false">E92+D93</f>
        <v>74.596484375</v>
      </c>
      <c r="F93" s="28" t="n">
        <f aca="false">MAX(0,MAX($E$2:E93))</f>
        <v>75.134765625</v>
      </c>
      <c r="G93" s="28" t="n">
        <f aca="false">E93-F93</f>
        <v>-0.538281250000011</v>
      </c>
      <c r="H93" s="25" t="n">
        <f aca="false">IF(G93&gt;=-0.0000001,A93,H92)</f>
        <v>46056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1495</v>
      </c>
      <c r="L93" s="28" t="n">
        <f aca="false">L92+K93/$T$1*100</f>
        <v>79.161328125</v>
      </c>
      <c r="M93" s="28" t="n">
        <f aca="false">MAX(0,MAX($L$2:L93))</f>
        <v>79.161328125</v>
      </c>
      <c r="N93" s="28" t="n">
        <f aca="false">L93-M93</f>
        <v>0</v>
      </c>
      <c r="O93" s="25" t="n">
        <f aca="false">IF(N93&gt;=-0.0000001,A93,O92)</f>
        <v>46058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46059</v>
      </c>
      <c r="B94" s="26" t="s">
        <v>83</v>
      </c>
      <c r="C94" s="27" t="n">
        <v>17179.5</v>
      </c>
      <c r="D94" s="28" t="n">
        <f aca="false">C94/$T$1*100</f>
        <v>5.36859375</v>
      </c>
      <c r="E94" s="28" t="n">
        <f aca="false">E93+D94</f>
        <v>79.965078125</v>
      </c>
      <c r="F94" s="28" t="n">
        <f aca="false">MAX(0,MAX($E$2:E94))</f>
        <v>79.965078125</v>
      </c>
      <c r="G94" s="28" t="n">
        <f aca="false">E94-F94</f>
        <v>0</v>
      </c>
      <c r="H94" s="25" t="n">
        <f aca="false">IF(G94&gt;=-0.0000001,A94,H93)</f>
        <v>46059</v>
      </c>
      <c r="I94" s="29" t="n">
        <f aca="false">IF(AND(G94&gt;=-0.0000001,G93&lt;0),1,0)</f>
        <v>1</v>
      </c>
      <c r="J94" s="30" t="n">
        <f aca="false">IF(I94=1,A94-H93,"")</f>
        <v>3</v>
      </c>
      <c r="K94" s="27" t="n">
        <f aca="false">IF(B94="Wednesday",0,C94)</f>
        <v>17179.5</v>
      </c>
      <c r="L94" s="28" t="n">
        <f aca="false">L93+K94/$T$1*100</f>
        <v>84.529921875</v>
      </c>
      <c r="M94" s="28" t="n">
        <f aca="false">MAX(0,MAX($L$2:L94))</f>
        <v>84.529921875</v>
      </c>
      <c r="N94" s="28" t="n">
        <f aca="false">L94-M94</f>
        <v>0</v>
      </c>
      <c r="O94" s="25" t="n">
        <f aca="false">IF(N94&gt;=-0.0000001,A94,O93)</f>
        <v>46059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46062</v>
      </c>
      <c r="B95" s="26" t="s">
        <v>79</v>
      </c>
      <c r="C95" s="27" t="n">
        <v>-3900</v>
      </c>
      <c r="D95" s="28" t="n">
        <f aca="false">C95/$T$1*100</f>
        <v>-1.21875</v>
      </c>
      <c r="E95" s="28" t="n">
        <f aca="false">E94+D95</f>
        <v>78.746328125</v>
      </c>
      <c r="F95" s="28" t="n">
        <f aca="false">MAX(0,MAX($E$2:E95))</f>
        <v>79.965078125</v>
      </c>
      <c r="G95" s="28" t="n">
        <f aca="false">E95-F95</f>
        <v>-1.21875</v>
      </c>
      <c r="H95" s="25" t="n">
        <f aca="false">IF(G95&gt;=-0.0000001,A95,H94)</f>
        <v>46059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-3900</v>
      </c>
      <c r="L95" s="28" t="n">
        <f aca="false">L94+K95/$T$1*100</f>
        <v>83.311171875</v>
      </c>
      <c r="M95" s="28" t="n">
        <f aca="false">MAX(0,MAX($L$2:L95))</f>
        <v>84.529921875</v>
      </c>
      <c r="N95" s="28" t="n">
        <f aca="false">L95-M95</f>
        <v>-1.21875</v>
      </c>
      <c r="O95" s="25" t="n">
        <f aca="false">IF(N95&gt;=-0.0000001,A95,O94)</f>
        <v>46059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46063</v>
      </c>
      <c r="B96" s="26" t="s">
        <v>80</v>
      </c>
      <c r="C96" s="27" t="n">
        <v>5986.5</v>
      </c>
      <c r="D96" s="28" t="n">
        <f aca="false">C96/$T$1*100</f>
        <v>1.87078125</v>
      </c>
      <c r="E96" s="28" t="n">
        <f aca="false">E95+D96</f>
        <v>80.617109375</v>
      </c>
      <c r="F96" s="28" t="n">
        <f aca="false">MAX(0,MAX($E$2:E96))</f>
        <v>80.617109375</v>
      </c>
      <c r="G96" s="28" t="n">
        <f aca="false">E96-F96</f>
        <v>0</v>
      </c>
      <c r="H96" s="25" t="n">
        <f aca="false">IF(G96&gt;=-0.0000001,A96,H95)</f>
        <v>46063</v>
      </c>
      <c r="I96" s="29" t="n">
        <f aca="false">IF(AND(G96&gt;=-0.0000001,G95&lt;0),1,0)</f>
        <v>1</v>
      </c>
      <c r="J96" s="30" t="n">
        <f aca="false">IF(I96=1,A96-H95,"")</f>
        <v>4</v>
      </c>
      <c r="K96" s="27" t="n">
        <f aca="false">IF(B96="Wednesday",0,C96)</f>
        <v>5986.5</v>
      </c>
      <c r="L96" s="28" t="n">
        <f aca="false">L95+K96/$T$1*100</f>
        <v>85.181953125</v>
      </c>
      <c r="M96" s="28" t="n">
        <f aca="false">MAX(0,MAX($L$2:L96))</f>
        <v>85.181953125</v>
      </c>
      <c r="N96" s="28" t="n">
        <f aca="false">L96-M96</f>
        <v>0</v>
      </c>
      <c r="O96" s="25" t="n">
        <f aca="false">IF(N96&gt;=-0.0000001,A96,O95)</f>
        <v>46063</v>
      </c>
      <c r="P96" s="29" t="n">
        <f aca="false">IF(AND(N96&gt;=-0.0000001,N95&lt;0),1,0)</f>
        <v>1</v>
      </c>
      <c r="Q96" s="30" t="n">
        <f aca="false">IF(P96=1,A96-O95,"")</f>
        <v>4</v>
      </c>
    </row>
    <row r="97" customFormat="false" ht="15" hidden="false" customHeight="false" outlineLevel="0" collapsed="false">
      <c r="A97" s="25" t="n">
        <v>46064</v>
      </c>
      <c r="B97" s="26" t="s">
        <v>81</v>
      </c>
      <c r="C97" s="27" t="n">
        <v>2453.75</v>
      </c>
      <c r="D97" s="28" t="n">
        <f aca="false">C97/$T$1*100</f>
        <v>0.766796875</v>
      </c>
      <c r="E97" s="28" t="n">
        <f aca="false">E96+D97</f>
        <v>81.38390625</v>
      </c>
      <c r="F97" s="28" t="n">
        <f aca="false">MAX(0,MAX($E$2:E97))</f>
        <v>81.38390625</v>
      </c>
      <c r="G97" s="28" t="n">
        <f aca="false">E97-F97</f>
        <v>0</v>
      </c>
      <c r="H97" s="25" t="n">
        <f aca="false">IF(G97&gt;=-0.0000001,A97,H96)</f>
        <v>46064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0</v>
      </c>
      <c r="L97" s="28" t="n">
        <f aca="false">L96+K97/$T$1*100</f>
        <v>85.181953125</v>
      </c>
      <c r="M97" s="28" t="n">
        <f aca="false">MAX(0,MAX($L$2:L97))</f>
        <v>85.181953125</v>
      </c>
      <c r="N97" s="28" t="n">
        <f aca="false">L97-M97</f>
        <v>0</v>
      </c>
      <c r="O97" s="25" t="n">
        <f aca="false">IF(N97&gt;=-0.0000001,A97,O96)</f>
        <v>46064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46065</v>
      </c>
      <c r="B98" s="26" t="s">
        <v>82</v>
      </c>
      <c r="C98" s="27" t="n">
        <v>-17306.25</v>
      </c>
      <c r="D98" s="28" t="n">
        <f aca="false">C98/$T$1*100</f>
        <v>-5.408203125</v>
      </c>
      <c r="E98" s="28" t="n">
        <f aca="false">E97+D98</f>
        <v>75.975703125</v>
      </c>
      <c r="F98" s="28" t="n">
        <f aca="false">MAX(0,MAX($E$2:E98))</f>
        <v>81.38390625</v>
      </c>
      <c r="G98" s="28" t="n">
        <f aca="false">E98-F98</f>
        <v>-5.408203125</v>
      </c>
      <c r="H98" s="25" t="n">
        <f aca="false">IF(G98&gt;=-0.0000001,A98,H97)</f>
        <v>46064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-17306.25</v>
      </c>
      <c r="L98" s="28" t="n">
        <f aca="false">L97+K98/$T$1*100</f>
        <v>79.77375</v>
      </c>
      <c r="M98" s="28" t="n">
        <f aca="false">MAX(0,MAX($L$2:L98))</f>
        <v>85.181953125</v>
      </c>
      <c r="N98" s="28" t="n">
        <f aca="false">L98-M98</f>
        <v>-5.408203125</v>
      </c>
      <c r="O98" s="25" t="n">
        <f aca="false">IF(N98&gt;=-0.0000001,A98,O97)</f>
        <v>46064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46066</v>
      </c>
      <c r="B99" s="26" t="s">
        <v>83</v>
      </c>
      <c r="C99" s="27" t="n">
        <v>-7020</v>
      </c>
      <c r="D99" s="28" t="n">
        <f aca="false">C99/$T$1*100</f>
        <v>-2.19375</v>
      </c>
      <c r="E99" s="28" t="n">
        <f aca="false">E98+D99</f>
        <v>73.781953125</v>
      </c>
      <c r="F99" s="28" t="n">
        <f aca="false">MAX(0,MAX($E$2:E99))</f>
        <v>81.38390625</v>
      </c>
      <c r="G99" s="28" t="n">
        <f aca="false">E99-F99</f>
        <v>-7.60195312499999</v>
      </c>
      <c r="H99" s="25" t="n">
        <f aca="false">IF(G99&gt;=-0.0000001,A99,H98)</f>
        <v>46064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-7020</v>
      </c>
      <c r="L99" s="28" t="n">
        <f aca="false">L98+K99/$T$1*100</f>
        <v>77.58</v>
      </c>
      <c r="M99" s="28" t="n">
        <f aca="false">MAX(0,MAX($L$2:L99))</f>
        <v>85.181953125</v>
      </c>
      <c r="N99" s="28" t="n">
        <f aca="false">L99-M99</f>
        <v>-7.60195312499999</v>
      </c>
      <c r="O99" s="25" t="n">
        <f aca="false">IF(N99&gt;=-0.0000001,A99,O98)</f>
        <v>46064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46069</v>
      </c>
      <c r="B100" s="26" t="s">
        <v>79</v>
      </c>
      <c r="C100" s="27" t="n">
        <v>10725</v>
      </c>
      <c r="D100" s="28" t="n">
        <f aca="false">C100/$T$1*100</f>
        <v>3.3515625</v>
      </c>
      <c r="E100" s="28" t="n">
        <f aca="false">E99+D100</f>
        <v>77.133515625</v>
      </c>
      <c r="F100" s="28" t="n">
        <f aca="false">MAX(0,MAX($E$2:E100))</f>
        <v>81.38390625</v>
      </c>
      <c r="G100" s="28" t="n">
        <f aca="false">E100-F100</f>
        <v>-4.25039062499999</v>
      </c>
      <c r="H100" s="25" t="n">
        <f aca="false">IF(G100&gt;=-0.0000001,A100,H99)</f>
        <v>46064</v>
      </c>
      <c r="I100" s="29" t="n">
        <f aca="false">IF(AND(G100&gt;=-0.0000001,G99&lt;0),1,0)</f>
        <v>0</v>
      </c>
      <c r="J100" s="30" t="str">
        <f aca="false">IF(I100=1,A100-H99,"")</f>
        <v/>
      </c>
      <c r="K100" s="27" t="n">
        <f aca="false">IF(B100="Wednesday",0,C100)</f>
        <v>10725</v>
      </c>
      <c r="L100" s="28" t="n">
        <f aca="false">L99+K100/$T$1*100</f>
        <v>80.9315625</v>
      </c>
      <c r="M100" s="28" t="n">
        <f aca="false">MAX(0,MAX($L$2:L100))</f>
        <v>85.181953125</v>
      </c>
      <c r="N100" s="28" t="n">
        <f aca="false">L100-M100</f>
        <v>-4.25039062499999</v>
      </c>
      <c r="O100" s="25" t="n">
        <f aca="false">IF(N100&gt;=-0.0000001,A100,O99)</f>
        <v>46064</v>
      </c>
      <c r="P100" s="29" t="n">
        <f aca="false">IF(AND(N100&gt;=-0.0000001,N99&lt;0),1,0)</f>
        <v>0</v>
      </c>
      <c r="Q100" s="30" t="str">
        <f aca="false">IF(P100=1,A100-O99,"")</f>
        <v/>
      </c>
    </row>
    <row r="101" customFormat="false" ht="15" hidden="false" customHeight="false" outlineLevel="0" collapsed="false">
      <c r="A101" s="25" t="n">
        <v>46070</v>
      </c>
      <c r="B101" s="26" t="s">
        <v>80</v>
      </c>
      <c r="C101" s="27" t="n">
        <v>8716.5</v>
      </c>
      <c r="D101" s="28" t="n">
        <f aca="false">C101/$T$1*100</f>
        <v>2.72390625</v>
      </c>
      <c r="E101" s="28" t="n">
        <f aca="false">E100+D101</f>
        <v>79.857421875</v>
      </c>
      <c r="F101" s="28" t="n">
        <f aca="false">MAX(0,MAX($E$2:E101))</f>
        <v>81.38390625</v>
      </c>
      <c r="G101" s="28" t="n">
        <f aca="false">E101-F101</f>
        <v>-1.526484375</v>
      </c>
      <c r="H101" s="25" t="n">
        <f aca="false">IF(G101&gt;=-0.0000001,A101,H100)</f>
        <v>46064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8716.5</v>
      </c>
      <c r="L101" s="28" t="n">
        <f aca="false">L100+K101/$T$1*100</f>
        <v>83.65546875</v>
      </c>
      <c r="M101" s="28" t="n">
        <f aca="false">MAX(0,MAX($L$2:L101))</f>
        <v>85.181953125</v>
      </c>
      <c r="N101" s="28" t="n">
        <f aca="false">L101-M101</f>
        <v>-1.526484375</v>
      </c>
      <c r="O101" s="25" t="n">
        <f aca="false">IF(N101&gt;=-0.0000001,A101,O100)</f>
        <v>46064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46071</v>
      </c>
      <c r="B102" s="26" t="s">
        <v>81</v>
      </c>
      <c r="C102" s="27" t="n">
        <v>-18086.25</v>
      </c>
      <c r="D102" s="28" t="n">
        <f aca="false">C102/$T$1*100</f>
        <v>-5.651953125</v>
      </c>
      <c r="E102" s="28" t="n">
        <f aca="false">E101+D102</f>
        <v>74.20546875</v>
      </c>
      <c r="F102" s="28" t="n">
        <f aca="false">MAX(0,MAX($E$2:E102))</f>
        <v>81.38390625</v>
      </c>
      <c r="G102" s="28" t="n">
        <f aca="false">E102-F102</f>
        <v>-7.1784375</v>
      </c>
      <c r="H102" s="25" t="n">
        <f aca="false">IF(G102&gt;=-0.0000001,A102,H101)</f>
        <v>46064</v>
      </c>
      <c r="I102" s="29" t="n">
        <f aca="false">IF(AND(G102&gt;=-0.0000001,G101&lt;0),1,0)</f>
        <v>0</v>
      </c>
      <c r="J102" s="30" t="str">
        <f aca="false">IF(I102=1,A102-H101,"")</f>
        <v/>
      </c>
      <c r="K102" s="27" t="n">
        <f aca="false">IF(B102="Wednesday",0,C102)</f>
        <v>0</v>
      </c>
      <c r="L102" s="28" t="n">
        <f aca="false">L101+K102/$T$1*100</f>
        <v>83.65546875</v>
      </c>
      <c r="M102" s="28" t="n">
        <f aca="false">MAX(0,MAX($L$2:L102))</f>
        <v>85.181953125</v>
      </c>
      <c r="N102" s="28" t="n">
        <f aca="false">L102-M102</f>
        <v>-1.526484375</v>
      </c>
      <c r="O102" s="25" t="n">
        <f aca="false">IF(N102&gt;=-0.0000001,A102,O101)</f>
        <v>46064</v>
      </c>
      <c r="P102" s="29" t="n">
        <f aca="false">IF(AND(N102&gt;=-0.0000001,N101&lt;0),1,0)</f>
        <v>0</v>
      </c>
      <c r="Q102" s="30" t="str">
        <f aca="false">IF(P102=1,A102-O101,"")</f>
        <v/>
      </c>
    </row>
    <row r="103" customFormat="false" ht="15" hidden="false" customHeight="false" outlineLevel="0" collapsed="false">
      <c r="A103" s="25" t="n">
        <v>46072</v>
      </c>
      <c r="B103" s="26" t="s">
        <v>82</v>
      </c>
      <c r="C103" s="27" t="n">
        <v>24098.75</v>
      </c>
      <c r="D103" s="28" t="n">
        <f aca="false">C103/$T$1*100</f>
        <v>7.530859375</v>
      </c>
      <c r="E103" s="28" t="n">
        <f aca="false">E102+D103</f>
        <v>81.736328125</v>
      </c>
      <c r="F103" s="28" t="n">
        <f aca="false">MAX(0,MAX($E$2:E103))</f>
        <v>81.736328125</v>
      </c>
      <c r="G103" s="28" t="n">
        <f aca="false">E103-F103</f>
        <v>0</v>
      </c>
      <c r="H103" s="25" t="n">
        <f aca="false">IF(G103&gt;=-0.0000001,A103,H102)</f>
        <v>46072</v>
      </c>
      <c r="I103" s="29" t="n">
        <f aca="false">IF(AND(G103&gt;=-0.0000001,G102&lt;0),1,0)</f>
        <v>1</v>
      </c>
      <c r="J103" s="30" t="n">
        <f aca="false">IF(I103=1,A103-H102,"")</f>
        <v>8</v>
      </c>
      <c r="K103" s="27" t="n">
        <f aca="false">IF(B103="Wednesday",0,C103)</f>
        <v>24098.75</v>
      </c>
      <c r="L103" s="28" t="n">
        <f aca="false">L102+K103/$T$1*100</f>
        <v>91.186328125</v>
      </c>
      <c r="M103" s="28" t="n">
        <f aca="false">MAX(0,MAX($L$2:L103))</f>
        <v>91.186328125</v>
      </c>
      <c r="N103" s="28" t="n">
        <f aca="false">L103-M103</f>
        <v>0</v>
      </c>
      <c r="O103" s="25" t="n">
        <f aca="false">IF(N103&gt;=-0.0000001,A103,O102)</f>
        <v>46072</v>
      </c>
      <c r="P103" s="29" t="n">
        <f aca="false">IF(AND(N103&gt;=-0.0000001,N102&lt;0),1,0)</f>
        <v>1</v>
      </c>
      <c r="Q103" s="30" t="n">
        <f aca="false">IF(P103=1,A103-O102,"")</f>
        <v>8</v>
      </c>
    </row>
    <row r="104" customFormat="false" ht="15" hidden="false" customHeight="false" outlineLevel="0" collapsed="false">
      <c r="A104" s="25" t="n">
        <v>46073</v>
      </c>
      <c r="B104" s="26" t="s">
        <v>83</v>
      </c>
      <c r="C104" s="27" t="n">
        <v>12447.5</v>
      </c>
      <c r="D104" s="28" t="n">
        <f aca="false">C104/$T$1*100</f>
        <v>3.88984375</v>
      </c>
      <c r="E104" s="28" t="n">
        <f aca="false">E103+D104</f>
        <v>85.626171875</v>
      </c>
      <c r="F104" s="28" t="n">
        <f aca="false">MAX(0,MAX($E$2:E104))</f>
        <v>85.626171875</v>
      </c>
      <c r="G104" s="28" t="n">
        <f aca="false">E104-F104</f>
        <v>0</v>
      </c>
      <c r="H104" s="25" t="n">
        <f aca="false">IF(G104&gt;=-0.0000001,A104,H103)</f>
        <v>46073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12447.5</v>
      </c>
      <c r="L104" s="28" t="n">
        <f aca="false">L103+K104/$T$1*100</f>
        <v>95.076171875</v>
      </c>
      <c r="M104" s="28" t="n">
        <f aca="false">MAX(0,MAX($L$2:L104))</f>
        <v>95.076171875</v>
      </c>
      <c r="N104" s="28" t="n">
        <f aca="false">L104-M104</f>
        <v>0</v>
      </c>
      <c r="O104" s="25" t="n">
        <f aca="false">IF(N104&gt;=-0.0000001,A104,O103)</f>
        <v>46073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46076</v>
      </c>
      <c r="B105" s="26" t="s">
        <v>79</v>
      </c>
      <c r="C105" s="27" t="n">
        <v>3523</v>
      </c>
      <c r="D105" s="28" t="n">
        <f aca="false">C105/$T$1*100</f>
        <v>1.1009375</v>
      </c>
      <c r="E105" s="28" t="n">
        <f aca="false">E104+D105</f>
        <v>86.727109375</v>
      </c>
      <c r="F105" s="28" t="n">
        <f aca="false">MAX(0,MAX($E$2:E105))</f>
        <v>86.727109375</v>
      </c>
      <c r="G105" s="28" t="n">
        <f aca="false">E105-F105</f>
        <v>0</v>
      </c>
      <c r="H105" s="25" t="n">
        <f aca="false">IF(G105&gt;=-0.0000001,A105,H104)</f>
        <v>46076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3523</v>
      </c>
      <c r="L105" s="28" t="n">
        <f aca="false">L104+K105/$T$1*100</f>
        <v>96.177109375</v>
      </c>
      <c r="M105" s="28" t="n">
        <f aca="false">MAX(0,MAX($L$2:L105))</f>
        <v>96.177109375</v>
      </c>
      <c r="N105" s="28" t="n">
        <f aca="false">L105-M105</f>
        <v>0</v>
      </c>
      <c r="O105" s="25" t="n">
        <f aca="false">IF(N105&gt;=-0.0000001,A105,O104)</f>
        <v>46076</v>
      </c>
      <c r="P105" s="29" t="n">
        <f aca="false">IF(AND(N105&gt;=-0.0000001,N104&lt;0),1,0)</f>
        <v>0</v>
      </c>
      <c r="Q105" s="30" t="str">
        <f aca="false">IF(P105=1,A105-O104,"")</f>
        <v/>
      </c>
    </row>
    <row r="106" customFormat="false" ht="15" hidden="false" customHeight="false" outlineLevel="0" collapsed="false">
      <c r="A106" s="25" t="n">
        <v>46077</v>
      </c>
      <c r="B106" s="26" t="s">
        <v>80</v>
      </c>
      <c r="C106" s="27" t="n">
        <v>9106.5</v>
      </c>
      <c r="D106" s="28" t="n">
        <f aca="false">C106/$T$1*100</f>
        <v>2.84578125</v>
      </c>
      <c r="E106" s="28" t="n">
        <f aca="false">E105+D106</f>
        <v>89.572890625</v>
      </c>
      <c r="F106" s="28" t="n">
        <f aca="false">MAX(0,MAX($E$2:E106))</f>
        <v>89.572890625</v>
      </c>
      <c r="G106" s="28" t="n">
        <f aca="false">E106-F106</f>
        <v>0</v>
      </c>
      <c r="H106" s="25" t="n">
        <f aca="false">IF(G106&gt;=-0.0000001,A106,H105)</f>
        <v>46077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9106.5</v>
      </c>
      <c r="L106" s="28" t="n">
        <f aca="false">L105+K106/$T$1*100</f>
        <v>99.022890625</v>
      </c>
      <c r="M106" s="28" t="n">
        <f aca="false">MAX(0,MAX($L$2:L106))</f>
        <v>99.022890625</v>
      </c>
      <c r="N106" s="28" t="n">
        <f aca="false">L106-M106</f>
        <v>0</v>
      </c>
      <c r="O106" s="25" t="n">
        <f aca="false">IF(N106&gt;=-0.0000001,A106,O105)</f>
        <v>46077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46078</v>
      </c>
      <c r="B107" s="26" t="s">
        <v>81</v>
      </c>
      <c r="C107" s="27" t="n">
        <v>-12902.5</v>
      </c>
      <c r="D107" s="28" t="n">
        <f aca="false">C107/$T$1*100</f>
        <v>-4.03203125</v>
      </c>
      <c r="E107" s="28" t="n">
        <f aca="false">E106+D107</f>
        <v>85.540859375</v>
      </c>
      <c r="F107" s="28" t="n">
        <f aca="false">MAX(0,MAX($E$2:E107))</f>
        <v>89.572890625</v>
      </c>
      <c r="G107" s="28" t="n">
        <f aca="false">E107-F107</f>
        <v>-4.03203125</v>
      </c>
      <c r="H107" s="25" t="n">
        <f aca="false">IF(G107&gt;=-0.0000001,A107,H106)</f>
        <v>46077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0</v>
      </c>
      <c r="L107" s="28" t="n">
        <f aca="false">L106+K107/$T$1*100</f>
        <v>99.022890625</v>
      </c>
      <c r="M107" s="28" t="n">
        <f aca="false">MAX(0,MAX($L$2:L107))</f>
        <v>99.022890625</v>
      </c>
      <c r="N107" s="28" t="n">
        <f aca="false">L107-M107</f>
        <v>0</v>
      </c>
      <c r="O107" s="25" t="n">
        <f aca="false">IF(N107&gt;=-0.0000001,A107,O106)</f>
        <v>46078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46079</v>
      </c>
      <c r="B108" s="26" t="s">
        <v>82</v>
      </c>
      <c r="C108" s="27" t="n">
        <v>11066.25</v>
      </c>
      <c r="D108" s="28" t="n">
        <f aca="false">C108/$T$1*100</f>
        <v>3.458203125</v>
      </c>
      <c r="E108" s="28" t="n">
        <f aca="false">E107+D108</f>
        <v>88.9990625</v>
      </c>
      <c r="F108" s="28" t="n">
        <f aca="false">MAX(0,MAX($E$2:E108))</f>
        <v>89.572890625</v>
      </c>
      <c r="G108" s="28" t="n">
        <f aca="false">E108-F108</f>
        <v>-0.573828125000006</v>
      </c>
      <c r="H108" s="25" t="n">
        <f aca="false">IF(G108&gt;=-0.0000001,A108,H107)</f>
        <v>46077</v>
      </c>
      <c r="I108" s="29" t="n">
        <f aca="false">IF(AND(G108&gt;=-0.0000001,G107&lt;0),1,0)</f>
        <v>0</v>
      </c>
      <c r="J108" s="30" t="str">
        <f aca="false">IF(I108=1,A108-H107,"")</f>
        <v/>
      </c>
      <c r="K108" s="27" t="n">
        <f aca="false">IF(B108="Wednesday",0,C108)</f>
        <v>11066.25</v>
      </c>
      <c r="L108" s="28" t="n">
        <f aca="false">L107+K108/$T$1*100</f>
        <v>102.48109375</v>
      </c>
      <c r="M108" s="28" t="n">
        <f aca="false">MAX(0,MAX($L$2:L108))</f>
        <v>102.48109375</v>
      </c>
      <c r="N108" s="28" t="n">
        <f aca="false">L108-M108</f>
        <v>0</v>
      </c>
      <c r="O108" s="25" t="n">
        <f aca="false">IF(N108&gt;=-0.0000001,A108,O107)</f>
        <v>46079</v>
      </c>
      <c r="P108" s="29" t="n">
        <f aca="false">IF(AND(N108&gt;=-0.0000001,N107&lt;0),1,0)</f>
        <v>0</v>
      </c>
      <c r="Q108" s="30" t="str">
        <f aca="false">IF(P108=1,A108-O107,"")</f>
        <v/>
      </c>
    </row>
    <row r="109" customFormat="false" ht="15" hidden="false" customHeight="false" outlineLevel="0" collapsed="false">
      <c r="A109" s="25" t="n">
        <v>46080</v>
      </c>
      <c r="B109" s="26" t="s">
        <v>83</v>
      </c>
      <c r="C109" s="27" t="n">
        <v>10123.75</v>
      </c>
      <c r="D109" s="28" t="n">
        <f aca="false">C109/$T$1*100</f>
        <v>3.163671875</v>
      </c>
      <c r="E109" s="28" t="n">
        <f aca="false">E108+D109</f>
        <v>92.162734375</v>
      </c>
      <c r="F109" s="28" t="n">
        <f aca="false">MAX(0,MAX($E$2:E109))</f>
        <v>92.162734375</v>
      </c>
      <c r="G109" s="28" t="n">
        <f aca="false">E109-F109</f>
        <v>0</v>
      </c>
      <c r="H109" s="25" t="n">
        <f aca="false">IF(G109&gt;=-0.0000001,A109,H108)</f>
        <v>46080</v>
      </c>
      <c r="I109" s="29" t="n">
        <f aca="false">IF(AND(G109&gt;=-0.0000001,G108&lt;0),1,0)</f>
        <v>1</v>
      </c>
      <c r="J109" s="30" t="n">
        <f aca="false">IF(I109=1,A109-H108,"")</f>
        <v>3</v>
      </c>
      <c r="K109" s="27" t="n">
        <f aca="false">IF(B109="Wednesday",0,C109)</f>
        <v>10123.75</v>
      </c>
      <c r="L109" s="28" t="n">
        <f aca="false">L108+K109/$T$1*100</f>
        <v>105.644765625</v>
      </c>
      <c r="M109" s="28" t="n">
        <f aca="false">MAX(0,MAX($L$2:L109))</f>
        <v>105.644765625</v>
      </c>
      <c r="N109" s="28" t="n">
        <f aca="false">L109-M109</f>
        <v>0</v>
      </c>
      <c r="O109" s="25" t="n">
        <f aca="false">IF(N109&gt;=-0.0000001,A109,O108)</f>
        <v>46080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46083</v>
      </c>
      <c r="B110" s="26" t="s">
        <v>79</v>
      </c>
      <c r="C110" s="27" t="n">
        <v>5629</v>
      </c>
      <c r="D110" s="28" t="n">
        <f aca="false">C110/$T$1*100</f>
        <v>1.7590625</v>
      </c>
      <c r="E110" s="28" t="n">
        <f aca="false">E109+D110</f>
        <v>93.921796875</v>
      </c>
      <c r="F110" s="28" t="n">
        <f aca="false">MAX(0,MAX($E$2:E110))</f>
        <v>93.921796875</v>
      </c>
      <c r="G110" s="28" t="n">
        <f aca="false">E110-F110</f>
        <v>0</v>
      </c>
      <c r="H110" s="25" t="n">
        <f aca="false">IF(G110&gt;=-0.0000001,A110,H109)</f>
        <v>46083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5629</v>
      </c>
      <c r="L110" s="28" t="n">
        <f aca="false">L109+K110/$T$1*100</f>
        <v>107.403828125</v>
      </c>
      <c r="M110" s="28" t="n">
        <f aca="false">MAX(0,MAX($L$2:L110))</f>
        <v>107.403828125</v>
      </c>
      <c r="N110" s="28" t="n">
        <f aca="false">L110-M110</f>
        <v>0</v>
      </c>
      <c r="O110" s="25" t="n">
        <f aca="false">IF(N110&gt;=-0.0000001,A110,O109)</f>
        <v>46083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46086</v>
      </c>
      <c r="B111" s="26" t="s">
        <v>82</v>
      </c>
      <c r="C111" s="27" t="n">
        <v>-14352</v>
      </c>
      <c r="D111" s="28" t="n">
        <f aca="false">C111/$T$1*100</f>
        <v>-4.485</v>
      </c>
      <c r="E111" s="28" t="n">
        <f aca="false">E110+D111</f>
        <v>89.436796875</v>
      </c>
      <c r="F111" s="28" t="n">
        <f aca="false">MAX(0,MAX($E$2:E111))</f>
        <v>93.921796875</v>
      </c>
      <c r="G111" s="28" t="n">
        <f aca="false">E111-F111</f>
        <v>-4.485</v>
      </c>
      <c r="H111" s="25" t="n">
        <f aca="false">IF(G111&gt;=-0.0000001,A111,H110)</f>
        <v>46083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-14352</v>
      </c>
      <c r="L111" s="28" t="n">
        <f aca="false">L110+K111/$T$1*100</f>
        <v>102.918828125</v>
      </c>
      <c r="M111" s="28" t="n">
        <f aca="false">MAX(0,MAX($L$2:L111))</f>
        <v>107.403828125</v>
      </c>
      <c r="N111" s="28" t="n">
        <f aca="false">L111-M111</f>
        <v>-4.485</v>
      </c>
      <c r="O111" s="25" t="n">
        <f aca="false">IF(N111&gt;=-0.0000001,A111,O110)</f>
        <v>46083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46087</v>
      </c>
      <c r="B112" s="26" t="s">
        <v>83</v>
      </c>
      <c r="C112" s="27" t="n">
        <v>12122.5</v>
      </c>
      <c r="D112" s="28" t="n">
        <f aca="false">C112/$T$1*100</f>
        <v>3.78828125</v>
      </c>
      <c r="E112" s="28" t="n">
        <f aca="false">E111+D112</f>
        <v>93.225078125</v>
      </c>
      <c r="F112" s="28" t="n">
        <f aca="false">MAX(0,MAX($E$2:E112))</f>
        <v>93.921796875</v>
      </c>
      <c r="G112" s="28" t="n">
        <f aca="false">E112-F112</f>
        <v>-0.696718750000002</v>
      </c>
      <c r="H112" s="25" t="n">
        <f aca="false">IF(G112&gt;=-0.0000001,A112,H111)</f>
        <v>46083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12122.5</v>
      </c>
      <c r="L112" s="28" t="n">
        <f aca="false">L111+K112/$T$1*100</f>
        <v>106.707109375</v>
      </c>
      <c r="M112" s="28" t="n">
        <f aca="false">MAX(0,MAX($L$2:L112))</f>
        <v>107.403828125</v>
      </c>
      <c r="N112" s="28" t="n">
        <f aca="false">L112-M112</f>
        <v>-0.696718750000002</v>
      </c>
      <c r="O112" s="25" t="n">
        <f aca="false">IF(N112&gt;=-0.0000001,A112,O111)</f>
        <v>46083</v>
      </c>
      <c r="P112" s="29" t="n">
        <f aca="false">IF(AND(N112&gt;=-0.0000001,N111&lt;0),1,0)</f>
        <v>0</v>
      </c>
      <c r="Q112" s="30" t="str">
        <f aca="false">IF(P112=1,A112-O111,"")</f>
        <v/>
      </c>
    </row>
    <row r="113" customFormat="false" ht="15" hidden="false" customHeight="false" outlineLevel="0" collapsed="false">
      <c r="A113" s="25" t="n">
        <v>46090</v>
      </c>
      <c r="B113" s="26" t="s">
        <v>79</v>
      </c>
      <c r="C113" s="27" t="n">
        <v>8872.5</v>
      </c>
      <c r="D113" s="28" t="n">
        <f aca="false">C113/$T$1*100</f>
        <v>2.77265625</v>
      </c>
      <c r="E113" s="28" t="n">
        <f aca="false">E112+D113</f>
        <v>95.997734375</v>
      </c>
      <c r="F113" s="28" t="n">
        <f aca="false">MAX(0,MAX($E$2:E113))</f>
        <v>95.997734375</v>
      </c>
      <c r="G113" s="28" t="n">
        <f aca="false">E113-F113</f>
        <v>0</v>
      </c>
      <c r="H113" s="25" t="n">
        <f aca="false">IF(G113&gt;=-0.0000001,A113,H112)</f>
        <v>46090</v>
      </c>
      <c r="I113" s="29" t="n">
        <f aca="false">IF(AND(G113&gt;=-0.0000001,G112&lt;0),1,0)</f>
        <v>1</v>
      </c>
      <c r="J113" s="30" t="n">
        <f aca="false">IF(I113=1,A113-H112,"")</f>
        <v>7</v>
      </c>
      <c r="K113" s="27" t="n">
        <f aca="false">IF(B113="Wednesday",0,C113)</f>
        <v>8872.5</v>
      </c>
      <c r="L113" s="28" t="n">
        <f aca="false">L112+K113/$T$1*100</f>
        <v>109.479765625</v>
      </c>
      <c r="M113" s="28" t="n">
        <f aca="false">MAX(0,MAX($L$2:L113))</f>
        <v>109.479765625</v>
      </c>
      <c r="N113" s="28" t="n">
        <f aca="false">L113-M113</f>
        <v>0</v>
      </c>
      <c r="O113" s="25" t="n">
        <f aca="false">IF(N113&gt;=-0.0000001,A113,O112)</f>
        <v>46090</v>
      </c>
      <c r="P113" s="29" t="n">
        <f aca="false">IF(AND(N113&gt;=-0.0000001,N112&lt;0),1,0)</f>
        <v>1</v>
      </c>
      <c r="Q113" s="30" t="n">
        <f aca="false">IF(P113=1,A113-O112,"")</f>
        <v>7</v>
      </c>
    </row>
    <row r="114" customFormat="false" ht="15" hidden="false" customHeight="false" outlineLevel="0" collapsed="false">
      <c r="A114" s="25" t="n">
        <v>46091</v>
      </c>
      <c r="B114" s="26" t="s">
        <v>80</v>
      </c>
      <c r="C114" s="27" t="n">
        <v>9652.5</v>
      </c>
      <c r="D114" s="28" t="n">
        <f aca="false">C114/$T$1*100</f>
        <v>3.01640625</v>
      </c>
      <c r="E114" s="28" t="n">
        <f aca="false">E113+D114</f>
        <v>99.014140625</v>
      </c>
      <c r="F114" s="28" t="n">
        <f aca="false">MAX(0,MAX($E$2:E114))</f>
        <v>99.014140625</v>
      </c>
      <c r="G114" s="28" t="n">
        <f aca="false">E114-F114</f>
        <v>0</v>
      </c>
      <c r="H114" s="25" t="n">
        <f aca="false">IF(G114&gt;=-0.0000001,A114,H113)</f>
        <v>46091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9652.5</v>
      </c>
      <c r="L114" s="28" t="n">
        <f aca="false">L113+K114/$T$1*100</f>
        <v>112.496171875</v>
      </c>
      <c r="M114" s="28" t="n">
        <f aca="false">MAX(0,MAX($L$2:L114))</f>
        <v>112.496171875</v>
      </c>
      <c r="N114" s="28" t="n">
        <f aca="false">L114-M114</f>
        <v>0</v>
      </c>
      <c r="O114" s="25" t="n">
        <f aca="false">IF(N114&gt;=-0.0000001,A114,O113)</f>
        <v>46091</v>
      </c>
      <c r="P114" s="29" t="n">
        <f aca="false">IF(AND(N114&gt;=-0.0000001,N113&lt;0),1,0)</f>
        <v>0</v>
      </c>
      <c r="Q114" s="30" t="str">
        <f aca="false">IF(P114=1,A114-O113,"")</f>
        <v/>
      </c>
    </row>
    <row r="115" customFormat="false" ht="15" hidden="false" customHeight="false" outlineLevel="0" collapsed="false">
      <c r="A115" s="25" t="n">
        <v>46097</v>
      </c>
      <c r="B115" s="26" t="s">
        <v>79</v>
      </c>
      <c r="C115" s="27" t="n">
        <v>-14534</v>
      </c>
      <c r="D115" s="28" t="n">
        <f aca="false">C115/$T$1*100</f>
        <v>-4.541875</v>
      </c>
      <c r="E115" s="28" t="n">
        <f aca="false">E114+D115</f>
        <v>94.472265625</v>
      </c>
      <c r="F115" s="28" t="n">
        <f aca="false">MAX(0,MAX($E$2:E115))</f>
        <v>99.014140625</v>
      </c>
      <c r="G115" s="28" t="n">
        <f aca="false">E115-F115</f>
        <v>-4.541875</v>
      </c>
      <c r="H115" s="25" t="n">
        <f aca="false">IF(G115&gt;=-0.0000001,A115,H114)</f>
        <v>46091</v>
      </c>
      <c r="I115" s="29" t="n">
        <f aca="false">IF(AND(G115&gt;=-0.0000001,G114&lt;0),1,0)</f>
        <v>0</v>
      </c>
      <c r="J115" s="30" t="str">
        <f aca="false">IF(I115=1,A115-H114,"")</f>
        <v/>
      </c>
      <c r="K115" s="27" t="n">
        <f aca="false">IF(B115="Wednesday",0,C115)</f>
        <v>-14534</v>
      </c>
      <c r="L115" s="28" t="n">
        <f aca="false">L114+K115/$T$1*100</f>
        <v>107.954296875</v>
      </c>
      <c r="M115" s="28" t="n">
        <f aca="false">MAX(0,MAX($L$2:L115))</f>
        <v>112.496171875</v>
      </c>
      <c r="N115" s="28" t="n">
        <f aca="false">L115-M115</f>
        <v>-4.541875</v>
      </c>
      <c r="O115" s="25" t="n">
        <f aca="false">IF(N115&gt;=-0.0000001,A115,O114)</f>
        <v>46091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46098</v>
      </c>
      <c r="B116" s="26" t="s">
        <v>80</v>
      </c>
      <c r="C116" s="27" t="n">
        <v>-8151</v>
      </c>
      <c r="D116" s="28" t="n">
        <f aca="false">C116/$T$1*100</f>
        <v>-2.5471875</v>
      </c>
      <c r="E116" s="28" t="n">
        <f aca="false">E115+D116</f>
        <v>91.925078125</v>
      </c>
      <c r="F116" s="28" t="n">
        <f aca="false">MAX(0,MAX($E$2:E116))</f>
        <v>99.014140625</v>
      </c>
      <c r="G116" s="28" t="n">
        <f aca="false">E116-F116</f>
        <v>-7.08906250000001</v>
      </c>
      <c r="H116" s="25" t="n">
        <f aca="false">IF(G116&gt;=-0.0000001,A116,H115)</f>
        <v>46091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-8151</v>
      </c>
      <c r="L116" s="28" t="n">
        <f aca="false">L115+K116/$T$1*100</f>
        <v>105.407109375</v>
      </c>
      <c r="M116" s="28" t="n">
        <f aca="false">MAX(0,MAX($L$2:L116))</f>
        <v>112.496171875</v>
      </c>
      <c r="N116" s="28" t="n">
        <f aca="false">L116-M116</f>
        <v>-7.08906250000001</v>
      </c>
      <c r="O116" s="25" t="n">
        <f aca="false">IF(N116&gt;=-0.0000001,A116,O115)</f>
        <v>46091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46099</v>
      </c>
      <c r="B117" s="26" t="s">
        <v>81</v>
      </c>
      <c r="C117" s="27" t="n">
        <v>3705</v>
      </c>
      <c r="D117" s="28" t="n">
        <f aca="false">C117/$T$1*100</f>
        <v>1.1578125</v>
      </c>
      <c r="E117" s="28" t="n">
        <f aca="false">E116+D117</f>
        <v>93.082890625</v>
      </c>
      <c r="F117" s="28" t="n">
        <f aca="false">MAX(0,MAX($E$2:E117))</f>
        <v>99.014140625</v>
      </c>
      <c r="G117" s="28" t="n">
        <f aca="false">E117-F117</f>
        <v>-5.93125000000001</v>
      </c>
      <c r="H117" s="25" t="n">
        <f aca="false">IF(G117&gt;=-0.0000001,A117,H116)</f>
        <v>46091</v>
      </c>
      <c r="I117" s="29" t="n">
        <f aca="false">IF(AND(G117&gt;=-0.0000001,G116&lt;0),1,0)</f>
        <v>0</v>
      </c>
      <c r="J117" s="30" t="str">
        <f aca="false">IF(I117=1,A117-H116,"")</f>
        <v/>
      </c>
      <c r="K117" s="27" t="n">
        <f aca="false">IF(B117="Wednesday",0,C117)</f>
        <v>0</v>
      </c>
      <c r="L117" s="28" t="n">
        <f aca="false">L116+K117/$T$1*100</f>
        <v>105.407109375</v>
      </c>
      <c r="M117" s="28" t="n">
        <f aca="false">MAX(0,MAX($L$2:L117))</f>
        <v>112.496171875</v>
      </c>
      <c r="N117" s="28" t="n">
        <f aca="false">L117-M117</f>
        <v>-7.08906250000001</v>
      </c>
      <c r="O117" s="25" t="n">
        <f aca="false">IF(N117&gt;=-0.0000001,A117,O116)</f>
        <v>46091</v>
      </c>
      <c r="P117" s="29" t="n">
        <f aca="false">IF(AND(N117&gt;=-0.0000001,N116&lt;0),1,0)</f>
        <v>0</v>
      </c>
      <c r="Q117" s="30" t="str">
        <f aca="false">IF(P117=1,A117-O116,"")</f>
        <v/>
      </c>
    </row>
    <row r="118" customFormat="false" ht="15" hidden="false" customHeight="false" outlineLevel="0" collapsed="false">
      <c r="A118" s="25" t="n">
        <v>46104</v>
      </c>
      <c r="B118" s="26" t="s">
        <v>79</v>
      </c>
      <c r="C118" s="27" t="n">
        <v>5239</v>
      </c>
      <c r="D118" s="28" t="n">
        <f aca="false">C118/$T$1*100</f>
        <v>1.6371875</v>
      </c>
      <c r="E118" s="28" t="n">
        <f aca="false">E117+D118</f>
        <v>94.720078125</v>
      </c>
      <c r="F118" s="28" t="n">
        <f aca="false">MAX(0,MAX($E$2:E118))</f>
        <v>99.014140625</v>
      </c>
      <c r="G118" s="28" t="n">
        <f aca="false">E118-F118</f>
        <v>-4.29406250000001</v>
      </c>
      <c r="H118" s="25" t="n">
        <f aca="false">IF(G118&gt;=-0.0000001,A118,H117)</f>
        <v>46091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5239</v>
      </c>
      <c r="L118" s="28" t="n">
        <f aca="false">L117+K118/$T$1*100</f>
        <v>107.044296875</v>
      </c>
      <c r="M118" s="28" t="n">
        <f aca="false">MAX(0,MAX($L$2:L118))</f>
        <v>112.496171875</v>
      </c>
      <c r="N118" s="28" t="n">
        <f aca="false">L118-M118</f>
        <v>-5.45187500000002</v>
      </c>
      <c r="O118" s="25" t="n">
        <f aca="false">IF(N118&gt;=-0.0000001,A118,O117)</f>
        <v>46091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46105</v>
      </c>
      <c r="B119" s="26" t="s">
        <v>80</v>
      </c>
      <c r="C119" s="27" t="n">
        <v>-8814</v>
      </c>
      <c r="D119" s="28" t="n">
        <f aca="false">C119/$T$1*100</f>
        <v>-2.754375</v>
      </c>
      <c r="E119" s="28" t="n">
        <f aca="false">E118+D119</f>
        <v>91.965703125</v>
      </c>
      <c r="F119" s="28" t="n">
        <f aca="false">MAX(0,MAX($E$2:E119))</f>
        <v>99.014140625</v>
      </c>
      <c r="G119" s="28" t="n">
        <f aca="false">E119-F119</f>
        <v>-7.04843750000001</v>
      </c>
      <c r="H119" s="25" t="n">
        <f aca="false">IF(G119&gt;=-0.0000001,A119,H118)</f>
        <v>46091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-8814</v>
      </c>
      <c r="L119" s="28" t="n">
        <f aca="false">L118+K119/$T$1*100</f>
        <v>104.289921875</v>
      </c>
      <c r="M119" s="28" t="n">
        <f aca="false">MAX(0,MAX($L$2:L119))</f>
        <v>112.496171875</v>
      </c>
      <c r="N119" s="28" t="n">
        <f aca="false">L119-M119</f>
        <v>-8.20625000000001</v>
      </c>
      <c r="O119" s="25" t="n">
        <f aca="false">IF(N119&gt;=-0.0000001,A119,O118)</f>
        <v>46091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46118</v>
      </c>
      <c r="B120" s="26" t="s">
        <v>79</v>
      </c>
      <c r="C120" s="27" t="n">
        <v>-1131</v>
      </c>
      <c r="D120" s="28" t="n">
        <f aca="false">C120/$T$1*100</f>
        <v>-0.3534375</v>
      </c>
      <c r="E120" s="28" t="n">
        <f aca="false">E119+D120</f>
        <v>91.612265625</v>
      </c>
      <c r="F120" s="28" t="n">
        <f aca="false">MAX(0,MAX($E$2:E120))</f>
        <v>99.014140625</v>
      </c>
      <c r="G120" s="28" t="n">
        <f aca="false">E120-F120</f>
        <v>-7.401875</v>
      </c>
      <c r="H120" s="25" t="n">
        <f aca="false">IF(G120&gt;=-0.0000001,A120,H119)</f>
        <v>46091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-1131</v>
      </c>
      <c r="L120" s="28" t="n">
        <f aca="false">L119+K120/$T$1*100</f>
        <v>103.936484375</v>
      </c>
      <c r="M120" s="28" t="n">
        <f aca="false">MAX(0,MAX($L$2:L120))</f>
        <v>112.496171875</v>
      </c>
      <c r="N120" s="28" t="n">
        <f aca="false">L120-M120</f>
        <v>-8.55968750000001</v>
      </c>
      <c r="O120" s="25" t="n">
        <f aca="false">IF(N120&gt;=-0.0000001,A120,O119)</f>
        <v>46091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46119</v>
      </c>
      <c r="B121" s="26" t="s">
        <v>80</v>
      </c>
      <c r="C121" s="27" t="n">
        <v>-8940.75</v>
      </c>
      <c r="D121" s="28" t="n">
        <f aca="false">C121/$T$1*100</f>
        <v>-2.793984375</v>
      </c>
      <c r="E121" s="28" t="n">
        <f aca="false">E120+D121</f>
        <v>88.81828125</v>
      </c>
      <c r="F121" s="28" t="n">
        <f aca="false">MAX(0,MAX($E$2:E121))</f>
        <v>99.014140625</v>
      </c>
      <c r="G121" s="28" t="n">
        <f aca="false">E121-F121</f>
        <v>-10.195859375</v>
      </c>
      <c r="H121" s="25" t="n">
        <f aca="false">IF(G121&gt;=-0.0000001,A121,H120)</f>
        <v>46091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-8940.75</v>
      </c>
      <c r="L121" s="28" t="n">
        <f aca="false">L120+K121/$T$1*100</f>
        <v>101.1425</v>
      </c>
      <c r="M121" s="28" t="n">
        <f aca="false">MAX(0,MAX($L$2:L121))</f>
        <v>112.496171875</v>
      </c>
      <c r="N121" s="28" t="n">
        <f aca="false">L121-M121</f>
        <v>-11.353671875</v>
      </c>
      <c r="O121" s="25" t="n">
        <f aca="false">IF(N121&gt;=-0.0000001,A121,O120)</f>
        <v>46091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46120</v>
      </c>
      <c r="B122" s="26" t="s">
        <v>81</v>
      </c>
      <c r="C122" s="27" t="n">
        <v>893.75</v>
      </c>
      <c r="D122" s="28" t="n">
        <f aca="false">C122/$T$1*100</f>
        <v>0.279296875</v>
      </c>
      <c r="E122" s="28" t="n">
        <f aca="false">E121+D122</f>
        <v>89.097578125</v>
      </c>
      <c r="F122" s="28" t="n">
        <f aca="false">MAX(0,MAX($E$2:E122))</f>
        <v>99.014140625</v>
      </c>
      <c r="G122" s="28" t="n">
        <f aca="false">E122-F122</f>
        <v>-9.9165625</v>
      </c>
      <c r="H122" s="25" t="n">
        <f aca="false">IF(G122&gt;=-0.0000001,A122,H121)</f>
        <v>46091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0</v>
      </c>
      <c r="L122" s="28" t="n">
        <f aca="false">L121+K122/$T$1*100</f>
        <v>101.1425</v>
      </c>
      <c r="M122" s="28" t="n">
        <f aca="false">MAX(0,MAX($L$2:L122))</f>
        <v>112.496171875</v>
      </c>
      <c r="N122" s="28" t="n">
        <f aca="false">L122-M122</f>
        <v>-11.353671875</v>
      </c>
      <c r="O122" s="25" t="n">
        <f aca="false">IF(N122&gt;=-0.0000001,A122,O121)</f>
        <v>46091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46121</v>
      </c>
      <c r="B123" s="26" t="s">
        <v>82</v>
      </c>
      <c r="C123" s="27" t="n">
        <v>-14040</v>
      </c>
      <c r="D123" s="28" t="n">
        <f aca="false">C123/$T$1*100</f>
        <v>-4.3875</v>
      </c>
      <c r="E123" s="28" t="n">
        <f aca="false">E122+D123</f>
        <v>84.710078125</v>
      </c>
      <c r="F123" s="28" t="n">
        <f aca="false">MAX(0,MAX($E$2:E123))</f>
        <v>99.014140625</v>
      </c>
      <c r="G123" s="28" t="n">
        <f aca="false">E123-F123</f>
        <v>-14.3040625</v>
      </c>
      <c r="H123" s="25" t="n">
        <f aca="false">IF(G123&gt;=-0.0000001,A123,H122)</f>
        <v>46091</v>
      </c>
      <c r="I123" s="29" t="n">
        <f aca="false">IF(AND(G123&gt;=-0.0000001,G122&lt;0),1,0)</f>
        <v>0</v>
      </c>
      <c r="J123" s="30" t="str">
        <f aca="false">IF(I123=1,A123-H122,"")</f>
        <v/>
      </c>
      <c r="K123" s="27" t="n">
        <f aca="false">IF(B123="Wednesday",0,C123)</f>
        <v>-14040</v>
      </c>
      <c r="L123" s="28" t="n">
        <f aca="false">L122+K123/$T$1*100</f>
        <v>96.755</v>
      </c>
      <c r="M123" s="28" t="n">
        <f aca="false">MAX(0,MAX($L$2:L123))</f>
        <v>112.496171875</v>
      </c>
      <c r="N123" s="28" t="n">
        <f aca="false">L123-M123</f>
        <v>-15.741171875</v>
      </c>
      <c r="O123" s="25" t="n">
        <f aca="false">IF(N123&gt;=-0.0000001,A123,O122)</f>
        <v>46091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46122</v>
      </c>
      <c r="B124" s="26" t="s">
        <v>83</v>
      </c>
      <c r="C124" s="27" t="n">
        <v>2145</v>
      </c>
      <c r="D124" s="28" t="n">
        <f aca="false">C124/$T$1*100</f>
        <v>0.6703125</v>
      </c>
      <c r="E124" s="28" t="n">
        <f aca="false">E123+D124</f>
        <v>85.380390625</v>
      </c>
      <c r="F124" s="28" t="n">
        <f aca="false">MAX(0,MAX($E$2:E124))</f>
        <v>99.014140625</v>
      </c>
      <c r="G124" s="28" t="n">
        <f aca="false">E124-F124</f>
        <v>-13.63375</v>
      </c>
      <c r="H124" s="25" t="n">
        <f aca="false">IF(G124&gt;=-0.0000001,A124,H123)</f>
        <v>46091</v>
      </c>
      <c r="I124" s="29" t="n">
        <f aca="false">IF(AND(G124&gt;=-0.0000001,G123&lt;0),1,0)</f>
        <v>0</v>
      </c>
      <c r="J124" s="30" t="str">
        <f aca="false">IF(I124=1,A124-H123,"")</f>
        <v/>
      </c>
      <c r="K124" s="27" t="n">
        <f aca="false">IF(B124="Wednesday",0,C124)</f>
        <v>2145</v>
      </c>
      <c r="L124" s="28" t="n">
        <f aca="false">L123+K124/$T$1*100</f>
        <v>97.4253125</v>
      </c>
      <c r="M124" s="28" t="n">
        <f aca="false">MAX(0,MAX($L$2:L124))</f>
        <v>112.496171875</v>
      </c>
      <c r="N124" s="28" t="n">
        <f aca="false">L124-M124</f>
        <v>-15.070859375</v>
      </c>
      <c r="O124" s="25" t="n">
        <f aca="false">IF(N124&gt;=-0.0000001,A124,O123)</f>
        <v>46091</v>
      </c>
      <c r="P124" s="29" t="n">
        <f aca="false">IF(AND(N124&gt;=-0.0000001,N123&lt;0),1,0)</f>
        <v>0</v>
      </c>
      <c r="Q124" s="30" t="str">
        <f aca="false">IF(P124=1,A124-O123,"")</f>
        <v/>
      </c>
    </row>
    <row r="125" customFormat="false" ht="15" hidden="false" customHeight="false" outlineLevel="0" collapsed="false">
      <c r="A125" s="25" t="n">
        <v>46125</v>
      </c>
      <c r="B125" s="26" t="s">
        <v>79</v>
      </c>
      <c r="C125" s="27" t="n">
        <v>-5739.5</v>
      </c>
      <c r="D125" s="28" t="n">
        <f aca="false">C125/$T$1*100</f>
        <v>-1.79359375</v>
      </c>
      <c r="E125" s="28" t="n">
        <f aca="false">E124+D125</f>
        <v>83.586796875</v>
      </c>
      <c r="F125" s="28" t="n">
        <f aca="false">MAX(0,MAX($E$2:E125))</f>
        <v>99.014140625</v>
      </c>
      <c r="G125" s="28" t="n">
        <f aca="false">E125-F125</f>
        <v>-15.42734375</v>
      </c>
      <c r="H125" s="25" t="n">
        <f aca="false">IF(G125&gt;=-0.0000001,A125,H124)</f>
        <v>46091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-5739.5</v>
      </c>
      <c r="L125" s="28" t="n">
        <f aca="false">L124+K125/$T$1*100</f>
        <v>95.63171875</v>
      </c>
      <c r="M125" s="28" t="n">
        <f aca="false">MAX(0,MAX($L$2:L125))</f>
        <v>112.496171875</v>
      </c>
      <c r="N125" s="28" t="n">
        <f aca="false">L125-M125</f>
        <v>-16.864453125</v>
      </c>
      <c r="O125" s="25" t="n">
        <f aca="false">IF(N125&gt;=-0.0000001,A125,O124)</f>
        <v>46091</v>
      </c>
      <c r="P125" s="29" t="n">
        <f aca="false">IF(AND(N125&gt;=-0.0000001,N124&lt;0),1,0)</f>
        <v>0</v>
      </c>
      <c r="Q125" s="30" t="str">
        <f aca="false">IF(P125=1,A125-O124,"")</f>
        <v/>
      </c>
    </row>
    <row r="126" customFormat="false" ht="15" hidden="false" customHeight="false" outlineLevel="0" collapsed="false">
      <c r="A126" s="25" t="n">
        <v>46128</v>
      </c>
      <c r="B126" s="26" t="s">
        <v>82</v>
      </c>
      <c r="C126" s="27" t="n">
        <v>8287.5</v>
      </c>
      <c r="D126" s="28" t="n">
        <f aca="false">C126/$T$1*100</f>
        <v>2.58984375</v>
      </c>
      <c r="E126" s="28" t="n">
        <f aca="false">E125+D126</f>
        <v>86.176640625</v>
      </c>
      <c r="F126" s="28" t="n">
        <f aca="false">MAX(0,MAX($E$2:E126))</f>
        <v>99.014140625</v>
      </c>
      <c r="G126" s="28" t="n">
        <f aca="false">E126-F126</f>
        <v>-12.8375</v>
      </c>
      <c r="H126" s="25" t="n">
        <f aca="false">IF(G126&gt;=-0.0000001,A126,H125)</f>
        <v>46091</v>
      </c>
      <c r="I126" s="29" t="n">
        <f aca="false">IF(AND(G126&gt;=-0.0000001,G125&lt;0),1,0)</f>
        <v>0</v>
      </c>
      <c r="J126" s="30" t="str">
        <f aca="false">IF(I126=1,A126-H125,"")</f>
        <v/>
      </c>
      <c r="K126" s="27" t="n">
        <f aca="false">IF(B126="Wednesday",0,C126)</f>
        <v>8287.5</v>
      </c>
      <c r="L126" s="28" t="n">
        <f aca="false">L125+K126/$T$1*100</f>
        <v>98.2215625</v>
      </c>
      <c r="M126" s="28" t="n">
        <f aca="false">MAX(0,MAX($L$2:L126))</f>
        <v>112.496171875</v>
      </c>
      <c r="N126" s="28" t="n">
        <f aca="false">L126-M126</f>
        <v>-14.274609375</v>
      </c>
      <c r="O126" s="25" t="n">
        <f aca="false">IF(N126&gt;=-0.0000001,A126,O125)</f>
        <v>46091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46129</v>
      </c>
      <c r="B127" s="26" t="s">
        <v>83</v>
      </c>
      <c r="C127" s="27" t="n">
        <v>6873.75</v>
      </c>
      <c r="D127" s="28" t="n">
        <f aca="false">C127/$T$1*100</f>
        <v>2.148046875</v>
      </c>
      <c r="E127" s="28" t="n">
        <f aca="false">E126+D127</f>
        <v>88.3246875</v>
      </c>
      <c r="F127" s="28" t="n">
        <f aca="false">MAX(0,MAX($E$2:E127))</f>
        <v>99.014140625</v>
      </c>
      <c r="G127" s="28" t="n">
        <f aca="false">E127-F127</f>
        <v>-10.689453125</v>
      </c>
      <c r="H127" s="25" t="n">
        <f aca="false">IF(G127&gt;=-0.0000001,A127,H126)</f>
        <v>46091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6873.75</v>
      </c>
      <c r="L127" s="28" t="n">
        <f aca="false">L126+K127/$T$1*100</f>
        <v>100.369609375</v>
      </c>
      <c r="M127" s="28" t="n">
        <f aca="false">MAX(0,MAX($L$2:L127))</f>
        <v>112.496171875</v>
      </c>
      <c r="N127" s="28" t="n">
        <f aca="false">L127-M127</f>
        <v>-12.1265625</v>
      </c>
      <c r="O127" s="25" t="n">
        <f aca="false">IF(N127&gt;=-0.0000001,A127,O126)</f>
        <v>46091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46132</v>
      </c>
      <c r="B128" s="26" t="s">
        <v>79</v>
      </c>
      <c r="C128" s="27" t="n">
        <v>2600</v>
      </c>
      <c r="D128" s="28" t="n">
        <f aca="false">C128/$T$1*100</f>
        <v>0.8125</v>
      </c>
      <c r="E128" s="28" t="n">
        <f aca="false">E127+D128</f>
        <v>89.1371875</v>
      </c>
      <c r="F128" s="28" t="n">
        <f aca="false">MAX(0,MAX($E$2:E128))</f>
        <v>99.014140625</v>
      </c>
      <c r="G128" s="28" t="n">
        <f aca="false">E128-F128</f>
        <v>-9.876953125</v>
      </c>
      <c r="H128" s="25" t="n">
        <f aca="false">IF(G128&gt;=-0.0000001,A128,H127)</f>
        <v>46091</v>
      </c>
      <c r="I128" s="29" t="n">
        <f aca="false">IF(AND(G128&gt;=-0.0000001,G127&lt;0),1,0)</f>
        <v>0</v>
      </c>
      <c r="J128" s="30" t="str">
        <f aca="false">IF(I128=1,A128-H127,"")</f>
        <v/>
      </c>
      <c r="K128" s="27" t="n">
        <f aca="false">IF(B128="Wednesday",0,C128)</f>
        <v>2600</v>
      </c>
      <c r="L128" s="28" t="n">
        <f aca="false">L127+K128/$T$1*100</f>
        <v>101.182109375</v>
      </c>
      <c r="M128" s="28" t="n">
        <f aca="false">MAX(0,MAX($L$2:L128))</f>
        <v>112.496171875</v>
      </c>
      <c r="N128" s="28" t="n">
        <f aca="false">L128-M128</f>
        <v>-11.3140625</v>
      </c>
      <c r="O128" s="25" t="n">
        <f aca="false">IF(N128&gt;=-0.0000001,A128,O127)</f>
        <v>46091</v>
      </c>
      <c r="P128" s="29" t="n">
        <f aca="false">IF(AND(N128&gt;=-0.0000001,N127&lt;0),1,0)</f>
        <v>0</v>
      </c>
      <c r="Q128" s="30" t="str">
        <f aca="false">IF(P128=1,A128-O127,"")</f>
        <v/>
      </c>
    </row>
    <row r="129" customFormat="false" ht="15" hidden="false" customHeight="false" outlineLevel="0" collapsed="false">
      <c r="A129" s="25" t="n">
        <v>46134</v>
      </c>
      <c r="B129" s="26" t="s">
        <v>81</v>
      </c>
      <c r="C129" s="27" t="n">
        <v>633.75</v>
      </c>
      <c r="D129" s="28" t="n">
        <f aca="false">C129/$T$1*100</f>
        <v>0.198046875</v>
      </c>
      <c r="E129" s="28" t="n">
        <f aca="false">E128+D129</f>
        <v>89.335234375</v>
      </c>
      <c r="F129" s="28" t="n">
        <f aca="false">MAX(0,MAX($E$2:E129))</f>
        <v>99.014140625</v>
      </c>
      <c r="G129" s="28" t="n">
        <f aca="false">E129-F129</f>
        <v>-9.67890625</v>
      </c>
      <c r="H129" s="25" t="n">
        <f aca="false">IF(G129&gt;=-0.0000001,A129,H128)</f>
        <v>46091</v>
      </c>
      <c r="I129" s="29" t="n">
        <f aca="false">IF(AND(G129&gt;=-0.0000001,G128&lt;0),1,0)</f>
        <v>0</v>
      </c>
      <c r="J129" s="30" t="str">
        <f aca="false">IF(I129=1,A129-H128,"")</f>
        <v/>
      </c>
      <c r="K129" s="27" t="n">
        <f aca="false">IF(B129="Wednesday",0,C129)</f>
        <v>0</v>
      </c>
      <c r="L129" s="28" t="n">
        <f aca="false">L128+K129/$T$1*100</f>
        <v>101.182109375</v>
      </c>
      <c r="M129" s="28" t="n">
        <f aca="false">MAX(0,MAX($L$2:L129))</f>
        <v>112.496171875</v>
      </c>
      <c r="N129" s="28" t="n">
        <f aca="false">L129-M129</f>
        <v>-11.3140625</v>
      </c>
      <c r="O129" s="25" t="n">
        <f aca="false">IF(N129&gt;=-0.0000001,A129,O128)</f>
        <v>46091</v>
      </c>
      <c r="P129" s="29" t="n">
        <f aca="false">IF(AND(N129&gt;=-0.0000001,N128&lt;0),1,0)</f>
        <v>0</v>
      </c>
      <c r="Q129" s="30" t="str">
        <f aca="false">IF(P129=1,A129-O128,"")</f>
        <v/>
      </c>
    </row>
    <row r="130" customFormat="false" ht="15" hidden="false" customHeight="false" outlineLevel="0" collapsed="false">
      <c r="A130" s="25" t="n">
        <v>46135</v>
      </c>
      <c r="B130" s="26" t="s">
        <v>82</v>
      </c>
      <c r="C130" s="27" t="n">
        <v>12512.5</v>
      </c>
      <c r="D130" s="28" t="n">
        <f aca="false">C130/$T$1*100</f>
        <v>3.91015625</v>
      </c>
      <c r="E130" s="28" t="n">
        <f aca="false">E129+D130</f>
        <v>93.245390625</v>
      </c>
      <c r="F130" s="28" t="n">
        <f aca="false">MAX(0,MAX($E$2:E130))</f>
        <v>99.014140625</v>
      </c>
      <c r="G130" s="28" t="n">
        <f aca="false">E130-F130</f>
        <v>-5.76875</v>
      </c>
      <c r="H130" s="25" t="n">
        <f aca="false">IF(G130&gt;=-0.0000001,A130,H129)</f>
        <v>46091</v>
      </c>
      <c r="I130" s="29" t="n">
        <f aca="false">IF(AND(G130&gt;=-0.0000001,G129&lt;0),1,0)</f>
        <v>0</v>
      </c>
      <c r="J130" s="30" t="str">
        <f aca="false">IF(I130=1,A130-H129,"")</f>
        <v/>
      </c>
      <c r="K130" s="27" t="n">
        <f aca="false">IF(B130="Wednesday",0,C130)</f>
        <v>12512.5</v>
      </c>
      <c r="L130" s="28" t="n">
        <f aca="false">L129+K130/$T$1*100</f>
        <v>105.092265625</v>
      </c>
      <c r="M130" s="28" t="n">
        <f aca="false">MAX(0,MAX($L$2:L130))</f>
        <v>112.496171875</v>
      </c>
      <c r="N130" s="28" t="n">
        <f aca="false">L130-M130</f>
        <v>-7.40390625000001</v>
      </c>
      <c r="O130" s="25" t="n">
        <f aca="false">IF(N130&gt;=-0.0000001,A130,O129)</f>
        <v>46091</v>
      </c>
      <c r="P130" s="29" t="n">
        <f aca="false">IF(AND(N130&gt;=-0.0000001,N129&lt;0),1,0)</f>
        <v>0</v>
      </c>
      <c r="Q130" s="30" t="str">
        <f aca="false">IF(P130=1,A130-O129,"")</f>
        <v/>
      </c>
    </row>
    <row r="131" customFormat="false" ht="15" hidden="false" customHeight="false" outlineLevel="0" collapsed="false">
      <c r="A131" s="25" t="n">
        <v>46136</v>
      </c>
      <c r="B131" s="26" t="s">
        <v>83</v>
      </c>
      <c r="C131" s="27" t="n">
        <v>7751.25</v>
      </c>
      <c r="D131" s="28" t="n">
        <f aca="false">C131/$T$1*100</f>
        <v>2.422265625</v>
      </c>
      <c r="E131" s="28" t="n">
        <f aca="false">E130+D131</f>
        <v>95.66765625</v>
      </c>
      <c r="F131" s="28" t="n">
        <f aca="false">MAX(0,MAX($E$2:E131))</f>
        <v>99.014140625</v>
      </c>
      <c r="G131" s="28" t="n">
        <f aca="false">E131-F131</f>
        <v>-3.346484375</v>
      </c>
      <c r="H131" s="25" t="n">
        <f aca="false">IF(G131&gt;=-0.0000001,A131,H130)</f>
        <v>46091</v>
      </c>
      <c r="I131" s="29" t="n">
        <f aca="false">IF(AND(G131&gt;=-0.0000001,G130&lt;0),1,0)</f>
        <v>0</v>
      </c>
      <c r="J131" s="30" t="str">
        <f aca="false">IF(I131=1,A131-H130,"")</f>
        <v/>
      </c>
      <c r="K131" s="27" t="n">
        <f aca="false">IF(B131="Wednesday",0,C131)</f>
        <v>7751.25</v>
      </c>
      <c r="L131" s="28" t="n">
        <f aca="false">L130+K131/$T$1*100</f>
        <v>107.51453125</v>
      </c>
      <c r="M131" s="28" t="n">
        <f aca="false">MAX(0,MAX($L$2:L131))</f>
        <v>112.496171875</v>
      </c>
      <c r="N131" s="28" t="n">
        <f aca="false">L131-M131</f>
        <v>-4.98164062500001</v>
      </c>
      <c r="O131" s="25" t="n">
        <f aca="false">IF(N131&gt;=-0.0000001,A131,O130)</f>
        <v>46091</v>
      </c>
      <c r="P131" s="29" t="n">
        <f aca="false">IF(AND(N131&gt;=-0.0000001,N130&lt;0),1,0)</f>
        <v>0</v>
      </c>
      <c r="Q131" s="30" t="str">
        <f aca="false">IF(P131=1,A131-O130,"")</f>
        <v/>
      </c>
    </row>
    <row r="132" customFormat="false" ht="15" hidden="false" customHeight="false" outlineLevel="0" collapsed="false">
      <c r="A132" s="25" t="n">
        <v>46139</v>
      </c>
      <c r="B132" s="26" t="s">
        <v>79</v>
      </c>
      <c r="C132" s="27" t="n">
        <v>1313</v>
      </c>
      <c r="D132" s="28" t="n">
        <f aca="false">C132/$T$1*100</f>
        <v>0.4103125</v>
      </c>
      <c r="E132" s="28" t="n">
        <f aca="false">E131+D132</f>
        <v>96.07796875</v>
      </c>
      <c r="F132" s="28" t="n">
        <f aca="false">MAX(0,MAX($E$2:E132))</f>
        <v>99.014140625</v>
      </c>
      <c r="G132" s="28" t="n">
        <f aca="false">E132-F132</f>
        <v>-2.936171875</v>
      </c>
      <c r="H132" s="25" t="n">
        <f aca="false">IF(G132&gt;=-0.0000001,A132,H131)</f>
        <v>46091</v>
      </c>
      <c r="I132" s="29" t="n">
        <f aca="false">IF(AND(G132&gt;=-0.0000001,G131&lt;0),1,0)</f>
        <v>0</v>
      </c>
      <c r="J132" s="30" t="str">
        <f aca="false">IF(I132=1,A132-H131,"")</f>
        <v/>
      </c>
      <c r="K132" s="27" t="n">
        <f aca="false">IF(B132="Wednesday",0,C132)</f>
        <v>1313</v>
      </c>
      <c r="L132" s="28" t="n">
        <f aca="false">L131+K132/$T$1*100</f>
        <v>107.92484375</v>
      </c>
      <c r="M132" s="28" t="n">
        <f aca="false">MAX(0,MAX($L$2:L132))</f>
        <v>112.496171875</v>
      </c>
      <c r="N132" s="28" t="n">
        <f aca="false">L132-M132</f>
        <v>-4.57132812500001</v>
      </c>
      <c r="O132" s="25" t="n">
        <f aca="false">IF(N132&gt;=-0.0000001,A132,O131)</f>
        <v>46091</v>
      </c>
      <c r="P132" s="29" t="n">
        <f aca="false">IF(AND(N132&gt;=-0.0000001,N131&lt;0),1,0)</f>
        <v>0</v>
      </c>
      <c r="Q132" s="30" t="str">
        <f aca="false">IF(P132=1,A132-O131,"")</f>
        <v/>
      </c>
    </row>
    <row r="133" customFormat="false" ht="15" hidden="false" customHeight="false" outlineLevel="0" collapsed="false">
      <c r="A133" s="25" t="n">
        <v>46140</v>
      </c>
      <c r="B133" s="26" t="s">
        <v>80</v>
      </c>
      <c r="C133" s="27" t="n">
        <v>6279</v>
      </c>
      <c r="D133" s="28" t="n">
        <f aca="false">C133/$T$1*100</f>
        <v>1.9621875</v>
      </c>
      <c r="E133" s="28" t="n">
        <f aca="false">E132+D133</f>
        <v>98.04015625</v>
      </c>
      <c r="F133" s="28" t="n">
        <f aca="false">MAX(0,MAX($E$2:E133))</f>
        <v>99.014140625</v>
      </c>
      <c r="G133" s="28" t="n">
        <f aca="false">E133-F133</f>
        <v>-0.973984375000001</v>
      </c>
      <c r="H133" s="25" t="n">
        <f aca="false">IF(G133&gt;=-0.0000001,A133,H132)</f>
        <v>46091</v>
      </c>
      <c r="I133" s="29" t="n">
        <f aca="false">IF(AND(G133&gt;=-0.0000001,G132&lt;0),1,0)</f>
        <v>0</v>
      </c>
      <c r="J133" s="30" t="str">
        <f aca="false">IF(I133=1,A133-H132,"")</f>
        <v/>
      </c>
      <c r="K133" s="27" t="n">
        <f aca="false">IF(B133="Wednesday",0,C133)</f>
        <v>6279</v>
      </c>
      <c r="L133" s="28" t="n">
        <f aca="false">L132+K133/$T$1*100</f>
        <v>109.88703125</v>
      </c>
      <c r="M133" s="28" t="n">
        <f aca="false">MAX(0,MAX($L$2:L133))</f>
        <v>112.496171875</v>
      </c>
      <c r="N133" s="28" t="n">
        <f aca="false">L133-M133</f>
        <v>-2.60914062500001</v>
      </c>
      <c r="O133" s="25" t="n">
        <f aca="false">IF(N133&gt;=-0.0000001,A133,O132)</f>
        <v>46091</v>
      </c>
      <c r="P133" s="29" t="n">
        <f aca="false">IF(AND(N133&gt;=-0.0000001,N132&lt;0),1,0)</f>
        <v>0</v>
      </c>
      <c r="Q133" s="30" t="str">
        <f aca="false">IF(P133=1,A133-O132,"")</f>
        <v/>
      </c>
    </row>
    <row r="134" customFormat="false" ht="15" hidden="false" customHeight="false" outlineLevel="0" collapsed="false">
      <c r="A134" s="25" t="n">
        <v>46141</v>
      </c>
      <c r="B134" s="26" t="s">
        <v>81</v>
      </c>
      <c r="C134" s="27" t="n">
        <v>-6906.25</v>
      </c>
      <c r="D134" s="28" t="n">
        <f aca="false">C134/$T$1*100</f>
        <v>-2.158203125</v>
      </c>
      <c r="E134" s="28" t="n">
        <f aca="false">E133+D134</f>
        <v>95.881953125</v>
      </c>
      <c r="F134" s="28" t="n">
        <f aca="false">MAX(0,MAX($E$2:E134))</f>
        <v>99.014140625</v>
      </c>
      <c r="G134" s="28" t="n">
        <f aca="false">E134-F134</f>
        <v>-3.1321875</v>
      </c>
      <c r="H134" s="25" t="n">
        <f aca="false">IF(G134&gt;=-0.0000001,A134,H133)</f>
        <v>46091</v>
      </c>
      <c r="I134" s="29" t="n">
        <f aca="false">IF(AND(G134&gt;=-0.0000001,G133&lt;0),1,0)</f>
        <v>0</v>
      </c>
      <c r="J134" s="30" t="str">
        <f aca="false">IF(I134=1,A134-H133,"")</f>
        <v/>
      </c>
      <c r="K134" s="27" t="n">
        <f aca="false">IF(B134="Wednesday",0,C134)</f>
        <v>0</v>
      </c>
      <c r="L134" s="28" t="n">
        <f aca="false">L133+K134/$T$1*100</f>
        <v>109.88703125</v>
      </c>
      <c r="M134" s="28" t="n">
        <f aca="false">MAX(0,MAX($L$2:L134))</f>
        <v>112.496171875</v>
      </c>
      <c r="N134" s="28" t="n">
        <f aca="false">L134-M134</f>
        <v>-2.60914062500001</v>
      </c>
      <c r="O134" s="25" t="n">
        <f aca="false">IF(N134&gt;=-0.0000001,A134,O133)</f>
        <v>46091</v>
      </c>
      <c r="P134" s="29" t="n">
        <f aca="false">IF(AND(N134&gt;=-0.0000001,N133&lt;0),1,0)</f>
        <v>0</v>
      </c>
      <c r="Q134" s="30" t="str">
        <f aca="false">IF(P134=1,A134-O133,"")</f>
        <v/>
      </c>
    </row>
    <row r="135" customFormat="false" ht="15" hidden="false" customHeight="false" outlineLevel="0" collapsed="false">
      <c r="A135" s="25" t="n">
        <v>46142</v>
      </c>
      <c r="B135" s="26" t="s">
        <v>82</v>
      </c>
      <c r="C135" s="27" t="n">
        <v>20410</v>
      </c>
      <c r="D135" s="28" t="n">
        <f aca="false">C135/$T$1*100</f>
        <v>6.378125</v>
      </c>
      <c r="E135" s="28" t="n">
        <f aca="false">E134+D135</f>
        <v>102.260078125</v>
      </c>
      <c r="F135" s="28" t="n">
        <f aca="false">MAX(0,MAX($E$2:E135))</f>
        <v>102.260078125</v>
      </c>
      <c r="G135" s="28" t="n">
        <f aca="false">E135-F135</f>
        <v>0</v>
      </c>
      <c r="H135" s="25" t="n">
        <f aca="false">IF(G135&gt;=-0.0000001,A135,H134)</f>
        <v>46142</v>
      </c>
      <c r="I135" s="29" t="n">
        <f aca="false">IF(AND(G135&gt;=-0.0000001,G134&lt;0),1,0)</f>
        <v>1</v>
      </c>
      <c r="J135" s="30" t="n">
        <f aca="false">IF(I135=1,A135-H134,"")</f>
        <v>51</v>
      </c>
      <c r="K135" s="27" t="n">
        <f aca="false">IF(B135="Wednesday",0,C135)</f>
        <v>20410</v>
      </c>
      <c r="L135" s="28" t="n">
        <f aca="false">L134+K135/$T$1*100</f>
        <v>116.26515625</v>
      </c>
      <c r="M135" s="28" t="n">
        <f aca="false">MAX(0,MAX($L$2:L135))</f>
        <v>116.26515625</v>
      </c>
      <c r="N135" s="28" t="n">
        <f aca="false">L135-M135</f>
        <v>0</v>
      </c>
      <c r="O135" s="25" t="n">
        <f aca="false">IF(N135&gt;=-0.0000001,A135,O134)</f>
        <v>46142</v>
      </c>
      <c r="P135" s="29" t="n">
        <f aca="false">IF(AND(N135&gt;=-0.0000001,N134&lt;0),1,0)</f>
        <v>1</v>
      </c>
      <c r="Q135" s="30" t="n">
        <f aca="false">IF(P135=1,A135-O134,"")</f>
        <v>51</v>
      </c>
    </row>
    <row r="136" customFormat="false" ht="15" hidden="false" customHeight="false" outlineLevel="0" collapsed="false">
      <c r="A136" s="25" t="n">
        <v>46146</v>
      </c>
      <c r="B136" s="26" t="s">
        <v>79</v>
      </c>
      <c r="C136" s="27" t="n">
        <v>11583</v>
      </c>
      <c r="D136" s="28" t="n">
        <f aca="false">C136/$T$1*100</f>
        <v>3.6196875</v>
      </c>
      <c r="E136" s="28" t="n">
        <f aca="false">E135+D136</f>
        <v>105.879765625</v>
      </c>
      <c r="F136" s="28" t="n">
        <f aca="false">MAX(0,MAX($E$2:E136))</f>
        <v>105.879765625</v>
      </c>
      <c r="G136" s="28" t="n">
        <f aca="false">E136-F136</f>
        <v>0</v>
      </c>
      <c r="H136" s="25" t="n">
        <f aca="false">IF(G136&gt;=-0.0000001,A136,H135)</f>
        <v>46146</v>
      </c>
      <c r="I136" s="29" t="n">
        <f aca="false">IF(AND(G136&gt;=-0.0000001,G135&lt;0),1,0)</f>
        <v>0</v>
      </c>
      <c r="J136" s="30" t="str">
        <f aca="false">IF(I136=1,A136-H135,"")</f>
        <v/>
      </c>
      <c r="K136" s="27" t="n">
        <f aca="false">IF(B136="Wednesday",0,C136)</f>
        <v>11583</v>
      </c>
      <c r="L136" s="28" t="n">
        <f aca="false">L135+K136/$T$1*100</f>
        <v>119.88484375</v>
      </c>
      <c r="M136" s="28" t="n">
        <f aca="false">MAX(0,MAX($L$2:L136))</f>
        <v>119.88484375</v>
      </c>
      <c r="N136" s="28" t="n">
        <f aca="false">L136-M136</f>
        <v>0</v>
      </c>
      <c r="O136" s="25" t="n">
        <f aca="false">IF(N136&gt;=-0.0000001,A136,O135)</f>
        <v>46146</v>
      </c>
      <c r="P136" s="29" t="n">
        <f aca="false">IF(AND(N136&gt;=-0.0000001,N135&lt;0),1,0)</f>
        <v>0</v>
      </c>
      <c r="Q136" s="30" t="str">
        <f aca="false">IF(P136=1,A136-O135,"")</f>
        <v/>
      </c>
    </row>
    <row r="137" customFormat="false" ht="15" hidden="false" customHeight="false" outlineLevel="0" collapsed="false">
      <c r="A137" s="25" t="n">
        <v>46147</v>
      </c>
      <c r="B137" s="26" t="s">
        <v>80</v>
      </c>
      <c r="C137" s="27" t="n">
        <v>5167.5</v>
      </c>
      <c r="D137" s="28" t="n">
        <f aca="false">C137/$T$1*100</f>
        <v>1.61484375</v>
      </c>
      <c r="E137" s="28" t="n">
        <f aca="false">E136+D137</f>
        <v>107.494609375</v>
      </c>
      <c r="F137" s="28" t="n">
        <f aca="false">MAX(0,MAX($E$2:E137))</f>
        <v>107.494609375</v>
      </c>
      <c r="G137" s="28" t="n">
        <f aca="false">E137-F137</f>
        <v>0</v>
      </c>
      <c r="H137" s="25" t="n">
        <f aca="false">IF(G137&gt;=-0.0000001,A137,H136)</f>
        <v>46147</v>
      </c>
      <c r="I137" s="29" t="n">
        <f aca="false">IF(AND(G137&gt;=-0.0000001,G136&lt;0),1,0)</f>
        <v>0</v>
      </c>
      <c r="J137" s="30" t="str">
        <f aca="false">IF(I137=1,A137-H136,"")</f>
        <v/>
      </c>
      <c r="K137" s="27" t="n">
        <f aca="false">IF(B137="Wednesday",0,C137)</f>
        <v>5167.5</v>
      </c>
      <c r="L137" s="28" t="n">
        <f aca="false">L136+K137/$T$1*100</f>
        <v>121.4996875</v>
      </c>
      <c r="M137" s="28" t="n">
        <f aca="false">MAX(0,MAX($L$2:L137))</f>
        <v>121.4996875</v>
      </c>
      <c r="N137" s="28" t="n">
        <f aca="false">L137-M137</f>
        <v>0</v>
      </c>
      <c r="O137" s="25" t="n">
        <f aca="false">IF(N137&gt;=-0.0000001,A137,O136)</f>
        <v>46147</v>
      </c>
      <c r="P137" s="29" t="n">
        <f aca="false">IF(AND(N137&gt;=-0.0000001,N136&lt;0),1,0)</f>
        <v>0</v>
      </c>
      <c r="Q137" s="30" t="str">
        <f aca="false">IF(P137=1,A137-O136,"")</f>
        <v/>
      </c>
    </row>
    <row r="138" customFormat="false" ht="15" hidden="false" customHeight="false" outlineLevel="0" collapsed="false">
      <c r="A138" s="25" t="n">
        <v>46148</v>
      </c>
      <c r="B138" s="26" t="s">
        <v>81</v>
      </c>
      <c r="C138" s="27" t="n">
        <v>13617.5</v>
      </c>
      <c r="D138" s="28" t="n">
        <f aca="false">C138/$T$1*100</f>
        <v>4.25546875</v>
      </c>
      <c r="E138" s="28" t="n">
        <f aca="false">E137+D138</f>
        <v>111.750078125</v>
      </c>
      <c r="F138" s="28" t="n">
        <f aca="false">MAX(0,MAX($E$2:E138))</f>
        <v>111.750078125</v>
      </c>
      <c r="G138" s="28" t="n">
        <f aca="false">E138-F138</f>
        <v>0</v>
      </c>
      <c r="H138" s="25" t="n">
        <f aca="false">IF(G138&gt;=-0.0000001,A138,H137)</f>
        <v>46148</v>
      </c>
      <c r="I138" s="29" t="n">
        <f aca="false">IF(AND(G138&gt;=-0.0000001,G137&lt;0),1,0)</f>
        <v>0</v>
      </c>
      <c r="J138" s="30" t="str">
        <f aca="false">IF(I138=1,A138-H137,"")</f>
        <v/>
      </c>
      <c r="K138" s="27" t="n">
        <f aca="false">IF(B138="Wednesday",0,C138)</f>
        <v>0</v>
      </c>
      <c r="L138" s="28" t="n">
        <f aca="false">L137+K138/$T$1*100</f>
        <v>121.4996875</v>
      </c>
      <c r="M138" s="28" t="n">
        <f aca="false">MAX(0,MAX($L$2:L138))</f>
        <v>121.4996875</v>
      </c>
      <c r="N138" s="28" t="n">
        <f aca="false">L138-M138</f>
        <v>0</v>
      </c>
      <c r="O138" s="25" t="n">
        <f aca="false">IF(N138&gt;=-0.0000001,A138,O137)</f>
        <v>46148</v>
      </c>
      <c r="P138" s="29" t="n">
        <f aca="false">IF(AND(N138&gt;=-0.0000001,N137&lt;0),1,0)</f>
        <v>0</v>
      </c>
      <c r="Q138" s="30" t="str">
        <f aca="false">IF(P138=1,A138-O137,"")</f>
        <v/>
      </c>
    </row>
    <row r="139" customFormat="false" ht="15" hidden="false" customHeight="false" outlineLevel="0" collapsed="false">
      <c r="A139" s="25" t="n">
        <v>46149</v>
      </c>
      <c r="B139" s="26" t="s">
        <v>82</v>
      </c>
      <c r="C139" s="27" t="n">
        <v>-422.5</v>
      </c>
      <c r="D139" s="28" t="n">
        <f aca="false">C139/$T$1*100</f>
        <v>-0.13203125</v>
      </c>
      <c r="E139" s="28" t="n">
        <f aca="false">E138+D139</f>
        <v>111.618046875</v>
      </c>
      <c r="F139" s="28" t="n">
        <f aca="false">MAX(0,MAX($E$2:E139))</f>
        <v>111.750078125</v>
      </c>
      <c r="G139" s="28" t="n">
        <f aca="false">E139-F139</f>
        <v>-0.132031249999997</v>
      </c>
      <c r="H139" s="25" t="n">
        <f aca="false">IF(G139&gt;=-0.0000001,A139,H138)</f>
        <v>46148</v>
      </c>
      <c r="I139" s="29" t="n">
        <f aca="false">IF(AND(G139&gt;=-0.0000001,G138&lt;0),1,0)</f>
        <v>0</v>
      </c>
      <c r="J139" s="30" t="str">
        <f aca="false">IF(I139=1,A139-H138,"")</f>
        <v/>
      </c>
      <c r="K139" s="27" t="n">
        <f aca="false">IF(B139="Wednesday",0,C139)</f>
        <v>-422.5</v>
      </c>
      <c r="L139" s="28" t="n">
        <f aca="false">L138+K139/$T$1*100</f>
        <v>121.36765625</v>
      </c>
      <c r="M139" s="28" t="n">
        <f aca="false">MAX(0,MAX($L$2:L139))</f>
        <v>121.4996875</v>
      </c>
      <c r="N139" s="28" t="n">
        <f aca="false">L139-M139</f>
        <v>-0.132031249999997</v>
      </c>
      <c r="O139" s="25" t="n">
        <f aca="false">IF(N139&gt;=-0.0000001,A139,O138)</f>
        <v>46148</v>
      </c>
      <c r="P139" s="29" t="n">
        <f aca="false">IF(AND(N139&gt;=-0.0000001,N138&lt;0),1,0)</f>
        <v>0</v>
      </c>
      <c r="Q139" s="30" t="str">
        <f aca="false">IF(P139=1,A139-O138,"")</f>
        <v/>
      </c>
    </row>
    <row r="140" customFormat="false" ht="15" hidden="false" customHeight="false" outlineLevel="0" collapsed="false">
      <c r="A140" s="25" t="n">
        <v>46150</v>
      </c>
      <c r="B140" s="26" t="s">
        <v>83</v>
      </c>
      <c r="C140" s="27" t="n">
        <v>2193.75</v>
      </c>
      <c r="D140" s="28" t="n">
        <f aca="false">C140/$T$1*100</f>
        <v>0.685546875</v>
      </c>
      <c r="E140" s="28" t="n">
        <f aca="false">E139+D140</f>
        <v>112.30359375</v>
      </c>
      <c r="F140" s="28" t="n">
        <f aca="false">MAX(0,MAX($E$2:E140))</f>
        <v>112.30359375</v>
      </c>
      <c r="G140" s="28" t="n">
        <f aca="false">E140-F140</f>
        <v>0</v>
      </c>
      <c r="H140" s="25" t="n">
        <f aca="false">IF(G140&gt;=-0.0000001,A140,H139)</f>
        <v>46150</v>
      </c>
      <c r="I140" s="29" t="n">
        <f aca="false">IF(AND(G140&gt;=-0.0000001,G139&lt;0),1,0)</f>
        <v>1</v>
      </c>
      <c r="J140" s="30" t="n">
        <f aca="false">IF(I140=1,A140-H139,"")</f>
        <v>2</v>
      </c>
      <c r="K140" s="27" t="n">
        <f aca="false">IF(B140="Wednesday",0,C140)</f>
        <v>2193.75</v>
      </c>
      <c r="L140" s="28" t="n">
        <f aca="false">L139+K140/$T$1*100</f>
        <v>122.053203125</v>
      </c>
      <c r="M140" s="28" t="n">
        <f aca="false">MAX(0,MAX($L$2:L140))</f>
        <v>122.053203125</v>
      </c>
      <c r="N140" s="28" t="n">
        <f aca="false">L140-M140</f>
        <v>0</v>
      </c>
      <c r="O140" s="25" t="n">
        <f aca="false">IF(N140&gt;=-0.0000001,A140,O139)</f>
        <v>46150</v>
      </c>
      <c r="P140" s="29" t="n">
        <f aca="false">IF(AND(N140&gt;=-0.0000001,N139&lt;0),1,0)</f>
        <v>1</v>
      </c>
      <c r="Q140" s="30" t="n">
        <f aca="false">IF(P140=1,A140-O139,"")</f>
        <v>2</v>
      </c>
    </row>
    <row r="141" customFormat="false" ht="15" hidden="false" customHeight="false" outlineLevel="0" collapsed="false">
      <c r="A141" s="25" t="n">
        <v>46153</v>
      </c>
      <c r="B141" s="26" t="s">
        <v>79</v>
      </c>
      <c r="C141" s="27" t="n">
        <v>-18746</v>
      </c>
      <c r="D141" s="28" t="n">
        <f aca="false">C141/$T$1*100</f>
        <v>-5.858125</v>
      </c>
      <c r="E141" s="28" t="n">
        <f aca="false">E140+D141</f>
        <v>106.44546875</v>
      </c>
      <c r="F141" s="28" t="n">
        <f aca="false">MAX(0,MAX($E$2:E141))</f>
        <v>112.30359375</v>
      </c>
      <c r="G141" s="28" t="n">
        <f aca="false">E141-F141</f>
        <v>-5.858125</v>
      </c>
      <c r="H141" s="25" t="n">
        <f aca="false">IF(G141&gt;=-0.0000001,A141,H140)</f>
        <v>46150</v>
      </c>
      <c r="I141" s="29" t="n">
        <f aca="false">IF(AND(G141&gt;=-0.0000001,G140&lt;0),1,0)</f>
        <v>0</v>
      </c>
      <c r="J141" s="30" t="str">
        <f aca="false">IF(I141=1,A141-H140,"")</f>
        <v/>
      </c>
      <c r="K141" s="27" t="n">
        <f aca="false">IF(B141="Wednesday",0,C141)</f>
        <v>-18746</v>
      </c>
      <c r="L141" s="28" t="n">
        <f aca="false">L140+K141/$T$1*100</f>
        <v>116.195078125</v>
      </c>
      <c r="M141" s="28" t="n">
        <f aca="false">MAX(0,MAX($L$2:L141))</f>
        <v>122.053203125</v>
      </c>
      <c r="N141" s="28" t="n">
        <f aca="false">L141-M141</f>
        <v>-5.858125</v>
      </c>
      <c r="O141" s="25" t="n">
        <f aca="false">IF(N141&gt;=-0.0000001,A141,O140)</f>
        <v>46150</v>
      </c>
      <c r="P141" s="29" t="n">
        <f aca="false">IF(AND(N141&gt;=-0.0000001,N140&lt;0),1,0)</f>
        <v>0</v>
      </c>
      <c r="Q141" s="30" t="str">
        <f aca="false">IF(P141=1,A141-O140,"")</f>
        <v/>
      </c>
    </row>
    <row r="142" customFormat="false" ht="15" hidden="false" customHeight="false" outlineLevel="0" collapsed="false">
      <c r="A142" s="25" t="n">
        <v>46154</v>
      </c>
      <c r="B142" s="26" t="s">
        <v>80</v>
      </c>
      <c r="C142" s="27" t="n">
        <v>-8443.5</v>
      </c>
      <c r="D142" s="28" t="n">
        <f aca="false">C142/$T$1*100</f>
        <v>-2.63859375</v>
      </c>
      <c r="E142" s="28" t="n">
        <f aca="false">E141+D142</f>
        <v>103.806875</v>
      </c>
      <c r="F142" s="28" t="n">
        <f aca="false">MAX(0,MAX($E$2:E142))</f>
        <v>112.30359375</v>
      </c>
      <c r="G142" s="28" t="n">
        <f aca="false">E142-F142</f>
        <v>-8.49671875</v>
      </c>
      <c r="H142" s="25" t="n">
        <f aca="false">IF(G142&gt;=-0.0000001,A142,H141)</f>
        <v>46150</v>
      </c>
      <c r="I142" s="29" t="n">
        <f aca="false">IF(AND(G142&gt;=-0.0000001,G141&lt;0),1,0)</f>
        <v>0</v>
      </c>
      <c r="J142" s="30" t="str">
        <f aca="false">IF(I142=1,A142-H141,"")</f>
        <v/>
      </c>
      <c r="K142" s="27" t="n">
        <f aca="false">IF(B142="Wednesday",0,C142)</f>
        <v>-8443.5</v>
      </c>
      <c r="L142" s="28" t="n">
        <f aca="false">L141+K142/$T$1*100</f>
        <v>113.556484375</v>
      </c>
      <c r="M142" s="28" t="n">
        <f aca="false">MAX(0,MAX($L$2:L142))</f>
        <v>122.053203125</v>
      </c>
      <c r="N142" s="28" t="n">
        <f aca="false">L142-M142</f>
        <v>-8.49671875</v>
      </c>
      <c r="O142" s="25" t="n">
        <f aca="false">IF(N142&gt;=-0.0000001,A142,O141)</f>
        <v>46150</v>
      </c>
      <c r="P142" s="29" t="n">
        <f aca="false">IF(AND(N142&gt;=-0.0000001,N141&lt;0),1,0)</f>
        <v>0</v>
      </c>
      <c r="Q142" s="30" t="str">
        <f aca="false">IF(P142=1,A142-O141,"")</f>
        <v/>
      </c>
    </row>
    <row r="143" customFormat="false" ht="15" hidden="false" customHeight="false" outlineLevel="0" collapsed="false">
      <c r="A143" s="25" t="n">
        <v>46155</v>
      </c>
      <c r="B143" s="26" t="s">
        <v>81</v>
      </c>
      <c r="C143" s="27" t="n">
        <v>-698.75</v>
      </c>
      <c r="D143" s="28" t="n">
        <f aca="false">C143/$T$1*100</f>
        <v>-0.218359375</v>
      </c>
      <c r="E143" s="28" t="n">
        <f aca="false">E142+D143</f>
        <v>103.588515625</v>
      </c>
      <c r="F143" s="28" t="n">
        <f aca="false">MAX(0,MAX($E$2:E143))</f>
        <v>112.30359375</v>
      </c>
      <c r="G143" s="28" t="n">
        <f aca="false">E143-F143</f>
        <v>-8.71507812500001</v>
      </c>
      <c r="H143" s="25" t="n">
        <f aca="false">IF(G143&gt;=-0.0000001,A143,H142)</f>
        <v>46150</v>
      </c>
      <c r="I143" s="29" t="n">
        <f aca="false">IF(AND(G143&gt;=-0.0000001,G142&lt;0),1,0)</f>
        <v>0</v>
      </c>
      <c r="J143" s="30" t="str">
        <f aca="false">IF(I143=1,A143-H142,"")</f>
        <v/>
      </c>
      <c r="K143" s="27" t="n">
        <f aca="false">IF(B143="Wednesday",0,C143)</f>
        <v>0</v>
      </c>
      <c r="L143" s="28" t="n">
        <f aca="false">L142+K143/$T$1*100</f>
        <v>113.556484375</v>
      </c>
      <c r="M143" s="28" t="n">
        <f aca="false">MAX(0,MAX($L$2:L143))</f>
        <v>122.053203125</v>
      </c>
      <c r="N143" s="28" t="n">
        <f aca="false">L143-M143</f>
        <v>-8.49671875</v>
      </c>
      <c r="O143" s="25" t="n">
        <f aca="false">IF(N143&gt;=-0.0000001,A143,O142)</f>
        <v>46150</v>
      </c>
      <c r="P143" s="29" t="n">
        <f aca="false">IF(AND(N143&gt;=-0.0000001,N142&lt;0),1,0)</f>
        <v>0</v>
      </c>
      <c r="Q143" s="30" t="str">
        <f aca="false">IF(P143=1,A143-O142,"")</f>
        <v/>
      </c>
    </row>
    <row r="144" customFormat="false" ht="15" hidden="false" customHeight="false" outlineLevel="0" collapsed="false">
      <c r="A144" s="25" t="n">
        <v>46156</v>
      </c>
      <c r="B144" s="26" t="s">
        <v>82</v>
      </c>
      <c r="C144" s="27" t="n">
        <v>19418.75</v>
      </c>
      <c r="D144" s="28" t="n">
        <f aca="false">C144/$T$1*100</f>
        <v>6.068359375</v>
      </c>
      <c r="E144" s="28" t="n">
        <f aca="false">E143+D144</f>
        <v>109.656875</v>
      </c>
      <c r="F144" s="28" t="n">
        <f aca="false">MAX(0,MAX($E$2:E144))</f>
        <v>112.30359375</v>
      </c>
      <c r="G144" s="28" t="n">
        <f aca="false">E144-F144</f>
        <v>-2.64671875000001</v>
      </c>
      <c r="H144" s="25" t="n">
        <f aca="false">IF(G144&gt;=-0.0000001,A144,H143)</f>
        <v>46150</v>
      </c>
      <c r="I144" s="29" t="n">
        <f aca="false">IF(AND(G144&gt;=-0.0000001,G143&lt;0),1,0)</f>
        <v>0</v>
      </c>
      <c r="J144" s="30" t="str">
        <f aca="false">IF(I144=1,A144-H143,"")</f>
        <v/>
      </c>
      <c r="K144" s="27" t="n">
        <f aca="false">IF(B144="Wednesday",0,C144)</f>
        <v>19418.75</v>
      </c>
      <c r="L144" s="28" t="n">
        <f aca="false">L143+K144/$T$1*100</f>
        <v>119.62484375</v>
      </c>
      <c r="M144" s="28" t="n">
        <f aca="false">MAX(0,MAX($L$2:L144))</f>
        <v>122.053203125</v>
      </c>
      <c r="N144" s="28" t="n">
        <f aca="false">L144-M144</f>
        <v>-2.428359375</v>
      </c>
      <c r="O144" s="25" t="n">
        <f aca="false">IF(N144&gt;=-0.0000001,A144,O143)</f>
        <v>46150</v>
      </c>
      <c r="P144" s="29" t="n">
        <f aca="false">IF(AND(N144&gt;=-0.0000001,N143&lt;0),1,0)</f>
        <v>0</v>
      </c>
      <c r="Q144" s="30" t="str">
        <f aca="false">IF(P144=1,A144-O143,"")</f>
        <v/>
      </c>
    </row>
    <row r="145" customFormat="false" ht="15" hidden="false" customHeight="false" outlineLevel="0" collapsed="false">
      <c r="A145" s="25" t="n">
        <v>46157</v>
      </c>
      <c r="B145" s="26" t="s">
        <v>83</v>
      </c>
      <c r="C145" s="27" t="n">
        <v>-4452.5</v>
      </c>
      <c r="D145" s="28" t="n">
        <f aca="false">C145/$T$1*100</f>
        <v>-1.39140625</v>
      </c>
      <c r="E145" s="28" t="n">
        <f aca="false">E144+D145</f>
        <v>108.26546875</v>
      </c>
      <c r="F145" s="28" t="n">
        <f aca="false">MAX(0,MAX($E$2:E145))</f>
        <v>112.30359375</v>
      </c>
      <c r="G145" s="28" t="n">
        <f aca="false">E145-F145</f>
        <v>-4.03812500000001</v>
      </c>
      <c r="H145" s="25" t="n">
        <f aca="false">IF(G145&gt;=-0.0000001,A145,H144)</f>
        <v>46150</v>
      </c>
      <c r="I145" s="29" t="n">
        <f aca="false">IF(AND(G145&gt;=-0.0000001,G144&lt;0),1,0)</f>
        <v>0</v>
      </c>
      <c r="J145" s="30" t="str">
        <f aca="false">IF(I145=1,A145-H144,"")</f>
        <v/>
      </c>
      <c r="K145" s="27" t="n">
        <f aca="false">IF(B145="Wednesday",0,C145)</f>
        <v>-4452.5</v>
      </c>
      <c r="L145" s="28" t="n">
        <f aca="false">L144+K145/$T$1*100</f>
        <v>118.2334375</v>
      </c>
      <c r="M145" s="28" t="n">
        <f aca="false">MAX(0,MAX($L$2:L145))</f>
        <v>122.053203125</v>
      </c>
      <c r="N145" s="28" t="n">
        <f aca="false">L145-M145</f>
        <v>-3.819765625</v>
      </c>
      <c r="O145" s="25" t="n">
        <f aca="false">IF(N145&gt;=-0.0000001,A145,O144)</f>
        <v>46150</v>
      </c>
      <c r="P145" s="29" t="n">
        <f aca="false">IF(AND(N145&gt;=-0.0000001,N144&lt;0),1,0)</f>
        <v>0</v>
      </c>
      <c r="Q145" s="30" t="str">
        <f aca="false">IF(P145=1,A145-O144,"")</f>
        <v/>
      </c>
    </row>
    <row r="146" customFormat="false" ht="15" hidden="false" customHeight="false" outlineLevel="0" collapsed="false">
      <c r="A146" s="25" t="n">
        <v>46160</v>
      </c>
      <c r="B146" s="26" t="s">
        <v>79</v>
      </c>
      <c r="C146" s="27" t="n">
        <v>20631</v>
      </c>
      <c r="D146" s="28" t="n">
        <f aca="false">C146/$T$1*100</f>
        <v>6.4471875</v>
      </c>
      <c r="E146" s="28" t="n">
        <f aca="false">E145+D146</f>
        <v>114.71265625</v>
      </c>
      <c r="F146" s="28" t="n">
        <f aca="false">MAX(0,MAX($E$2:E146))</f>
        <v>114.71265625</v>
      </c>
      <c r="G146" s="28" t="n">
        <f aca="false">E146-F146</f>
        <v>0</v>
      </c>
      <c r="H146" s="25" t="n">
        <f aca="false">IF(G146&gt;=-0.0000001,A146,H145)</f>
        <v>46160</v>
      </c>
      <c r="I146" s="29" t="n">
        <f aca="false">IF(AND(G146&gt;=-0.0000001,G145&lt;0),1,0)</f>
        <v>1</v>
      </c>
      <c r="J146" s="30" t="n">
        <f aca="false">IF(I146=1,A146-H145,"")</f>
        <v>10</v>
      </c>
      <c r="K146" s="27" t="n">
        <f aca="false">IF(B146="Wednesday",0,C146)</f>
        <v>20631</v>
      </c>
      <c r="L146" s="28" t="n">
        <f aca="false">L145+K146/$T$1*100</f>
        <v>124.680625</v>
      </c>
      <c r="M146" s="28" t="n">
        <f aca="false">MAX(0,MAX($L$2:L146))</f>
        <v>124.680625</v>
      </c>
      <c r="N146" s="28" t="n">
        <f aca="false">L146-M146</f>
        <v>0</v>
      </c>
      <c r="O146" s="25" t="n">
        <f aca="false">IF(N146&gt;=-0.0000001,A146,O145)</f>
        <v>46160</v>
      </c>
      <c r="P146" s="29" t="n">
        <f aca="false">IF(AND(N146&gt;=-0.0000001,N145&lt;0),1,0)</f>
        <v>1</v>
      </c>
      <c r="Q146" s="30" t="n">
        <f aca="false">IF(P146=1,A146-O145,"")</f>
        <v>10</v>
      </c>
    </row>
    <row r="147" customFormat="false" ht="15" hidden="false" customHeight="false" outlineLevel="0" collapsed="false">
      <c r="A147" s="25" t="n">
        <v>46161</v>
      </c>
      <c r="B147" s="26" t="s">
        <v>80</v>
      </c>
      <c r="C147" s="27" t="n">
        <v>-8443.5</v>
      </c>
      <c r="D147" s="28" t="n">
        <f aca="false">C147/$T$1*100</f>
        <v>-2.63859375</v>
      </c>
      <c r="E147" s="28" t="n">
        <f aca="false">E146+D147</f>
        <v>112.0740625</v>
      </c>
      <c r="F147" s="28" t="n">
        <f aca="false">MAX(0,MAX($E$2:E147))</f>
        <v>114.71265625</v>
      </c>
      <c r="G147" s="28" t="n">
        <f aca="false">E147-F147</f>
        <v>-2.63859375</v>
      </c>
      <c r="H147" s="25" t="n">
        <f aca="false">IF(G147&gt;=-0.0000001,A147,H146)</f>
        <v>46160</v>
      </c>
      <c r="I147" s="29" t="n">
        <f aca="false">IF(AND(G147&gt;=-0.0000001,G146&lt;0),1,0)</f>
        <v>0</v>
      </c>
      <c r="J147" s="30" t="str">
        <f aca="false">IF(I147=1,A147-H146,"")</f>
        <v/>
      </c>
      <c r="K147" s="27" t="n">
        <f aca="false">IF(B147="Wednesday",0,C147)</f>
        <v>-8443.5</v>
      </c>
      <c r="L147" s="28" t="n">
        <f aca="false">L146+K147/$T$1*100</f>
        <v>122.04203125</v>
      </c>
      <c r="M147" s="28" t="n">
        <f aca="false">MAX(0,MAX($L$2:L147))</f>
        <v>124.680625</v>
      </c>
      <c r="N147" s="28" t="n">
        <f aca="false">L147-M147</f>
        <v>-2.63859375</v>
      </c>
      <c r="O147" s="25" t="n">
        <f aca="false">IF(N147&gt;=-0.0000001,A147,O146)</f>
        <v>46160</v>
      </c>
      <c r="P147" s="29" t="n">
        <f aca="false">IF(AND(N147&gt;=-0.0000001,N146&lt;0),1,0)</f>
        <v>0</v>
      </c>
      <c r="Q147" s="30" t="str">
        <f aca="false">IF(P147=1,A147-O146,"")</f>
        <v/>
      </c>
    </row>
    <row r="148" customFormat="false" ht="15" hidden="false" customHeight="false" outlineLevel="0" collapsed="false">
      <c r="A148" s="25" t="n">
        <v>46162</v>
      </c>
      <c r="B148" s="26" t="s">
        <v>81</v>
      </c>
      <c r="C148" s="27" t="n">
        <v>-8840</v>
      </c>
      <c r="D148" s="28" t="n">
        <f aca="false">C148/$T$1*100</f>
        <v>-2.7625</v>
      </c>
      <c r="E148" s="28" t="n">
        <f aca="false">E147+D148</f>
        <v>109.3115625</v>
      </c>
      <c r="F148" s="28" t="n">
        <f aca="false">MAX(0,MAX($E$2:E148))</f>
        <v>114.71265625</v>
      </c>
      <c r="G148" s="28" t="n">
        <f aca="false">E148-F148</f>
        <v>-5.40109375</v>
      </c>
      <c r="H148" s="25" t="n">
        <f aca="false">IF(G148&gt;=-0.0000001,A148,H147)</f>
        <v>46160</v>
      </c>
      <c r="I148" s="29" t="n">
        <f aca="false">IF(AND(G148&gt;=-0.0000001,G147&lt;0),1,0)</f>
        <v>0</v>
      </c>
      <c r="J148" s="30" t="str">
        <f aca="false">IF(I148=1,A148-H147,"")</f>
        <v/>
      </c>
      <c r="K148" s="27" t="n">
        <f aca="false">IF(B148="Wednesday",0,C148)</f>
        <v>0</v>
      </c>
      <c r="L148" s="28" t="n">
        <f aca="false">L147+K148/$T$1*100</f>
        <v>122.04203125</v>
      </c>
      <c r="M148" s="28" t="n">
        <f aca="false">MAX(0,MAX($L$2:L148))</f>
        <v>124.680625</v>
      </c>
      <c r="N148" s="28" t="n">
        <f aca="false">L148-M148</f>
        <v>-2.63859375</v>
      </c>
      <c r="O148" s="25" t="n">
        <f aca="false">IF(N148&gt;=-0.0000001,A148,O147)</f>
        <v>46160</v>
      </c>
      <c r="P148" s="29" t="n">
        <f aca="false">IF(AND(N148&gt;=-0.0000001,N147&lt;0),1,0)</f>
        <v>0</v>
      </c>
      <c r="Q148" s="30" t="str">
        <f aca="false">IF(P148=1,A148-O147,"")</f>
        <v/>
      </c>
    </row>
    <row r="149" customFormat="false" ht="15" hidden="false" customHeight="false" outlineLevel="0" collapsed="false">
      <c r="A149" s="25" t="n">
        <v>46163</v>
      </c>
      <c r="B149" s="26" t="s">
        <v>82</v>
      </c>
      <c r="C149" s="27" t="n">
        <v>-14072.5</v>
      </c>
      <c r="D149" s="28" t="n">
        <f aca="false">C149/$T$1*100</f>
        <v>-4.39765625</v>
      </c>
      <c r="E149" s="28" t="n">
        <f aca="false">E148+D149</f>
        <v>104.91390625</v>
      </c>
      <c r="F149" s="28" t="n">
        <f aca="false">MAX(0,MAX($E$2:E149))</f>
        <v>114.71265625</v>
      </c>
      <c r="G149" s="28" t="n">
        <f aca="false">E149-F149</f>
        <v>-9.79875</v>
      </c>
      <c r="H149" s="25" t="n">
        <f aca="false">IF(G149&gt;=-0.0000001,A149,H148)</f>
        <v>46160</v>
      </c>
      <c r="I149" s="29" t="n">
        <f aca="false">IF(AND(G149&gt;=-0.0000001,G148&lt;0),1,0)</f>
        <v>0</v>
      </c>
      <c r="J149" s="30" t="str">
        <f aca="false">IF(I149=1,A149-H148,"")</f>
        <v/>
      </c>
      <c r="K149" s="27" t="n">
        <f aca="false">IF(B149="Wednesday",0,C149)</f>
        <v>-14072.5</v>
      </c>
      <c r="L149" s="28" t="n">
        <f aca="false">L148+K149/$T$1*100</f>
        <v>117.644375</v>
      </c>
      <c r="M149" s="28" t="n">
        <f aca="false">MAX(0,MAX($L$2:L149))</f>
        <v>124.680625</v>
      </c>
      <c r="N149" s="28" t="n">
        <f aca="false">L149-M149</f>
        <v>-7.03625</v>
      </c>
      <c r="O149" s="25" t="n">
        <f aca="false">IF(N149&gt;=-0.0000001,A149,O148)</f>
        <v>46160</v>
      </c>
      <c r="P149" s="29" t="n">
        <f aca="false">IF(AND(N149&gt;=-0.0000001,N148&lt;0),1,0)</f>
        <v>0</v>
      </c>
      <c r="Q149" s="30" t="str">
        <f aca="false">IF(P149=1,A149-O148,"")</f>
        <v/>
      </c>
    </row>
    <row r="150" customFormat="false" ht="15" hidden="false" customHeight="false" outlineLevel="0" collapsed="false">
      <c r="A150" s="25" t="n">
        <v>46164</v>
      </c>
      <c r="B150" s="26" t="s">
        <v>83</v>
      </c>
      <c r="C150" s="27" t="n">
        <v>11895</v>
      </c>
      <c r="D150" s="28" t="n">
        <f aca="false">C150/$T$1*100</f>
        <v>3.7171875</v>
      </c>
      <c r="E150" s="28" t="n">
        <f aca="false">E149+D150</f>
        <v>108.63109375</v>
      </c>
      <c r="F150" s="28" t="n">
        <f aca="false">MAX(0,MAX($E$2:E150))</f>
        <v>114.71265625</v>
      </c>
      <c r="G150" s="28" t="n">
        <f aca="false">E150-F150</f>
        <v>-6.0815625</v>
      </c>
      <c r="H150" s="25" t="n">
        <f aca="false">IF(G150&gt;=-0.0000001,A150,H149)</f>
        <v>46160</v>
      </c>
      <c r="I150" s="29" t="n">
        <f aca="false">IF(AND(G150&gt;=-0.0000001,G149&lt;0),1,0)</f>
        <v>0</v>
      </c>
      <c r="J150" s="30" t="str">
        <f aca="false">IF(I150=1,A150-H149,"")</f>
        <v/>
      </c>
      <c r="K150" s="27" t="n">
        <f aca="false">IF(B150="Wednesday",0,C150)</f>
        <v>11895</v>
      </c>
      <c r="L150" s="28" t="n">
        <f aca="false">L149+K150/$T$1*100</f>
        <v>121.3615625</v>
      </c>
      <c r="M150" s="28" t="n">
        <f aca="false">MAX(0,MAX($L$2:L150))</f>
        <v>124.680625</v>
      </c>
      <c r="N150" s="28" t="n">
        <f aca="false">L150-M150</f>
        <v>-3.3190625</v>
      </c>
      <c r="O150" s="25" t="n">
        <f aca="false">IF(N150&gt;=-0.0000001,A150,O149)</f>
        <v>46160</v>
      </c>
      <c r="P150" s="29" t="n">
        <f aca="false">IF(AND(N150&gt;=-0.0000001,N149&lt;0),1,0)</f>
        <v>0</v>
      </c>
      <c r="Q150" s="30" t="str">
        <f aca="false">IF(P150=1,A150-O149,"")</f>
        <v/>
      </c>
    </row>
    <row r="151" customFormat="false" ht="15" hidden="false" customHeight="false" outlineLevel="0" collapsed="false">
      <c r="A151" s="25" t="n">
        <v>46167</v>
      </c>
      <c r="B151" s="26" t="s">
        <v>79</v>
      </c>
      <c r="C151" s="27" t="n">
        <v>7982</v>
      </c>
      <c r="D151" s="28" t="n">
        <f aca="false">C151/$T$1*100</f>
        <v>2.494375</v>
      </c>
      <c r="E151" s="28" t="n">
        <f aca="false">E150+D151</f>
        <v>111.12546875</v>
      </c>
      <c r="F151" s="28" t="n">
        <f aca="false">MAX(0,MAX($E$2:E151))</f>
        <v>114.71265625</v>
      </c>
      <c r="G151" s="28" t="n">
        <f aca="false">E151-F151</f>
        <v>-3.5871875</v>
      </c>
      <c r="H151" s="25" t="n">
        <f aca="false">IF(G151&gt;=-0.0000001,A151,H150)</f>
        <v>46160</v>
      </c>
      <c r="I151" s="29" t="n">
        <f aca="false">IF(AND(G151&gt;=-0.0000001,G150&lt;0),1,0)</f>
        <v>0</v>
      </c>
      <c r="J151" s="30" t="str">
        <f aca="false">IF(I151=1,A151-H150,"")</f>
        <v/>
      </c>
      <c r="K151" s="27" t="n">
        <f aca="false">IF(B151="Wednesday",0,C151)</f>
        <v>7982</v>
      </c>
      <c r="L151" s="28" t="n">
        <f aca="false">L150+K151/$T$1*100</f>
        <v>123.8559375</v>
      </c>
      <c r="M151" s="28" t="n">
        <f aca="false">MAX(0,MAX($L$2:L151))</f>
        <v>124.680625</v>
      </c>
      <c r="N151" s="28" t="n">
        <f aca="false">L151-M151</f>
        <v>-0.824687499999996</v>
      </c>
      <c r="O151" s="25" t="n">
        <f aca="false">IF(N151&gt;=-0.0000001,A151,O150)</f>
        <v>46160</v>
      </c>
      <c r="P151" s="29" t="n">
        <f aca="false">IF(AND(N151&gt;=-0.0000001,N150&lt;0),1,0)</f>
        <v>0</v>
      </c>
      <c r="Q151" s="30" t="str">
        <f aca="false">IF(P151=1,A151-O150,"")</f>
        <v/>
      </c>
    </row>
    <row r="152" customFormat="false" ht="15" hidden="false" customHeight="false" outlineLevel="0" collapsed="false">
      <c r="A152" s="25" t="n">
        <v>46168</v>
      </c>
      <c r="B152" s="26" t="s">
        <v>80</v>
      </c>
      <c r="C152" s="27" t="n">
        <v>-9282</v>
      </c>
      <c r="D152" s="28" t="n">
        <f aca="false">C152/$T$1*100</f>
        <v>-2.900625</v>
      </c>
      <c r="E152" s="28" t="n">
        <f aca="false">E151+D152</f>
        <v>108.22484375</v>
      </c>
      <c r="F152" s="28" t="n">
        <f aca="false">MAX(0,MAX($E$2:E152))</f>
        <v>114.71265625</v>
      </c>
      <c r="G152" s="28" t="n">
        <f aca="false">E152-F152</f>
        <v>-6.4878125</v>
      </c>
      <c r="H152" s="25" t="n">
        <f aca="false">IF(G152&gt;=-0.0000001,A152,H151)</f>
        <v>46160</v>
      </c>
      <c r="I152" s="29" t="n">
        <f aca="false">IF(AND(G152&gt;=-0.0000001,G151&lt;0),1,0)</f>
        <v>0</v>
      </c>
      <c r="J152" s="30" t="str">
        <f aca="false">IF(I152=1,A152-H151,"")</f>
        <v/>
      </c>
      <c r="K152" s="27" t="n">
        <f aca="false">IF(B152="Wednesday",0,C152)</f>
        <v>-9282</v>
      </c>
      <c r="L152" s="28" t="n">
        <f aca="false">L151+K152/$T$1*100</f>
        <v>120.9553125</v>
      </c>
      <c r="M152" s="28" t="n">
        <f aca="false">MAX(0,MAX($L$2:L152))</f>
        <v>124.680625</v>
      </c>
      <c r="N152" s="28" t="n">
        <f aca="false">L152-M152</f>
        <v>-3.7253125</v>
      </c>
      <c r="O152" s="25" t="n">
        <f aca="false">IF(N152&gt;=-0.0000001,A152,O151)</f>
        <v>46160</v>
      </c>
      <c r="P152" s="29" t="n">
        <f aca="false">IF(AND(N152&gt;=-0.0000001,N151&lt;0),1,0)</f>
        <v>0</v>
      </c>
      <c r="Q152" s="30" t="str">
        <f aca="false">IF(P152=1,A152-O151,"")</f>
        <v/>
      </c>
    </row>
    <row r="153" customFormat="false" ht="15" hidden="false" customHeight="false" outlineLevel="0" collapsed="false">
      <c r="A153" s="25" t="n">
        <v>46169</v>
      </c>
      <c r="B153" s="26" t="s">
        <v>81</v>
      </c>
      <c r="C153" s="27" t="n">
        <v>-5736.25</v>
      </c>
      <c r="D153" s="28" t="n">
        <f aca="false">C153/$T$1*100</f>
        <v>-1.792578125</v>
      </c>
      <c r="E153" s="28" t="n">
        <f aca="false">E152+D153</f>
        <v>106.432265625</v>
      </c>
      <c r="F153" s="28" t="n">
        <f aca="false">MAX(0,MAX($E$2:E153))</f>
        <v>114.71265625</v>
      </c>
      <c r="G153" s="28" t="n">
        <f aca="false">E153-F153</f>
        <v>-8.28039062500001</v>
      </c>
      <c r="H153" s="25" t="n">
        <f aca="false">IF(G153&gt;=-0.0000001,A153,H152)</f>
        <v>46160</v>
      </c>
      <c r="I153" s="29" t="n">
        <f aca="false">IF(AND(G153&gt;=-0.0000001,G152&lt;0),1,0)</f>
        <v>0</v>
      </c>
      <c r="J153" s="30" t="str">
        <f aca="false">IF(I153=1,A153-H152,"")</f>
        <v/>
      </c>
      <c r="K153" s="27" t="n">
        <f aca="false">IF(B153="Wednesday",0,C153)</f>
        <v>0</v>
      </c>
      <c r="L153" s="28" t="n">
        <f aca="false">L152+K153/$T$1*100</f>
        <v>120.9553125</v>
      </c>
      <c r="M153" s="28" t="n">
        <f aca="false">MAX(0,MAX($L$2:L153))</f>
        <v>124.680625</v>
      </c>
      <c r="N153" s="28" t="n">
        <f aca="false">L153-M153</f>
        <v>-3.7253125</v>
      </c>
      <c r="O153" s="25" t="n">
        <f aca="false">IF(N153&gt;=-0.0000001,A153,O152)</f>
        <v>46160</v>
      </c>
      <c r="P153" s="29" t="n">
        <f aca="false">IF(AND(N153&gt;=-0.0000001,N152&lt;0),1,0)</f>
        <v>0</v>
      </c>
      <c r="Q153" s="30" t="str">
        <f aca="false">IF(P153=1,A153-O152,"")</f>
        <v/>
      </c>
    </row>
    <row r="154" customFormat="false" ht="15" hidden="false" customHeight="false" outlineLevel="0" collapsed="false">
      <c r="A154" s="25" t="n">
        <v>46171</v>
      </c>
      <c r="B154" s="26" t="s">
        <v>83</v>
      </c>
      <c r="C154" s="27" t="n">
        <v>25918.75</v>
      </c>
      <c r="D154" s="28" t="n">
        <f aca="false">C154/$T$1*100</f>
        <v>8.099609375</v>
      </c>
      <c r="E154" s="28" t="n">
        <f aca="false">E153+D154</f>
        <v>114.531875</v>
      </c>
      <c r="F154" s="28" t="n">
        <f aca="false">MAX(0,MAX($E$2:E154))</f>
        <v>114.71265625</v>
      </c>
      <c r="G154" s="28" t="n">
        <f aca="false">E154-F154</f>
        <v>-0.18078125000001</v>
      </c>
      <c r="H154" s="25" t="n">
        <f aca="false">IF(G154&gt;=-0.0000001,A154,H153)</f>
        <v>46160</v>
      </c>
      <c r="I154" s="29" t="n">
        <f aca="false">IF(AND(G154&gt;=-0.0000001,G153&lt;0),1,0)</f>
        <v>0</v>
      </c>
      <c r="J154" s="30" t="str">
        <f aca="false">IF(I154=1,A154-H153,"")</f>
        <v/>
      </c>
      <c r="K154" s="27" t="n">
        <f aca="false">IF(B154="Wednesday",0,C154)</f>
        <v>25918.75</v>
      </c>
      <c r="L154" s="28" t="n">
        <f aca="false">L153+K154/$T$1*100</f>
        <v>129.054921875</v>
      </c>
      <c r="M154" s="28" t="n">
        <f aca="false">MAX(0,MAX($L$2:L154))</f>
        <v>129.054921875</v>
      </c>
      <c r="N154" s="28" t="n">
        <f aca="false">L154-M154</f>
        <v>0</v>
      </c>
      <c r="O154" s="25" t="n">
        <f aca="false">IF(N154&gt;=-0.0000001,A154,O153)</f>
        <v>46171</v>
      </c>
      <c r="P154" s="29" t="n">
        <f aca="false">IF(AND(N154&gt;=-0.0000001,N153&lt;0),1,0)</f>
        <v>1</v>
      </c>
      <c r="Q154" s="30" t="n">
        <f aca="false">IF(P154=1,A154-O153,"")</f>
        <v>11</v>
      </c>
    </row>
    <row r="155" customFormat="false" ht="15" hidden="false" customHeight="false" outlineLevel="0" collapsed="false">
      <c r="A155" s="25" t="n">
        <v>46174</v>
      </c>
      <c r="B155" s="26" t="s">
        <v>79</v>
      </c>
      <c r="C155" s="27" t="n">
        <v>273</v>
      </c>
      <c r="D155" s="28" t="n">
        <f aca="false">C155/$T$1*100</f>
        <v>0.0853125</v>
      </c>
      <c r="E155" s="28" t="n">
        <f aca="false">E154+D155</f>
        <v>114.6171875</v>
      </c>
      <c r="F155" s="28" t="n">
        <f aca="false">MAX(0,MAX($E$2:E155))</f>
        <v>114.71265625</v>
      </c>
      <c r="G155" s="28" t="n">
        <f aca="false">E155-F155</f>
        <v>-0.0954687500000091</v>
      </c>
      <c r="H155" s="25" t="n">
        <f aca="false">IF(G155&gt;=-0.0000001,A155,H154)</f>
        <v>46160</v>
      </c>
      <c r="I155" s="29" t="n">
        <f aca="false">IF(AND(G155&gt;=-0.0000001,G154&lt;0),1,0)</f>
        <v>0</v>
      </c>
      <c r="J155" s="30" t="str">
        <f aca="false">IF(I155=1,A155-H154,"")</f>
        <v/>
      </c>
      <c r="K155" s="27" t="n">
        <f aca="false">IF(B155="Wednesday",0,C155)</f>
        <v>273</v>
      </c>
      <c r="L155" s="28" t="n">
        <f aca="false">L154+K155/$T$1*100</f>
        <v>129.140234375</v>
      </c>
      <c r="M155" s="28" t="n">
        <f aca="false">MAX(0,MAX($L$2:L155))</f>
        <v>129.140234375</v>
      </c>
      <c r="N155" s="28" t="n">
        <f aca="false">L155-M155</f>
        <v>0</v>
      </c>
      <c r="O155" s="25" t="n">
        <f aca="false">IF(N155&gt;=-0.0000001,A155,O154)</f>
        <v>46174</v>
      </c>
      <c r="P155" s="29" t="n">
        <f aca="false">IF(AND(N155&gt;=-0.0000001,N154&lt;0),1,0)</f>
        <v>0</v>
      </c>
      <c r="Q155" s="30" t="str">
        <f aca="false">IF(P155=1,A155-O154,"")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320000</v>
      </c>
    </row>
    <row r="2" customFormat="false" ht="15" hidden="false" customHeight="false" outlineLevel="0" collapsed="false">
      <c r="A2" s="25" t="n">
        <v>45847</v>
      </c>
      <c r="B2" s="26" t="s">
        <v>81</v>
      </c>
      <c r="C2" s="27" t="n">
        <v>-13815</v>
      </c>
      <c r="D2" s="28" t="n">
        <f aca="false">C2/$T$1*100</f>
        <v>-4.3171875</v>
      </c>
      <c r="E2" s="28" t="n">
        <f aca="false">D2</f>
        <v>-4.3171875</v>
      </c>
      <c r="F2" s="28" t="n">
        <f aca="false">MAX(0,MAX($E$2:E2))</f>
        <v>0</v>
      </c>
      <c r="G2" s="28" t="n">
        <f aca="false">E2-F2</f>
        <v>-4.3171875</v>
      </c>
      <c r="H2" s="25" t="n">
        <f aca="false">IF(G2&gt;=-0.0000001,A2,A2)</f>
        <v>45847</v>
      </c>
      <c r="I2" s="29" t="n">
        <v>0</v>
      </c>
      <c r="J2" s="30"/>
      <c r="K2" s="27" t="n">
        <f aca="false">IF(B2="Wednesday",0,C2)</f>
        <v>0</v>
      </c>
      <c r="L2" s="28" t="n">
        <f aca="false">K2/$T$1*100</f>
        <v>0</v>
      </c>
      <c r="M2" s="28" t="n">
        <f aca="false">MAX(0,MAX($L$2:L2))</f>
        <v>0</v>
      </c>
      <c r="N2" s="28" t="n">
        <f aca="false">L2-M2</f>
        <v>0</v>
      </c>
      <c r="O2" s="25" t="n">
        <f aca="false">IF(N2&gt;=-0.0000001,A2,A2)</f>
        <v>45847</v>
      </c>
      <c r="P2" s="29" t="n">
        <v>0</v>
      </c>
      <c r="Q2" s="30"/>
      <c r="S2" s="23" t="s">
        <v>108</v>
      </c>
      <c r="T2" s="31" t="n">
        <f aca="false">MAX(A2:A137)</f>
        <v>46174</v>
      </c>
    </row>
    <row r="3" customFormat="false" ht="15" hidden="false" customHeight="false" outlineLevel="0" collapsed="false">
      <c r="A3" s="25" t="n">
        <v>45849</v>
      </c>
      <c r="B3" s="26" t="s">
        <v>83</v>
      </c>
      <c r="C3" s="27" t="n">
        <v>-2171.25</v>
      </c>
      <c r="D3" s="28" t="n">
        <f aca="false">C3/$T$1*100</f>
        <v>-0.678515625</v>
      </c>
      <c r="E3" s="28" t="n">
        <f aca="false">E2+D3</f>
        <v>-4.995703125</v>
      </c>
      <c r="F3" s="28" t="n">
        <f aca="false">MAX(0,MAX($E$2:E3))</f>
        <v>0</v>
      </c>
      <c r="G3" s="28" t="n">
        <f aca="false">E3-F3</f>
        <v>-4.995703125</v>
      </c>
      <c r="H3" s="25" t="n">
        <f aca="false">IF(G3&gt;=-0.0000001,A3,H2)</f>
        <v>45847</v>
      </c>
      <c r="I3" s="29" t="n">
        <f aca="false">IF(AND(G3&gt;=-0.0000001,G2&lt;0),1,0)</f>
        <v>0</v>
      </c>
      <c r="J3" s="30" t="str">
        <f aca="false">IF(I3=1,A3-H2,"")</f>
        <v/>
      </c>
      <c r="K3" s="27" t="n">
        <f aca="false">IF(B3="Wednesday",0,C3)</f>
        <v>-2171.25</v>
      </c>
      <c r="L3" s="28" t="n">
        <f aca="false">L2+K3/$T$1*100</f>
        <v>-0.678515625</v>
      </c>
      <c r="M3" s="28" t="n">
        <f aca="false">MAX(0,MAX($L$2:L3))</f>
        <v>0</v>
      </c>
      <c r="N3" s="28" t="n">
        <f aca="false">L3-M3</f>
        <v>-0.678515625</v>
      </c>
      <c r="O3" s="25" t="n">
        <f aca="false">IF(N3&gt;=-0.0000001,A3,O2)</f>
        <v>45847</v>
      </c>
      <c r="P3" s="29" t="n">
        <f aca="false">IF(AND(N3&gt;=-0.0000001,N2&lt;0),1,0)</f>
        <v>0</v>
      </c>
      <c r="Q3" s="30" t="str">
        <f aca="false">IF(P3=1,A3-O2,"")</f>
        <v/>
      </c>
      <c r="S3" s="23" t="s">
        <v>109</v>
      </c>
      <c r="T3" s="31" t="n">
        <f aca="false">EDATE($T$2,-1)</f>
        <v>46143</v>
      </c>
    </row>
    <row r="4" customFormat="false" ht="15" hidden="false" customHeight="false" outlineLevel="0" collapsed="false">
      <c r="A4" s="25" t="n">
        <v>45852</v>
      </c>
      <c r="B4" s="26" t="s">
        <v>79</v>
      </c>
      <c r="C4" s="27" t="n">
        <v>19830</v>
      </c>
      <c r="D4" s="28" t="n">
        <f aca="false">C4/$T$1*100</f>
        <v>6.196875</v>
      </c>
      <c r="E4" s="28" t="n">
        <f aca="false">E3+D4</f>
        <v>1.201171875</v>
      </c>
      <c r="F4" s="28" t="n">
        <f aca="false">MAX(0,MAX($E$2:E4))</f>
        <v>1.201171875</v>
      </c>
      <c r="G4" s="28" t="n">
        <f aca="false">E4-F4</f>
        <v>0</v>
      </c>
      <c r="H4" s="25" t="n">
        <f aca="false">IF(G4&gt;=-0.0000001,A4,H3)</f>
        <v>45852</v>
      </c>
      <c r="I4" s="29" t="n">
        <f aca="false">IF(AND(G4&gt;=-0.0000001,G3&lt;0),1,0)</f>
        <v>1</v>
      </c>
      <c r="J4" s="30" t="n">
        <f aca="false">IF(I4=1,A4-H3,"")</f>
        <v>5</v>
      </c>
      <c r="K4" s="27" t="n">
        <f aca="false">IF(B4="Wednesday",0,C4)</f>
        <v>19830</v>
      </c>
      <c r="L4" s="28" t="n">
        <f aca="false">L3+K4/$T$1*100</f>
        <v>5.518359375</v>
      </c>
      <c r="M4" s="28" t="n">
        <f aca="false">MAX(0,MAX($L$2:L4))</f>
        <v>5.518359375</v>
      </c>
      <c r="N4" s="28" t="n">
        <f aca="false">L4-M4</f>
        <v>0</v>
      </c>
      <c r="O4" s="25" t="n">
        <f aca="false">IF(N4&gt;=-0.0000001,A4,O3)</f>
        <v>45852</v>
      </c>
      <c r="P4" s="29" t="n">
        <f aca="false">IF(AND(N4&gt;=-0.0000001,N3&lt;0),1,0)</f>
        <v>1</v>
      </c>
      <c r="Q4" s="30" t="n">
        <f aca="false">IF(P4=1,A4-O3,"")</f>
        <v>5</v>
      </c>
      <c r="S4" s="23" t="s">
        <v>110</v>
      </c>
      <c r="T4" s="31" t="n">
        <f aca="false">EDATE($T$2,-3)</f>
        <v>46082</v>
      </c>
    </row>
    <row r="5" customFormat="false" ht="15" hidden="false" customHeight="false" outlineLevel="0" collapsed="false">
      <c r="A5" s="25" t="n">
        <v>45853</v>
      </c>
      <c r="B5" s="26" t="s">
        <v>80</v>
      </c>
      <c r="C5" s="27" t="n">
        <v>-13215</v>
      </c>
      <c r="D5" s="28" t="n">
        <f aca="false">C5/$T$1*100</f>
        <v>-4.1296875</v>
      </c>
      <c r="E5" s="28" t="n">
        <f aca="false">E4+D5</f>
        <v>-2.928515625</v>
      </c>
      <c r="F5" s="28" t="n">
        <f aca="false">MAX(0,MAX($E$2:E5))</f>
        <v>1.201171875</v>
      </c>
      <c r="G5" s="28" t="n">
        <f aca="false">E5-F5</f>
        <v>-4.1296875</v>
      </c>
      <c r="H5" s="25" t="n">
        <f aca="false">IF(G5&gt;=-0.0000001,A5,H4)</f>
        <v>45852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-13215</v>
      </c>
      <c r="L5" s="28" t="n">
        <f aca="false">L4+K5/$T$1*100</f>
        <v>1.388671875</v>
      </c>
      <c r="M5" s="28" t="n">
        <f aca="false">MAX(0,MAX($L$2:L5))</f>
        <v>5.518359375</v>
      </c>
      <c r="N5" s="28" t="n">
        <f aca="false">L5-M5</f>
        <v>-4.1296875</v>
      </c>
      <c r="O5" s="25" t="n">
        <f aca="false">IF(N5&gt;=-0.0000001,A5,O4)</f>
        <v>45852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45992</v>
      </c>
    </row>
    <row r="6" customFormat="false" ht="15" hidden="false" customHeight="false" outlineLevel="0" collapsed="false">
      <c r="A6" s="25" t="n">
        <v>45854</v>
      </c>
      <c r="B6" s="26" t="s">
        <v>81</v>
      </c>
      <c r="C6" s="27" t="n">
        <v>9285</v>
      </c>
      <c r="D6" s="28" t="n">
        <f aca="false">C6/$T$1*100</f>
        <v>2.9015625</v>
      </c>
      <c r="E6" s="28" t="n">
        <f aca="false">E5+D6</f>
        <v>-0.0269531249999995</v>
      </c>
      <c r="F6" s="28" t="n">
        <f aca="false">MAX(0,MAX($E$2:E6))</f>
        <v>1.201171875</v>
      </c>
      <c r="G6" s="28" t="n">
        <f aca="false">E6-F6</f>
        <v>-1.228125</v>
      </c>
      <c r="H6" s="25" t="n">
        <f aca="false">IF(G6&gt;=-0.0000001,A6,H5)</f>
        <v>45852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0</v>
      </c>
      <c r="L6" s="28" t="n">
        <f aca="false">L5+K6/$T$1*100</f>
        <v>1.388671875</v>
      </c>
      <c r="M6" s="28" t="n">
        <f aca="false">MAX(0,MAX($L$2:L6))</f>
        <v>5.518359375</v>
      </c>
      <c r="N6" s="28" t="n">
        <f aca="false">L6-M6</f>
        <v>-4.1296875</v>
      </c>
      <c r="O6" s="25" t="n">
        <f aca="false">IF(N6&gt;=-0.0000001,A6,O5)</f>
        <v>45852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45809</v>
      </c>
    </row>
    <row r="7" customFormat="false" ht="15" hidden="false" customHeight="false" outlineLevel="0" collapsed="false">
      <c r="A7" s="25" t="n">
        <v>45859</v>
      </c>
      <c r="B7" s="26" t="s">
        <v>79</v>
      </c>
      <c r="C7" s="27" t="n">
        <v>13740</v>
      </c>
      <c r="D7" s="28" t="n">
        <f aca="false">C7/$T$1*100</f>
        <v>4.29375</v>
      </c>
      <c r="E7" s="28" t="n">
        <f aca="false">E6+D7</f>
        <v>4.266796875</v>
      </c>
      <c r="F7" s="28" t="n">
        <f aca="false">MAX(0,MAX($E$2:E7))</f>
        <v>4.266796875</v>
      </c>
      <c r="G7" s="28" t="n">
        <f aca="false">E7-F7</f>
        <v>0</v>
      </c>
      <c r="H7" s="25" t="n">
        <f aca="false">IF(G7&gt;=-0.0000001,A7,H6)</f>
        <v>45859</v>
      </c>
      <c r="I7" s="29" t="n">
        <f aca="false">IF(AND(G7&gt;=-0.0000001,G6&lt;0),1,0)</f>
        <v>1</v>
      </c>
      <c r="J7" s="30" t="n">
        <f aca="false">IF(I7=1,A7-H6,"")</f>
        <v>7</v>
      </c>
      <c r="K7" s="27" t="n">
        <f aca="false">IF(B7="Wednesday",0,C7)</f>
        <v>13740</v>
      </c>
      <c r="L7" s="28" t="n">
        <f aca="false">L6+K7/$T$1*100</f>
        <v>5.682421875</v>
      </c>
      <c r="M7" s="28" t="n">
        <f aca="false">MAX(0,MAX($L$2:L7))</f>
        <v>5.682421875</v>
      </c>
      <c r="N7" s="28" t="n">
        <f aca="false">L7-M7</f>
        <v>0</v>
      </c>
      <c r="O7" s="25" t="n">
        <f aca="false">IF(N7&gt;=-0.0000001,A7,O6)</f>
        <v>45859</v>
      </c>
      <c r="P7" s="29" t="n">
        <f aca="false">IF(AND(N7&gt;=-0.0000001,N6&lt;0),1,0)</f>
        <v>1</v>
      </c>
      <c r="Q7" s="30" t="n">
        <f aca="false">IF(P7=1,A7-O6,"")</f>
        <v>7</v>
      </c>
      <c r="S7" s="23" t="s">
        <v>113</v>
      </c>
      <c r="T7" s="32" t="n">
        <f aca="false">IF(G137&lt;-0.0000001,$T$2-H137,0)</f>
        <v>25</v>
      </c>
    </row>
    <row r="8" customFormat="false" ht="15" hidden="false" customHeight="false" outlineLevel="0" collapsed="false">
      <c r="A8" s="25" t="n">
        <v>45861</v>
      </c>
      <c r="B8" s="26" t="s">
        <v>81</v>
      </c>
      <c r="C8" s="27" t="n">
        <v>14670</v>
      </c>
      <c r="D8" s="28" t="n">
        <f aca="false">C8/$T$1*100</f>
        <v>4.584375</v>
      </c>
      <c r="E8" s="28" t="n">
        <f aca="false">E7+D8</f>
        <v>8.851171875</v>
      </c>
      <c r="F8" s="28" t="n">
        <f aca="false">MAX(0,MAX($E$2:E8))</f>
        <v>8.851171875</v>
      </c>
      <c r="G8" s="28" t="n">
        <f aca="false">E8-F8</f>
        <v>0</v>
      </c>
      <c r="H8" s="25" t="n">
        <f aca="false">IF(G8&gt;=-0.0000001,A8,H7)</f>
        <v>45861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0</v>
      </c>
      <c r="L8" s="28" t="n">
        <f aca="false">L7+K8/$T$1*100</f>
        <v>5.682421875</v>
      </c>
      <c r="M8" s="28" t="n">
        <f aca="false">MAX(0,MAX($L$2:L8))</f>
        <v>5.682421875</v>
      </c>
      <c r="N8" s="28" t="n">
        <f aca="false">L8-M8</f>
        <v>0</v>
      </c>
      <c r="O8" s="25" t="n">
        <f aca="false">IF(N8&gt;=-0.0000001,A8,O7)</f>
        <v>45861</v>
      </c>
      <c r="P8" s="29" t="n">
        <f aca="false">IF(AND(N8&gt;=-0.0000001,N7&lt;0),1,0)</f>
        <v>0</v>
      </c>
      <c r="Q8" s="30" t="str">
        <f aca="false">IF(P8=1,A8-O7,"")</f>
        <v/>
      </c>
      <c r="S8" s="23" t="s">
        <v>114</v>
      </c>
      <c r="T8" s="32" t="n">
        <f aca="false">IF(N137&lt;-0.0000001,$T$2-O137,0)</f>
        <v>25</v>
      </c>
    </row>
    <row r="9" customFormat="false" ht="15" hidden="false" customHeight="false" outlineLevel="0" collapsed="false">
      <c r="A9" s="25" t="n">
        <v>45862</v>
      </c>
      <c r="B9" s="26" t="s">
        <v>82</v>
      </c>
      <c r="C9" s="27" t="n">
        <v>-9393.75</v>
      </c>
      <c r="D9" s="28" t="n">
        <f aca="false">C9/$T$1*100</f>
        <v>-2.935546875</v>
      </c>
      <c r="E9" s="28" t="n">
        <f aca="false">E8+D9</f>
        <v>5.915625</v>
      </c>
      <c r="F9" s="28" t="n">
        <f aca="false">MAX(0,MAX($E$2:E9))</f>
        <v>8.851171875</v>
      </c>
      <c r="G9" s="28" t="n">
        <f aca="false">E9-F9</f>
        <v>-2.935546875</v>
      </c>
      <c r="H9" s="25" t="n">
        <f aca="false">IF(G9&gt;=-0.0000001,A9,H8)</f>
        <v>45861</v>
      </c>
      <c r="I9" s="29" t="n">
        <f aca="false">IF(AND(G9&gt;=-0.0000001,G8&lt;0),1,0)</f>
        <v>0</v>
      </c>
      <c r="J9" s="30" t="str">
        <f aca="false">IF(I9=1,A9-H8,"")</f>
        <v/>
      </c>
      <c r="K9" s="27" t="n">
        <f aca="false">IF(B9="Wednesday",0,C9)</f>
        <v>-9393.75</v>
      </c>
      <c r="L9" s="28" t="n">
        <f aca="false">L8+K9/$T$1*100</f>
        <v>2.746875</v>
      </c>
      <c r="M9" s="28" t="n">
        <f aca="false">MAX(0,MAX($L$2:L9))</f>
        <v>5.682421875</v>
      </c>
      <c r="N9" s="28" t="n">
        <f aca="false">L9-M9</f>
        <v>-2.935546875</v>
      </c>
      <c r="O9" s="25" t="n">
        <f aca="false">IF(N9&gt;=-0.0000001,A9,O8)</f>
        <v>45861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MIN(A2:A137)</f>
        <v>45847</v>
      </c>
    </row>
    <row r="10" customFormat="false" ht="15" hidden="false" customHeight="false" outlineLevel="0" collapsed="false">
      <c r="A10" s="25" t="n">
        <v>45863</v>
      </c>
      <c r="B10" s="26" t="s">
        <v>83</v>
      </c>
      <c r="C10" s="27" t="n">
        <v>6693.75</v>
      </c>
      <c r="D10" s="28" t="n">
        <f aca="false">C10/$T$1*100</f>
        <v>2.091796875</v>
      </c>
      <c r="E10" s="28" t="n">
        <f aca="false">E9+D10</f>
        <v>8.007421875</v>
      </c>
      <c r="F10" s="28" t="n">
        <f aca="false">MAX(0,MAX($E$2:E10))</f>
        <v>8.851171875</v>
      </c>
      <c r="G10" s="28" t="n">
        <f aca="false">E10-F10</f>
        <v>-0.84375</v>
      </c>
      <c r="H10" s="25" t="n">
        <f aca="false">IF(G10&gt;=-0.0000001,A10,H9)</f>
        <v>45861</v>
      </c>
      <c r="I10" s="29" t="n">
        <f aca="false">IF(AND(G10&gt;=-0.0000001,G9&lt;0),1,0)</f>
        <v>0</v>
      </c>
      <c r="J10" s="30" t="str">
        <f aca="false">IF(I10=1,A10-H9,"")</f>
        <v/>
      </c>
      <c r="K10" s="27" t="n">
        <f aca="false">IF(B10="Wednesday",0,C10)</f>
        <v>6693.75</v>
      </c>
      <c r="L10" s="28" t="n">
        <f aca="false">L9+K10/$T$1*100</f>
        <v>4.838671875</v>
      </c>
      <c r="M10" s="28" t="n">
        <f aca="false">MAX(0,MAX($L$2:L10))</f>
        <v>5.682421875</v>
      </c>
      <c r="N10" s="28" t="n">
        <f aca="false">L10-M10</f>
        <v>-0.84375</v>
      </c>
      <c r="O10" s="25" t="n">
        <f aca="false">IF(N10&gt;=-0.0000001,A10,O9)</f>
        <v>45861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45866</v>
      </c>
      <c r="B11" s="26" t="s">
        <v>79</v>
      </c>
      <c r="C11" s="27" t="n">
        <v>19815</v>
      </c>
      <c r="D11" s="28" t="n">
        <f aca="false">C11/$T$1*100</f>
        <v>6.1921875</v>
      </c>
      <c r="E11" s="28" t="n">
        <f aca="false">E10+D11</f>
        <v>14.199609375</v>
      </c>
      <c r="F11" s="28" t="n">
        <f aca="false">MAX(0,MAX($E$2:E11))</f>
        <v>14.199609375</v>
      </c>
      <c r="G11" s="28" t="n">
        <f aca="false">E11-F11</f>
        <v>0</v>
      </c>
      <c r="H11" s="25" t="n">
        <f aca="false">IF(G11&gt;=-0.0000001,A11,H10)</f>
        <v>45866</v>
      </c>
      <c r="I11" s="29" t="n">
        <f aca="false">IF(AND(G11&gt;=-0.0000001,G10&lt;0),1,0)</f>
        <v>1</v>
      </c>
      <c r="J11" s="30" t="n">
        <f aca="false">IF(I11=1,A11-H10,"")</f>
        <v>5</v>
      </c>
      <c r="K11" s="27" t="n">
        <f aca="false">IF(B11="Wednesday",0,C11)</f>
        <v>19815</v>
      </c>
      <c r="L11" s="28" t="n">
        <f aca="false">L10+K11/$T$1*100</f>
        <v>11.030859375</v>
      </c>
      <c r="M11" s="28" t="n">
        <f aca="false">MAX(0,MAX($L$2:L11))</f>
        <v>11.030859375</v>
      </c>
      <c r="N11" s="28" t="n">
        <f aca="false">L11-M11</f>
        <v>0</v>
      </c>
      <c r="O11" s="25" t="n">
        <f aca="false">IF(N11&gt;=-0.0000001,A11,O10)</f>
        <v>45866</v>
      </c>
      <c r="P11" s="29" t="n">
        <f aca="false">IF(AND(N11&gt;=-0.0000001,N10&lt;0),1,0)</f>
        <v>1</v>
      </c>
      <c r="Q11" s="30" t="n">
        <f aca="false">IF(P11=1,A11-O10,"")</f>
        <v>5</v>
      </c>
    </row>
    <row r="12" customFormat="false" ht="15" hidden="false" customHeight="false" outlineLevel="0" collapsed="false">
      <c r="A12" s="25" t="n">
        <v>45867</v>
      </c>
      <c r="B12" s="26" t="s">
        <v>80</v>
      </c>
      <c r="C12" s="27" t="n">
        <v>-14310</v>
      </c>
      <c r="D12" s="28" t="n">
        <f aca="false">C12/$T$1*100</f>
        <v>-4.471875</v>
      </c>
      <c r="E12" s="28" t="n">
        <f aca="false">E11+D12</f>
        <v>9.727734375</v>
      </c>
      <c r="F12" s="28" t="n">
        <f aca="false">MAX(0,MAX($E$2:E12))</f>
        <v>14.199609375</v>
      </c>
      <c r="G12" s="28" t="n">
        <f aca="false">E12-F12</f>
        <v>-4.471875</v>
      </c>
      <c r="H12" s="25" t="n">
        <f aca="false">IF(G12&gt;=-0.0000001,A12,H11)</f>
        <v>45866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-14310</v>
      </c>
      <c r="L12" s="28" t="n">
        <f aca="false">L11+K12/$T$1*100</f>
        <v>6.558984375</v>
      </c>
      <c r="M12" s="28" t="n">
        <f aca="false">MAX(0,MAX($L$2:L12))</f>
        <v>11.030859375</v>
      </c>
      <c r="N12" s="28" t="n">
        <f aca="false">L12-M12</f>
        <v>-4.471875</v>
      </c>
      <c r="O12" s="25" t="n">
        <f aca="false">IF(N12&gt;=-0.0000001,A12,O11)</f>
        <v>45866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45868</v>
      </c>
      <c r="B13" s="26" t="s">
        <v>81</v>
      </c>
      <c r="C13" s="27" t="n">
        <v>13950</v>
      </c>
      <c r="D13" s="28" t="n">
        <f aca="false">C13/$T$1*100</f>
        <v>4.359375</v>
      </c>
      <c r="E13" s="28" t="n">
        <f aca="false">E12+D13</f>
        <v>14.087109375</v>
      </c>
      <c r="F13" s="28" t="n">
        <f aca="false">MAX(0,MAX($E$2:E13))</f>
        <v>14.199609375</v>
      </c>
      <c r="G13" s="28" t="n">
        <f aca="false">E13-F13</f>
        <v>-0.112500000000001</v>
      </c>
      <c r="H13" s="25" t="n">
        <f aca="false">IF(G13&gt;=-0.0000001,A13,H12)</f>
        <v>45866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0</v>
      </c>
      <c r="L13" s="28" t="n">
        <f aca="false">L12+K13/$T$1*100</f>
        <v>6.558984375</v>
      </c>
      <c r="M13" s="28" t="n">
        <f aca="false">MAX(0,MAX($L$2:L13))</f>
        <v>11.030859375</v>
      </c>
      <c r="N13" s="28" t="n">
        <f aca="false">L13-M13</f>
        <v>-4.471875</v>
      </c>
      <c r="O13" s="25" t="n">
        <f aca="false">IF(N13&gt;=-0.0000001,A13,O12)</f>
        <v>45866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45870</v>
      </c>
      <c r="B14" s="26" t="s">
        <v>83</v>
      </c>
      <c r="C14" s="27" t="n">
        <v>-2073.75</v>
      </c>
      <c r="D14" s="28" t="n">
        <f aca="false">C14/$T$1*100</f>
        <v>-0.648046875</v>
      </c>
      <c r="E14" s="28" t="n">
        <f aca="false">E13+D14</f>
        <v>13.4390625</v>
      </c>
      <c r="F14" s="28" t="n">
        <f aca="false">MAX(0,MAX($E$2:E14))</f>
        <v>14.199609375</v>
      </c>
      <c r="G14" s="28" t="n">
        <f aca="false">E14-F14</f>
        <v>-0.760546875000001</v>
      </c>
      <c r="H14" s="25" t="n">
        <f aca="false">IF(G14&gt;=-0.0000001,A14,H13)</f>
        <v>45866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-2073.75</v>
      </c>
      <c r="L14" s="28" t="n">
        <f aca="false">L13+K14/$T$1*100</f>
        <v>5.9109375</v>
      </c>
      <c r="M14" s="28" t="n">
        <f aca="false">MAX(0,MAX($L$2:L14))</f>
        <v>11.030859375</v>
      </c>
      <c r="N14" s="28" t="n">
        <f aca="false">L14-M14</f>
        <v>-5.119921875</v>
      </c>
      <c r="O14" s="25" t="n">
        <f aca="false">IF(N14&gt;=-0.0000001,A14,O13)</f>
        <v>45866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45873</v>
      </c>
      <c r="B15" s="26" t="s">
        <v>79</v>
      </c>
      <c r="C15" s="27" t="n">
        <v>12705</v>
      </c>
      <c r="D15" s="28" t="n">
        <f aca="false">C15/$T$1*100</f>
        <v>3.9703125</v>
      </c>
      <c r="E15" s="28" t="n">
        <f aca="false">E14+D15</f>
        <v>17.409375</v>
      </c>
      <c r="F15" s="28" t="n">
        <f aca="false">MAX(0,MAX($E$2:E15))</f>
        <v>17.409375</v>
      </c>
      <c r="G15" s="28" t="n">
        <f aca="false">E15-F15</f>
        <v>0</v>
      </c>
      <c r="H15" s="25" t="n">
        <f aca="false">IF(G15&gt;=-0.0000001,A15,H14)</f>
        <v>45873</v>
      </c>
      <c r="I15" s="29" t="n">
        <f aca="false">IF(AND(G15&gt;=-0.0000001,G14&lt;0),1,0)</f>
        <v>1</v>
      </c>
      <c r="J15" s="30" t="n">
        <f aca="false">IF(I15=1,A15-H14,"")</f>
        <v>7</v>
      </c>
      <c r="K15" s="27" t="n">
        <f aca="false">IF(B15="Wednesday",0,C15)</f>
        <v>12705</v>
      </c>
      <c r="L15" s="28" t="n">
        <f aca="false">L14+K15/$T$1*100</f>
        <v>9.88125</v>
      </c>
      <c r="M15" s="28" t="n">
        <f aca="false">MAX(0,MAX($L$2:L15))</f>
        <v>11.030859375</v>
      </c>
      <c r="N15" s="28" t="n">
        <f aca="false">L15-M15</f>
        <v>-1.149609375</v>
      </c>
      <c r="O15" s="25" t="n">
        <f aca="false">IF(N15&gt;=-0.0000001,A15,O14)</f>
        <v>45866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45875</v>
      </c>
      <c r="B16" s="26" t="s">
        <v>81</v>
      </c>
      <c r="C16" s="27" t="n">
        <v>15420</v>
      </c>
      <c r="D16" s="28" t="n">
        <f aca="false">C16/$T$1*100</f>
        <v>4.81875</v>
      </c>
      <c r="E16" s="28" t="n">
        <f aca="false">E15+D16</f>
        <v>22.228125</v>
      </c>
      <c r="F16" s="28" t="n">
        <f aca="false">MAX(0,MAX($E$2:E16))</f>
        <v>22.228125</v>
      </c>
      <c r="G16" s="28" t="n">
        <f aca="false">E16-F16</f>
        <v>0</v>
      </c>
      <c r="H16" s="25" t="n">
        <f aca="false">IF(G16&gt;=-0.0000001,A16,H15)</f>
        <v>45875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0</v>
      </c>
      <c r="L16" s="28" t="n">
        <f aca="false">L15+K16/$T$1*100</f>
        <v>9.88125</v>
      </c>
      <c r="M16" s="28" t="n">
        <f aca="false">MAX(0,MAX($L$2:L16))</f>
        <v>11.030859375</v>
      </c>
      <c r="N16" s="28" t="n">
        <f aca="false">L16-M16</f>
        <v>-1.149609375</v>
      </c>
      <c r="O16" s="25" t="n">
        <f aca="false">IF(N16&gt;=-0.0000001,A16,O15)</f>
        <v>45866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45876</v>
      </c>
      <c r="B17" s="26" t="s">
        <v>82</v>
      </c>
      <c r="C17" s="27" t="n">
        <v>-9888.75</v>
      </c>
      <c r="D17" s="28" t="n">
        <f aca="false">C17/$T$1*100</f>
        <v>-3.090234375</v>
      </c>
      <c r="E17" s="28" t="n">
        <f aca="false">E16+D17</f>
        <v>19.137890625</v>
      </c>
      <c r="F17" s="28" t="n">
        <f aca="false">MAX(0,MAX($E$2:E17))</f>
        <v>22.228125</v>
      </c>
      <c r="G17" s="28" t="n">
        <f aca="false">E17-F17</f>
        <v>-3.090234375</v>
      </c>
      <c r="H17" s="25" t="n">
        <f aca="false">IF(G17&gt;=-0.0000001,A17,H16)</f>
        <v>45875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-9888.75</v>
      </c>
      <c r="L17" s="28" t="n">
        <f aca="false">L16+K17/$T$1*100</f>
        <v>6.791015625</v>
      </c>
      <c r="M17" s="28" t="n">
        <f aca="false">MAX(0,MAX($L$2:L17))</f>
        <v>11.030859375</v>
      </c>
      <c r="N17" s="28" t="n">
        <f aca="false">L17-M17</f>
        <v>-4.23984375</v>
      </c>
      <c r="O17" s="25" t="n">
        <f aca="false">IF(N17&gt;=-0.0000001,A17,O16)</f>
        <v>45866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45877</v>
      </c>
      <c r="B18" s="26" t="s">
        <v>83</v>
      </c>
      <c r="C18" s="27" t="n">
        <v>-13890</v>
      </c>
      <c r="D18" s="28" t="n">
        <f aca="false">C18/$T$1*100</f>
        <v>-4.340625</v>
      </c>
      <c r="E18" s="28" t="n">
        <f aca="false">E17+D18</f>
        <v>14.797265625</v>
      </c>
      <c r="F18" s="28" t="n">
        <f aca="false">MAX(0,MAX($E$2:E18))</f>
        <v>22.228125</v>
      </c>
      <c r="G18" s="28" t="n">
        <f aca="false">E18-F18</f>
        <v>-7.430859375</v>
      </c>
      <c r="H18" s="25" t="n">
        <f aca="false">IF(G18&gt;=-0.0000001,A18,H17)</f>
        <v>45875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-13890</v>
      </c>
      <c r="L18" s="28" t="n">
        <f aca="false">L17+K18/$T$1*100</f>
        <v>2.450390625</v>
      </c>
      <c r="M18" s="28" t="n">
        <f aca="false">MAX(0,MAX($L$2:L18))</f>
        <v>11.030859375</v>
      </c>
      <c r="N18" s="28" t="n">
        <f aca="false">L18-M18</f>
        <v>-8.58046875</v>
      </c>
      <c r="O18" s="25" t="n">
        <f aca="false">IF(N18&gt;=-0.0000001,A18,O17)</f>
        <v>45866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45880</v>
      </c>
      <c r="B19" s="26" t="s">
        <v>79</v>
      </c>
      <c r="C19" s="27" t="n">
        <v>14835</v>
      </c>
      <c r="D19" s="28" t="n">
        <f aca="false">C19/$T$1*100</f>
        <v>4.6359375</v>
      </c>
      <c r="E19" s="28" t="n">
        <f aca="false">E18+D19</f>
        <v>19.433203125</v>
      </c>
      <c r="F19" s="28" t="n">
        <f aca="false">MAX(0,MAX($E$2:E19))</f>
        <v>22.228125</v>
      </c>
      <c r="G19" s="28" t="n">
        <f aca="false">E19-F19</f>
        <v>-2.794921875</v>
      </c>
      <c r="H19" s="25" t="n">
        <f aca="false">IF(G19&gt;=-0.0000001,A19,H18)</f>
        <v>45875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14835</v>
      </c>
      <c r="L19" s="28" t="n">
        <f aca="false">L18+K19/$T$1*100</f>
        <v>7.086328125</v>
      </c>
      <c r="M19" s="28" t="n">
        <f aca="false">MAX(0,MAX($L$2:L19))</f>
        <v>11.030859375</v>
      </c>
      <c r="N19" s="28" t="n">
        <f aca="false">L19-M19</f>
        <v>-3.94453125</v>
      </c>
      <c r="O19" s="25" t="n">
        <f aca="false">IF(N19&gt;=-0.0000001,A19,O18)</f>
        <v>45866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45882</v>
      </c>
      <c r="B20" s="26" t="s">
        <v>81</v>
      </c>
      <c r="C20" s="27" t="n">
        <v>12840</v>
      </c>
      <c r="D20" s="28" t="n">
        <f aca="false">C20/$T$1*100</f>
        <v>4.0125</v>
      </c>
      <c r="E20" s="28" t="n">
        <f aca="false">E19+D20</f>
        <v>23.445703125</v>
      </c>
      <c r="F20" s="28" t="n">
        <f aca="false">MAX(0,MAX($E$2:E20))</f>
        <v>23.445703125</v>
      </c>
      <c r="G20" s="28" t="n">
        <f aca="false">E20-F20</f>
        <v>0</v>
      </c>
      <c r="H20" s="25" t="n">
        <f aca="false">IF(G20&gt;=-0.0000001,A20,H19)</f>
        <v>45882</v>
      </c>
      <c r="I20" s="29" t="n">
        <f aca="false">IF(AND(G20&gt;=-0.0000001,G19&lt;0),1,0)</f>
        <v>1</v>
      </c>
      <c r="J20" s="30" t="n">
        <f aca="false">IF(I20=1,A20-H19,"")</f>
        <v>7</v>
      </c>
      <c r="K20" s="27" t="n">
        <f aca="false">IF(B20="Wednesday",0,C20)</f>
        <v>0</v>
      </c>
      <c r="L20" s="28" t="n">
        <f aca="false">L19+K20/$T$1*100</f>
        <v>7.086328125</v>
      </c>
      <c r="M20" s="28" t="n">
        <f aca="false">MAX(0,MAX($L$2:L20))</f>
        <v>11.030859375</v>
      </c>
      <c r="N20" s="28" t="n">
        <f aca="false">L20-M20</f>
        <v>-3.94453125</v>
      </c>
      <c r="O20" s="25" t="n">
        <f aca="false">IF(N20&gt;=-0.0000001,A20,O19)</f>
        <v>45866</v>
      </c>
      <c r="P20" s="29" t="n">
        <f aca="false">IF(AND(N20&gt;=-0.0000001,N19&lt;0),1,0)</f>
        <v>0</v>
      </c>
      <c r="Q20" s="30" t="str">
        <f aca="false">IF(P20=1,A20-O19,"")</f>
        <v/>
      </c>
    </row>
    <row r="21" customFormat="false" ht="15" hidden="false" customHeight="false" outlineLevel="0" collapsed="false">
      <c r="A21" s="25" t="n">
        <v>45884</v>
      </c>
      <c r="B21" s="26" t="s">
        <v>83</v>
      </c>
      <c r="C21" s="27" t="n">
        <v>5422.5</v>
      </c>
      <c r="D21" s="28" t="n">
        <f aca="false">C21/$T$1*100</f>
        <v>1.69453125</v>
      </c>
      <c r="E21" s="28" t="n">
        <f aca="false">E20+D21</f>
        <v>25.140234375</v>
      </c>
      <c r="F21" s="28" t="n">
        <f aca="false">MAX(0,MAX($E$2:E21))</f>
        <v>25.140234375</v>
      </c>
      <c r="G21" s="28" t="n">
        <f aca="false">E21-F21</f>
        <v>0</v>
      </c>
      <c r="H21" s="25" t="n">
        <f aca="false">IF(G21&gt;=-0.0000001,A21,H20)</f>
        <v>45884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5422.5</v>
      </c>
      <c r="L21" s="28" t="n">
        <f aca="false">L20+K21/$T$1*100</f>
        <v>8.780859375</v>
      </c>
      <c r="M21" s="28" t="n">
        <f aca="false">MAX(0,MAX($L$2:L21))</f>
        <v>11.030859375</v>
      </c>
      <c r="N21" s="28" t="n">
        <f aca="false">L21-M21</f>
        <v>-2.25</v>
      </c>
      <c r="O21" s="25" t="n">
        <f aca="false">IF(N21&gt;=-0.0000001,A21,O20)</f>
        <v>45866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45888</v>
      </c>
      <c r="B22" s="26" t="s">
        <v>80</v>
      </c>
      <c r="C22" s="27" t="n">
        <v>12195</v>
      </c>
      <c r="D22" s="28" t="n">
        <f aca="false">C22/$T$1*100</f>
        <v>3.8109375</v>
      </c>
      <c r="E22" s="28" t="n">
        <f aca="false">E21+D22</f>
        <v>28.951171875</v>
      </c>
      <c r="F22" s="28" t="n">
        <f aca="false">MAX(0,MAX($E$2:E22))</f>
        <v>28.951171875</v>
      </c>
      <c r="G22" s="28" t="n">
        <f aca="false">E22-F22</f>
        <v>0</v>
      </c>
      <c r="H22" s="25" t="n">
        <f aca="false">IF(G22&gt;=-0.0000001,A22,H21)</f>
        <v>45888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12195</v>
      </c>
      <c r="L22" s="28" t="n">
        <f aca="false">L21+K22/$T$1*100</f>
        <v>12.591796875</v>
      </c>
      <c r="M22" s="28" t="n">
        <f aca="false">MAX(0,MAX($L$2:L22))</f>
        <v>12.591796875</v>
      </c>
      <c r="N22" s="28" t="n">
        <f aca="false">L22-M22</f>
        <v>0</v>
      </c>
      <c r="O22" s="25" t="n">
        <f aca="false">IF(N22&gt;=-0.0000001,A22,O21)</f>
        <v>45888</v>
      </c>
      <c r="P22" s="29" t="n">
        <f aca="false">IF(AND(N22&gt;=-0.0000001,N21&lt;0),1,0)</f>
        <v>1</v>
      </c>
      <c r="Q22" s="30" t="n">
        <f aca="false">IF(P22=1,A22-O21,"")</f>
        <v>22</v>
      </c>
    </row>
    <row r="23" customFormat="false" ht="15" hidden="false" customHeight="false" outlineLevel="0" collapsed="false">
      <c r="A23" s="25" t="n">
        <v>45890</v>
      </c>
      <c r="B23" s="26" t="s">
        <v>82</v>
      </c>
      <c r="C23" s="27" t="n">
        <v>19575</v>
      </c>
      <c r="D23" s="28" t="n">
        <f aca="false">C23/$T$1*100</f>
        <v>6.1171875</v>
      </c>
      <c r="E23" s="28" t="n">
        <f aca="false">E22+D23</f>
        <v>35.068359375</v>
      </c>
      <c r="F23" s="28" t="n">
        <f aca="false">MAX(0,MAX($E$2:E23))</f>
        <v>35.068359375</v>
      </c>
      <c r="G23" s="28" t="n">
        <f aca="false">E23-F23</f>
        <v>0</v>
      </c>
      <c r="H23" s="25" t="n">
        <f aca="false">IF(G23&gt;=-0.0000001,A23,H22)</f>
        <v>45890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19575</v>
      </c>
      <c r="L23" s="28" t="n">
        <f aca="false">L22+K23/$T$1*100</f>
        <v>18.708984375</v>
      </c>
      <c r="M23" s="28" t="n">
        <f aca="false">MAX(0,MAX($L$2:L23))</f>
        <v>18.708984375</v>
      </c>
      <c r="N23" s="28" t="n">
        <f aca="false">L23-M23</f>
        <v>0</v>
      </c>
      <c r="O23" s="25" t="n">
        <f aca="false">IF(N23&gt;=-0.0000001,A23,O22)</f>
        <v>45890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45894</v>
      </c>
      <c r="B24" s="26" t="s">
        <v>79</v>
      </c>
      <c r="C24" s="27" t="n">
        <v>1335</v>
      </c>
      <c r="D24" s="28" t="n">
        <f aca="false">C24/$T$1*100</f>
        <v>0.4171875</v>
      </c>
      <c r="E24" s="28" t="n">
        <f aca="false">E23+D24</f>
        <v>35.485546875</v>
      </c>
      <c r="F24" s="28" t="n">
        <f aca="false">MAX(0,MAX($E$2:E24))</f>
        <v>35.485546875</v>
      </c>
      <c r="G24" s="28" t="n">
        <f aca="false">E24-F24</f>
        <v>0</v>
      </c>
      <c r="H24" s="25" t="n">
        <f aca="false">IF(G24&gt;=-0.0000001,A24,H23)</f>
        <v>45894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1335</v>
      </c>
      <c r="L24" s="28" t="n">
        <f aca="false">L23+K24/$T$1*100</f>
        <v>19.126171875</v>
      </c>
      <c r="M24" s="28" t="n">
        <f aca="false">MAX(0,MAX($L$2:L24))</f>
        <v>19.126171875</v>
      </c>
      <c r="N24" s="28" t="n">
        <f aca="false">L24-M24</f>
        <v>0</v>
      </c>
      <c r="O24" s="25" t="n">
        <f aca="false">IF(N24&gt;=-0.0000001,A24,O23)</f>
        <v>45894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45897</v>
      </c>
      <c r="B25" s="26" t="s">
        <v>82</v>
      </c>
      <c r="C25" s="27" t="n">
        <v>3052.5</v>
      </c>
      <c r="D25" s="28" t="n">
        <f aca="false">C25/$T$1*100</f>
        <v>0.95390625</v>
      </c>
      <c r="E25" s="28" t="n">
        <f aca="false">E24+D25</f>
        <v>36.439453125</v>
      </c>
      <c r="F25" s="28" t="n">
        <f aca="false">MAX(0,MAX($E$2:E25))</f>
        <v>36.439453125</v>
      </c>
      <c r="G25" s="28" t="n">
        <f aca="false">E25-F25</f>
        <v>0</v>
      </c>
      <c r="H25" s="25" t="n">
        <f aca="false">IF(G25&gt;=-0.0000001,A25,H24)</f>
        <v>45897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3052.5</v>
      </c>
      <c r="L25" s="28" t="n">
        <f aca="false">L24+K25/$T$1*100</f>
        <v>20.080078125</v>
      </c>
      <c r="M25" s="28" t="n">
        <f aca="false">MAX(0,MAX($L$2:L25))</f>
        <v>20.080078125</v>
      </c>
      <c r="N25" s="28" t="n">
        <f aca="false">L25-M25</f>
        <v>0</v>
      </c>
      <c r="O25" s="25" t="n">
        <f aca="false">IF(N25&gt;=-0.0000001,A25,O24)</f>
        <v>45897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45901</v>
      </c>
      <c r="B26" s="26" t="s">
        <v>79</v>
      </c>
      <c r="C26" s="27" t="n">
        <v>23062.5</v>
      </c>
      <c r="D26" s="28" t="n">
        <f aca="false">C26/$T$1*100</f>
        <v>7.20703125</v>
      </c>
      <c r="E26" s="28" t="n">
        <f aca="false">E25+D26</f>
        <v>43.646484375</v>
      </c>
      <c r="F26" s="28" t="n">
        <f aca="false">MAX(0,MAX($E$2:E26))</f>
        <v>43.646484375</v>
      </c>
      <c r="G26" s="28" t="n">
        <f aca="false">E26-F26</f>
        <v>0</v>
      </c>
      <c r="H26" s="25" t="n">
        <f aca="false">IF(G26&gt;=-0.0000001,A26,H25)</f>
        <v>45901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23062.5</v>
      </c>
      <c r="L26" s="28" t="n">
        <f aca="false">L25+K26/$T$1*100</f>
        <v>27.287109375</v>
      </c>
      <c r="M26" s="28" t="n">
        <f aca="false">MAX(0,MAX($L$2:L26))</f>
        <v>27.287109375</v>
      </c>
      <c r="N26" s="28" t="n">
        <f aca="false">L26-M26</f>
        <v>0</v>
      </c>
      <c r="O26" s="25" t="n">
        <f aca="false">IF(N26&gt;=-0.0000001,A26,O25)</f>
        <v>45901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45903</v>
      </c>
      <c r="B27" s="26" t="s">
        <v>81</v>
      </c>
      <c r="C27" s="27" t="n">
        <v>2576.25</v>
      </c>
      <c r="D27" s="28" t="n">
        <f aca="false">C27/$T$1*100</f>
        <v>0.805078125</v>
      </c>
      <c r="E27" s="28" t="n">
        <f aca="false">E26+D27</f>
        <v>44.4515625</v>
      </c>
      <c r="F27" s="28" t="n">
        <f aca="false">MAX(0,MAX($E$2:E27))</f>
        <v>44.4515625</v>
      </c>
      <c r="G27" s="28" t="n">
        <f aca="false">E27-F27</f>
        <v>0</v>
      </c>
      <c r="H27" s="25" t="n">
        <f aca="false">IF(G27&gt;=-0.0000001,A27,H26)</f>
        <v>45903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0</v>
      </c>
      <c r="L27" s="28" t="n">
        <f aca="false">L26+K27/$T$1*100</f>
        <v>27.287109375</v>
      </c>
      <c r="M27" s="28" t="n">
        <f aca="false">MAX(0,MAX($L$2:L27))</f>
        <v>27.287109375</v>
      </c>
      <c r="N27" s="28" t="n">
        <f aca="false">L27-M27</f>
        <v>0</v>
      </c>
      <c r="O27" s="25" t="n">
        <f aca="false">IF(N27&gt;=-0.0000001,A27,O26)</f>
        <v>45903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45905</v>
      </c>
      <c r="B28" s="26" t="s">
        <v>83</v>
      </c>
      <c r="C28" s="27" t="n">
        <v>15180</v>
      </c>
      <c r="D28" s="28" t="n">
        <f aca="false">C28/$T$1*100</f>
        <v>4.74375</v>
      </c>
      <c r="E28" s="28" t="n">
        <f aca="false">E27+D28</f>
        <v>49.1953125</v>
      </c>
      <c r="F28" s="28" t="n">
        <f aca="false">MAX(0,MAX($E$2:E28))</f>
        <v>49.1953125</v>
      </c>
      <c r="G28" s="28" t="n">
        <f aca="false">E28-F28</f>
        <v>0</v>
      </c>
      <c r="H28" s="25" t="n">
        <f aca="false">IF(G28&gt;=-0.0000001,A28,H27)</f>
        <v>45905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15180</v>
      </c>
      <c r="L28" s="28" t="n">
        <f aca="false">L27+K28/$T$1*100</f>
        <v>32.030859375</v>
      </c>
      <c r="M28" s="28" t="n">
        <f aca="false">MAX(0,MAX($L$2:L28))</f>
        <v>32.030859375</v>
      </c>
      <c r="N28" s="28" t="n">
        <f aca="false">L28-M28</f>
        <v>0</v>
      </c>
      <c r="O28" s="25" t="n">
        <f aca="false">IF(N28&gt;=-0.0000001,A28,O27)</f>
        <v>45905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45908</v>
      </c>
      <c r="B29" s="26" t="s">
        <v>79</v>
      </c>
      <c r="C29" s="27" t="n">
        <v>-26040</v>
      </c>
      <c r="D29" s="28" t="n">
        <f aca="false">C29/$T$1*100</f>
        <v>-8.1375</v>
      </c>
      <c r="E29" s="28" t="n">
        <f aca="false">E28+D29</f>
        <v>41.0578125</v>
      </c>
      <c r="F29" s="28" t="n">
        <f aca="false">MAX(0,MAX($E$2:E29))</f>
        <v>49.1953125</v>
      </c>
      <c r="G29" s="28" t="n">
        <f aca="false">E29-F29</f>
        <v>-8.1375</v>
      </c>
      <c r="H29" s="25" t="n">
        <f aca="false">IF(G29&gt;=-0.0000001,A29,H28)</f>
        <v>45905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-26040</v>
      </c>
      <c r="L29" s="28" t="n">
        <f aca="false">L28+K29/$T$1*100</f>
        <v>23.893359375</v>
      </c>
      <c r="M29" s="28" t="n">
        <f aca="false">MAX(0,MAX($L$2:L29))</f>
        <v>32.030859375</v>
      </c>
      <c r="N29" s="28" t="n">
        <f aca="false">L29-M29</f>
        <v>-8.1375</v>
      </c>
      <c r="O29" s="25" t="n">
        <f aca="false">IF(N29&gt;=-0.0000001,A29,O28)</f>
        <v>45905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45910</v>
      </c>
      <c r="B30" s="26" t="s">
        <v>81</v>
      </c>
      <c r="C30" s="27" t="n">
        <v>2576.25</v>
      </c>
      <c r="D30" s="28" t="n">
        <f aca="false">C30/$T$1*100</f>
        <v>0.805078125</v>
      </c>
      <c r="E30" s="28" t="n">
        <f aca="false">E29+D30</f>
        <v>41.862890625</v>
      </c>
      <c r="F30" s="28" t="n">
        <f aca="false">MAX(0,MAX($E$2:E30))</f>
        <v>49.1953125</v>
      </c>
      <c r="G30" s="28" t="n">
        <f aca="false">E30-F30</f>
        <v>-7.332421875</v>
      </c>
      <c r="H30" s="25" t="n">
        <f aca="false">IF(G30&gt;=-0.0000001,A30,H29)</f>
        <v>45905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0</v>
      </c>
      <c r="L30" s="28" t="n">
        <f aca="false">L29+K30/$T$1*100</f>
        <v>23.893359375</v>
      </c>
      <c r="M30" s="28" t="n">
        <f aca="false">MAX(0,MAX($L$2:L30))</f>
        <v>32.030859375</v>
      </c>
      <c r="N30" s="28" t="n">
        <f aca="false">L30-M30</f>
        <v>-8.1375</v>
      </c>
      <c r="O30" s="25" t="n">
        <f aca="false">IF(N30&gt;=-0.0000001,A30,O29)</f>
        <v>45905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45911</v>
      </c>
      <c r="B31" s="26" t="s">
        <v>82</v>
      </c>
      <c r="C31" s="27" t="n">
        <v>4035</v>
      </c>
      <c r="D31" s="28" t="n">
        <f aca="false">C31/$T$1*100</f>
        <v>1.2609375</v>
      </c>
      <c r="E31" s="28" t="n">
        <f aca="false">E30+D31</f>
        <v>43.123828125</v>
      </c>
      <c r="F31" s="28" t="n">
        <f aca="false">MAX(0,MAX($E$2:E31))</f>
        <v>49.1953125</v>
      </c>
      <c r="G31" s="28" t="n">
        <f aca="false">E31-F31</f>
        <v>-6.071484375</v>
      </c>
      <c r="H31" s="25" t="n">
        <f aca="false">IF(G31&gt;=-0.0000001,A31,H30)</f>
        <v>45905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4035</v>
      </c>
      <c r="L31" s="28" t="n">
        <f aca="false">L30+K31/$T$1*100</f>
        <v>25.154296875</v>
      </c>
      <c r="M31" s="28" t="n">
        <f aca="false">MAX(0,MAX($L$2:L31))</f>
        <v>32.030859375</v>
      </c>
      <c r="N31" s="28" t="n">
        <f aca="false">L31-M31</f>
        <v>-6.8765625</v>
      </c>
      <c r="O31" s="25" t="n">
        <f aca="false">IF(N31&gt;=-0.0000001,A31,O30)</f>
        <v>45905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45915</v>
      </c>
      <c r="B32" s="26" t="s">
        <v>79</v>
      </c>
      <c r="C32" s="27" t="n">
        <v>6825</v>
      </c>
      <c r="D32" s="28" t="n">
        <f aca="false">C32/$T$1*100</f>
        <v>2.1328125</v>
      </c>
      <c r="E32" s="28" t="n">
        <f aca="false">E31+D32</f>
        <v>45.256640625</v>
      </c>
      <c r="F32" s="28" t="n">
        <f aca="false">MAX(0,MAX($E$2:E32))</f>
        <v>49.1953125</v>
      </c>
      <c r="G32" s="28" t="n">
        <f aca="false">E32-F32</f>
        <v>-3.938671875</v>
      </c>
      <c r="H32" s="25" t="n">
        <f aca="false">IF(G32&gt;=-0.0000001,A32,H31)</f>
        <v>45905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6825</v>
      </c>
      <c r="L32" s="28" t="n">
        <f aca="false">L31+K32/$T$1*100</f>
        <v>27.287109375</v>
      </c>
      <c r="M32" s="28" t="n">
        <f aca="false">MAX(0,MAX($L$2:L32))</f>
        <v>32.030859375</v>
      </c>
      <c r="N32" s="28" t="n">
        <f aca="false">L32-M32</f>
        <v>-4.74375</v>
      </c>
      <c r="O32" s="25" t="n">
        <f aca="false">IF(N32&gt;=-0.0000001,A32,O31)</f>
        <v>45905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45917</v>
      </c>
      <c r="B33" s="26" t="s">
        <v>81</v>
      </c>
      <c r="C33" s="27" t="n">
        <v>-8505</v>
      </c>
      <c r="D33" s="28" t="n">
        <f aca="false">C33/$T$1*100</f>
        <v>-2.6578125</v>
      </c>
      <c r="E33" s="28" t="n">
        <f aca="false">E32+D33</f>
        <v>42.598828125</v>
      </c>
      <c r="F33" s="28" t="n">
        <f aca="false">MAX(0,MAX($E$2:E33))</f>
        <v>49.1953125</v>
      </c>
      <c r="G33" s="28" t="n">
        <f aca="false">E33-F33</f>
        <v>-6.596484375</v>
      </c>
      <c r="H33" s="25" t="n">
        <f aca="false">IF(G33&gt;=-0.0000001,A33,H32)</f>
        <v>45905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0</v>
      </c>
      <c r="L33" s="28" t="n">
        <f aca="false">L32+K33/$T$1*100</f>
        <v>27.287109375</v>
      </c>
      <c r="M33" s="28" t="n">
        <f aca="false">MAX(0,MAX($L$2:L33))</f>
        <v>32.030859375</v>
      </c>
      <c r="N33" s="28" t="n">
        <f aca="false">L33-M33</f>
        <v>-4.74375</v>
      </c>
      <c r="O33" s="25" t="n">
        <f aca="false">IF(N33&gt;=-0.0000001,A33,O32)</f>
        <v>45905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45918</v>
      </c>
      <c r="B34" s="26" t="s">
        <v>82</v>
      </c>
      <c r="C34" s="27" t="n">
        <v>-17805</v>
      </c>
      <c r="D34" s="28" t="n">
        <f aca="false">C34/$T$1*100</f>
        <v>-5.5640625</v>
      </c>
      <c r="E34" s="28" t="n">
        <f aca="false">E33+D34</f>
        <v>37.034765625</v>
      </c>
      <c r="F34" s="28" t="n">
        <f aca="false">MAX(0,MAX($E$2:E34))</f>
        <v>49.1953125</v>
      </c>
      <c r="G34" s="28" t="n">
        <f aca="false">E34-F34</f>
        <v>-12.160546875</v>
      </c>
      <c r="H34" s="25" t="n">
        <f aca="false">IF(G34&gt;=-0.0000001,A34,H33)</f>
        <v>45905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-17805</v>
      </c>
      <c r="L34" s="28" t="n">
        <f aca="false">L33+K34/$T$1*100</f>
        <v>21.723046875</v>
      </c>
      <c r="M34" s="28" t="n">
        <f aca="false">MAX(0,MAX($L$2:L34))</f>
        <v>32.030859375</v>
      </c>
      <c r="N34" s="28" t="n">
        <f aca="false">L34-M34</f>
        <v>-10.3078125</v>
      </c>
      <c r="O34" s="25" t="n">
        <f aca="false">IF(N34&gt;=-0.0000001,A34,O33)</f>
        <v>45905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45919</v>
      </c>
      <c r="B35" s="26" t="s">
        <v>83</v>
      </c>
      <c r="C35" s="27" t="n">
        <v>18120</v>
      </c>
      <c r="D35" s="28" t="n">
        <f aca="false">C35/$T$1*100</f>
        <v>5.6625</v>
      </c>
      <c r="E35" s="28" t="n">
        <f aca="false">E34+D35</f>
        <v>42.697265625</v>
      </c>
      <c r="F35" s="28" t="n">
        <f aca="false">MAX(0,MAX($E$2:E35))</f>
        <v>49.1953125</v>
      </c>
      <c r="G35" s="28" t="n">
        <f aca="false">E35-F35</f>
        <v>-6.498046875</v>
      </c>
      <c r="H35" s="25" t="n">
        <f aca="false">IF(G35&gt;=-0.0000001,A35,H34)</f>
        <v>45905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18120</v>
      </c>
      <c r="L35" s="28" t="n">
        <f aca="false">L34+K35/$T$1*100</f>
        <v>27.385546875</v>
      </c>
      <c r="M35" s="28" t="n">
        <f aca="false">MAX(0,MAX($L$2:L35))</f>
        <v>32.030859375</v>
      </c>
      <c r="N35" s="28" t="n">
        <f aca="false">L35-M35</f>
        <v>-4.6453125</v>
      </c>
      <c r="O35" s="25" t="n">
        <f aca="false">IF(N35&gt;=-0.0000001,A35,O34)</f>
        <v>45905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45923</v>
      </c>
      <c r="B36" s="26" t="s">
        <v>80</v>
      </c>
      <c r="C36" s="27" t="n">
        <v>22815</v>
      </c>
      <c r="D36" s="28" t="n">
        <f aca="false">C36/$T$1*100</f>
        <v>7.1296875</v>
      </c>
      <c r="E36" s="28" t="n">
        <f aca="false">E35+D36</f>
        <v>49.826953125</v>
      </c>
      <c r="F36" s="28" t="n">
        <f aca="false">MAX(0,MAX($E$2:E36))</f>
        <v>49.826953125</v>
      </c>
      <c r="G36" s="28" t="n">
        <f aca="false">E36-F36</f>
        <v>0</v>
      </c>
      <c r="H36" s="25" t="n">
        <f aca="false">IF(G36&gt;=-0.0000001,A36,H35)</f>
        <v>45923</v>
      </c>
      <c r="I36" s="29" t="n">
        <f aca="false">IF(AND(G36&gt;=-0.0000001,G35&lt;0),1,0)</f>
        <v>1</v>
      </c>
      <c r="J36" s="30" t="n">
        <f aca="false">IF(I36=1,A36-H35,"")</f>
        <v>18</v>
      </c>
      <c r="K36" s="27" t="n">
        <f aca="false">IF(B36="Wednesday",0,C36)</f>
        <v>22815</v>
      </c>
      <c r="L36" s="28" t="n">
        <f aca="false">L35+K36/$T$1*100</f>
        <v>34.515234375</v>
      </c>
      <c r="M36" s="28" t="n">
        <f aca="false">MAX(0,MAX($L$2:L36))</f>
        <v>34.515234375</v>
      </c>
      <c r="N36" s="28" t="n">
        <f aca="false">L36-M36</f>
        <v>0</v>
      </c>
      <c r="O36" s="25" t="n">
        <f aca="false">IF(N36&gt;=-0.0000001,A36,O35)</f>
        <v>45923</v>
      </c>
      <c r="P36" s="29" t="n">
        <f aca="false">IF(AND(N36&gt;=-0.0000001,N35&lt;0),1,0)</f>
        <v>1</v>
      </c>
      <c r="Q36" s="30" t="n">
        <f aca="false">IF(P36=1,A36-O35,"")</f>
        <v>18</v>
      </c>
    </row>
    <row r="37" customFormat="false" ht="15" hidden="false" customHeight="false" outlineLevel="0" collapsed="false">
      <c r="A37" s="25" t="n">
        <v>45925</v>
      </c>
      <c r="B37" s="26" t="s">
        <v>82</v>
      </c>
      <c r="C37" s="27" t="n">
        <v>20025</v>
      </c>
      <c r="D37" s="28" t="n">
        <f aca="false">C37/$T$1*100</f>
        <v>6.2578125</v>
      </c>
      <c r="E37" s="28" t="n">
        <f aca="false">E36+D37</f>
        <v>56.084765625</v>
      </c>
      <c r="F37" s="28" t="n">
        <f aca="false">MAX(0,MAX($E$2:E37))</f>
        <v>56.084765625</v>
      </c>
      <c r="G37" s="28" t="n">
        <f aca="false">E37-F37</f>
        <v>0</v>
      </c>
      <c r="H37" s="25" t="n">
        <f aca="false">IF(G37&gt;=-0.0000001,A37,H36)</f>
        <v>45925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20025</v>
      </c>
      <c r="L37" s="28" t="n">
        <f aca="false">L36+K37/$T$1*100</f>
        <v>40.773046875</v>
      </c>
      <c r="M37" s="28" t="n">
        <f aca="false">MAX(0,MAX($L$2:L37))</f>
        <v>40.773046875</v>
      </c>
      <c r="N37" s="28" t="n">
        <f aca="false">L37-M37</f>
        <v>0</v>
      </c>
      <c r="O37" s="25" t="n">
        <f aca="false">IF(N37&gt;=-0.0000001,A37,O36)</f>
        <v>45925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45926</v>
      </c>
      <c r="B38" s="26" t="s">
        <v>83</v>
      </c>
      <c r="C38" s="27" t="n">
        <v>-18075</v>
      </c>
      <c r="D38" s="28" t="n">
        <f aca="false">C38/$T$1*100</f>
        <v>-5.6484375</v>
      </c>
      <c r="E38" s="28" t="n">
        <f aca="false">E37+D38</f>
        <v>50.436328125</v>
      </c>
      <c r="F38" s="28" t="n">
        <f aca="false">MAX(0,MAX($E$2:E38))</f>
        <v>56.084765625</v>
      </c>
      <c r="G38" s="28" t="n">
        <f aca="false">E38-F38</f>
        <v>-5.6484375</v>
      </c>
      <c r="H38" s="25" t="n">
        <f aca="false">IF(G38&gt;=-0.0000001,A38,H37)</f>
        <v>45925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-18075</v>
      </c>
      <c r="L38" s="28" t="n">
        <f aca="false">L37+K38/$T$1*100</f>
        <v>35.124609375</v>
      </c>
      <c r="M38" s="28" t="n">
        <f aca="false">MAX(0,MAX($L$2:L38))</f>
        <v>40.773046875</v>
      </c>
      <c r="N38" s="28" t="n">
        <f aca="false">L38-M38</f>
        <v>-5.6484375</v>
      </c>
      <c r="O38" s="25" t="n">
        <f aca="false">IF(N38&gt;=-0.0000001,A38,O37)</f>
        <v>45925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45929</v>
      </c>
      <c r="B39" s="26" t="s">
        <v>79</v>
      </c>
      <c r="C39" s="27" t="n">
        <v>3840</v>
      </c>
      <c r="D39" s="28" t="n">
        <f aca="false">C39/$T$1*100</f>
        <v>1.2</v>
      </c>
      <c r="E39" s="28" t="n">
        <f aca="false">E38+D39</f>
        <v>51.636328125</v>
      </c>
      <c r="F39" s="28" t="n">
        <f aca="false">MAX(0,MAX($E$2:E39))</f>
        <v>56.084765625</v>
      </c>
      <c r="G39" s="28" t="n">
        <f aca="false">E39-F39</f>
        <v>-4.4484375</v>
      </c>
      <c r="H39" s="25" t="n">
        <f aca="false">IF(G39&gt;=-0.0000001,A39,H38)</f>
        <v>45925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3840</v>
      </c>
      <c r="L39" s="28" t="n">
        <f aca="false">L38+K39/$T$1*100</f>
        <v>36.324609375</v>
      </c>
      <c r="M39" s="28" t="n">
        <f aca="false">MAX(0,MAX($L$2:L39))</f>
        <v>40.773046875</v>
      </c>
      <c r="N39" s="28" t="n">
        <f aca="false">L39-M39</f>
        <v>-4.4484375</v>
      </c>
      <c r="O39" s="25" t="n">
        <f aca="false">IF(N39&gt;=-0.0000001,A39,O38)</f>
        <v>45925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45930</v>
      </c>
      <c r="B40" s="26" t="s">
        <v>80</v>
      </c>
      <c r="C40" s="27" t="n">
        <v>7335</v>
      </c>
      <c r="D40" s="28" t="n">
        <f aca="false">C40/$T$1*100</f>
        <v>2.2921875</v>
      </c>
      <c r="E40" s="28" t="n">
        <f aca="false">E39+D40</f>
        <v>53.928515625</v>
      </c>
      <c r="F40" s="28" t="n">
        <f aca="false">MAX(0,MAX($E$2:E40))</f>
        <v>56.084765625</v>
      </c>
      <c r="G40" s="28" t="n">
        <f aca="false">E40-F40</f>
        <v>-2.15625</v>
      </c>
      <c r="H40" s="25" t="n">
        <f aca="false">IF(G40&gt;=-0.0000001,A40,H39)</f>
        <v>45925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7335</v>
      </c>
      <c r="L40" s="28" t="n">
        <f aca="false">L39+K40/$T$1*100</f>
        <v>38.616796875</v>
      </c>
      <c r="M40" s="28" t="n">
        <f aca="false">MAX(0,MAX($L$2:L40))</f>
        <v>40.773046875</v>
      </c>
      <c r="N40" s="28" t="n">
        <f aca="false">L40-M40</f>
        <v>-2.15625</v>
      </c>
      <c r="O40" s="25" t="n">
        <f aca="false">IF(N40&gt;=-0.0000001,A40,O39)</f>
        <v>45925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45933</v>
      </c>
      <c r="B41" s="26" t="s">
        <v>83</v>
      </c>
      <c r="C41" s="27" t="n">
        <v>20685</v>
      </c>
      <c r="D41" s="28" t="n">
        <f aca="false">C41/$T$1*100</f>
        <v>6.4640625</v>
      </c>
      <c r="E41" s="28" t="n">
        <f aca="false">E40+D41</f>
        <v>60.392578125</v>
      </c>
      <c r="F41" s="28" t="n">
        <f aca="false">MAX(0,MAX($E$2:E41))</f>
        <v>60.392578125</v>
      </c>
      <c r="G41" s="28" t="n">
        <f aca="false">E41-F41</f>
        <v>0</v>
      </c>
      <c r="H41" s="25" t="n">
        <f aca="false">IF(G41&gt;=-0.0000001,A41,H40)</f>
        <v>45933</v>
      </c>
      <c r="I41" s="29" t="n">
        <f aca="false">IF(AND(G41&gt;=-0.0000001,G40&lt;0),1,0)</f>
        <v>1</v>
      </c>
      <c r="J41" s="30" t="n">
        <f aca="false">IF(I41=1,A41-H40,"")</f>
        <v>8</v>
      </c>
      <c r="K41" s="27" t="n">
        <f aca="false">IF(B41="Wednesday",0,C41)</f>
        <v>20685</v>
      </c>
      <c r="L41" s="28" t="n">
        <f aca="false">L40+K41/$T$1*100</f>
        <v>45.080859375</v>
      </c>
      <c r="M41" s="28" t="n">
        <f aca="false">MAX(0,MAX($L$2:L41))</f>
        <v>45.080859375</v>
      </c>
      <c r="N41" s="28" t="n">
        <f aca="false">L41-M41</f>
        <v>0</v>
      </c>
      <c r="O41" s="25" t="n">
        <f aca="false">IF(N41&gt;=-0.0000001,A41,O40)</f>
        <v>45933</v>
      </c>
      <c r="P41" s="29" t="n">
        <f aca="false">IF(AND(N41&gt;=-0.0000001,N40&lt;0),1,0)</f>
        <v>1</v>
      </c>
      <c r="Q41" s="30" t="n">
        <f aca="false">IF(P41=1,A41-O40,"")</f>
        <v>8</v>
      </c>
    </row>
    <row r="42" customFormat="false" ht="15" hidden="false" customHeight="false" outlineLevel="0" collapsed="false">
      <c r="A42" s="25" t="n">
        <v>45937</v>
      </c>
      <c r="B42" s="26" t="s">
        <v>80</v>
      </c>
      <c r="C42" s="27" t="n">
        <v>21870</v>
      </c>
      <c r="D42" s="28" t="n">
        <f aca="false">C42/$T$1*100</f>
        <v>6.834375</v>
      </c>
      <c r="E42" s="28" t="n">
        <f aca="false">E41+D42</f>
        <v>67.226953125</v>
      </c>
      <c r="F42" s="28" t="n">
        <f aca="false">MAX(0,MAX($E$2:E42))</f>
        <v>67.226953125</v>
      </c>
      <c r="G42" s="28" t="n">
        <f aca="false">E42-F42</f>
        <v>0</v>
      </c>
      <c r="H42" s="25" t="n">
        <f aca="false">IF(G42&gt;=-0.0000001,A42,H41)</f>
        <v>45937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21870</v>
      </c>
      <c r="L42" s="28" t="n">
        <f aca="false">L41+K42/$T$1*100</f>
        <v>51.915234375</v>
      </c>
      <c r="M42" s="28" t="n">
        <f aca="false">MAX(0,MAX($L$2:L42))</f>
        <v>51.915234375</v>
      </c>
      <c r="N42" s="28" t="n">
        <f aca="false">L42-M42</f>
        <v>0</v>
      </c>
      <c r="O42" s="25" t="n">
        <f aca="false">IF(N42&gt;=-0.0000001,A42,O41)</f>
        <v>45937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45939</v>
      </c>
      <c r="B43" s="26" t="s">
        <v>82</v>
      </c>
      <c r="C43" s="27" t="n">
        <v>-1770</v>
      </c>
      <c r="D43" s="28" t="n">
        <f aca="false">C43/$T$1*100</f>
        <v>-0.553125</v>
      </c>
      <c r="E43" s="28" t="n">
        <f aca="false">E42+D43</f>
        <v>66.673828125</v>
      </c>
      <c r="F43" s="28" t="n">
        <f aca="false">MAX(0,MAX($E$2:E43))</f>
        <v>67.226953125</v>
      </c>
      <c r="G43" s="28" t="n">
        <f aca="false">E43-F43</f>
        <v>-0.553124999999994</v>
      </c>
      <c r="H43" s="25" t="n">
        <f aca="false">IF(G43&gt;=-0.0000001,A43,H42)</f>
        <v>45937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-1770</v>
      </c>
      <c r="L43" s="28" t="n">
        <f aca="false">L42+K43/$T$1*100</f>
        <v>51.362109375</v>
      </c>
      <c r="M43" s="28" t="n">
        <f aca="false">MAX(0,MAX($L$2:L43))</f>
        <v>51.915234375</v>
      </c>
      <c r="N43" s="28" t="n">
        <f aca="false">L43-M43</f>
        <v>-0.553125000000001</v>
      </c>
      <c r="O43" s="25" t="n">
        <f aca="false">IF(N43&gt;=-0.0000001,A43,O42)</f>
        <v>45937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45943</v>
      </c>
      <c r="B44" s="26" t="s">
        <v>79</v>
      </c>
      <c r="C44" s="27" t="n">
        <v>-12795</v>
      </c>
      <c r="D44" s="28" t="n">
        <f aca="false">C44/$T$1*100</f>
        <v>-3.9984375</v>
      </c>
      <c r="E44" s="28" t="n">
        <f aca="false">E43+D44</f>
        <v>62.675390625</v>
      </c>
      <c r="F44" s="28" t="n">
        <f aca="false">MAX(0,MAX($E$2:E44))</f>
        <v>67.226953125</v>
      </c>
      <c r="G44" s="28" t="n">
        <f aca="false">E44-F44</f>
        <v>-4.5515625</v>
      </c>
      <c r="H44" s="25" t="n">
        <f aca="false">IF(G44&gt;=-0.0000001,A44,H43)</f>
        <v>45937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-12795</v>
      </c>
      <c r="L44" s="28" t="n">
        <f aca="false">L43+K44/$T$1*100</f>
        <v>47.363671875</v>
      </c>
      <c r="M44" s="28" t="n">
        <f aca="false">MAX(0,MAX($L$2:L44))</f>
        <v>51.915234375</v>
      </c>
      <c r="N44" s="28" t="n">
        <f aca="false">L44-M44</f>
        <v>-4.5515625</v>
      </c>
      <c r="O44" s="25" t="n">
        <f aca="false">IF(N44&gt;=-0.0000001,A44,O43)</f>
        <v>45937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45944</v>
      </c>
      <c r="B45" s="26" t="s">
        <v>80</v>
      </c>
      <c r="C45" s="27" t="n">
        <v>-1826.25</v>
      </c>
      <c r="D45" s="28" t="n">
        <f aca="false">C45/$T$1*100</f>
        <v>-0.570703125</v>
      </c>
      <c r="E45" s="28" t="n">
        <f aca="false">E44+D45</f>
        <v>62.1046875</v>
      </c>
      <c r="F45" s="28" t="n">
        <f aca="false">MAX(0,MAX($E$2:E45))</f>
        <v>67.226953125</v>
      </c>
      <c r="G45" s="28" t="n">
        <f aca="false">E45-F45</f>
        <v>-5.122265625</v>
      </c>
      <c r="H45" s="25" t="n">
        <f aca="false">IF(G45&gt;=-0.0000001,A45,H44)</f>
        <v>45937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-1826.25</v>
      </c>
      <c r="L45" s="28" t="n">
        <f aca="false">L44+K45/$T$1*100</f>
        <v>46.79296875</v>
      </c>
      <c r="M45" s="28" t="n">
        <f aca="false">MAX(0,MAX($L$2:L45))</f>
        <v>51.915234375</v>
      </c>
      <c r="N45" s="28" t="n">
        <f aca="false">L45-M45</f>
        <v>-5.122265625</v>
      </c>
      <c r="O45" s="25" t="n">
        <f aca="false">IF(N45&gt;=-0.0000001,A45,O44)</f>
        <v>45937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45946</v>
      </c>
      <c r="B46" s="26" t="s">
        <v>82</v>
      </c>
      <c r="C46" s="27" t="n">
        <v>18270</v>
      </c>
      <c r="D46" s="28" t="n">
        <f aca="false">C46/$T$1*100</f>
        <v>5.709375</v>
      </c>
      <c r="E46" s="28" t="n">
        <f aca="false">E45+D46</f>
        <v>67.8140625</v>
      </c>
      <c r="F46" s="28" t="n">
        <f aca="false">MAX(0,MAX($E$2:E46))</f>
        <v>67.8140625</v>
      </c>
      <c r="G46" s="28" t="n">
        <f aca="false">E46-F46</f>
        <v>0</v>
      </c>
      <c r="H46" s="25" t="n">
        <f aca="false">IF(G46&gt;=-0.0000001,A46,H45)</f>
        <v>45946</v>
      </c>
      <c r="I46" s="29" t="n">
        <f aca="false">IF(AND(G46&gt;=-0.0000001,G45&lt;0),1,0)</f>
        <v>1</v>
      </c>
      <c r="J46" s="30" t="n">
        <f aca="false">IF(I46=1,A46-H45,"")</f>
        <v>9</v>
      </c>
      <c r="K46" s="27" t="n">
        <f aca="false">IF(B46="Wednesday",0,C46)</f>
        <v>18270</v>
      </c>
      <c r="L46" s="28" t="n">
        <f aca="false">L45+K46/$T$1*100</f>
        <v>52.50234375</v>
      </c>
      <c r="M46" s="28" t="n">
        <f aca="false">MAX(0,MAX($L$2:L46))</f>
        <v>52.50234375</v>
      </c>
      <c r="N46" s="28" t="n">
        <f aca="false">L46-M46</f>
        <v>0</v>
      </c>
      <c r="O46" s="25" t="n">
        <f aca="false">IF(N46&gt;=-0.0000001,A46,O45)</f>
        <v>45946</v>
      </c>
      <c r="P46" s="29" t="n">
        <f aca="false">IF(AND(N46&gt;=-0.0000001,N45&lt;0),1,0)</f>
        <v>1</v>
      </c>
      <c r="Q46" s="30" t="n">
        <f aca="false">IF(P46=1,A46-O45,"")</f>
        <v>9</v>
      </c>
    </row>
    <row r="47" customFormat="false" ht="15" hidden="false" customHeight="false" outlineLevel="0" collapsed="false">
      <c r="A47" s="25" t="n">
        <v>45947</v>
      </c>
      <c r="B47" s="26" t="s">
        <v>83</v>
      </c>
      <c r="C47" s="27" t="n">
        <v>-27375</v>
      </c>
      <c r="D47" s="28" t="n">
        <f aca="false">C47/$T$1*100</f>
        <v>-8.5546875</v>
      </c>
      <c r="E47" s="28" t="n">
        <f aca="false">E46+D47</f>
        <v>59.259375</v>
      </c>
      <c r="F47" s="28" t="n">
        <f aca="false">MAX(0,MAX($E$2:E47))</f>
        <v>67.8140625</v>
      </c>
      <c r="G47" s="28" t="n">
        <f aca="false">E47-F47</f>
        <v>-8.5546875</v>
      </c>
      <c r="H47" s="25" t="n">
        <f aca="false">IF(G47&gt;=-0.0000001,A47,H46)</f>
        <v>45946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-27375</v>
      </c>
      <c r="L47" s="28" t="n">
        <f aca="false">L46+K47/$T$1*100</f>
        <v>43.94765625</v>
      </c>
      <c r="M47" s="28" t="n">
        <f aca="false">MAX(0,MAX($L$2:L47))</f>
        <v>52.50234375</v>
      </c>
      <c r="N47" s="28" t="n">
        <f aca="false">L47-M47</f>
        <v>-8.5546875</v>
      </c>
      <c r="O47" s="25" t="n">
        <f aca="false">IF(N47&gt;=-0.0000001,A47,O46)</f>
        <v>45946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45950</v>
      </c>
      <c r="B48" s="26" t="s">
        <v>79</v>
      </c>
      <c r="C48" s="27" t="n">
        <v>6300</v>
      </c>
      <c r="D48" s="28" t="n">
        <f aca="false">C48/$T$1*100</f>
        <v>1.96875</v>
      </c>
      <c r="E48" s="28" t="n">
        <f aca="false">E47+D48</f>
        <v>61.228125</v>
      </c>
      <c r="F48" s="28" t="n">
        <f aca="false">MAX(0,MAX($E$2:E48))</f>
        <v>67.8140625</v>
      </c>
      <c r="G48" s="28" t="n">
        <f aca="false">E48-F48</f>
        <v>-6.5859375</v>
      </c>
      <c r="H48" s="25" t="n">
        <f aca="false">IF(G48&gt;=-0.0000001,A48,H47)</f>
        <v>45946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6300</v>
      </c>
      <c r="L48" s="28" t="n">
        <f aca="false">L47+K48/$T$1*100</f>
        <v>45.91640625</v>
      </c>
      <c r="M48" s="28" t="n">
        <f aca="false">MAX(0,MAX($L$2:L48))</f>
        <v>52.50234375</v>
      </c>
      <c r="N48" s="28" t="n">
        <f aca="false">L48-M48</f>
        <v>-6.5859375</v>
      </c>
      <c r="O48" s="25" t="n">
        <f aca="false">IF(N48&gt;=-0.0000001,A48,O47)</f>
        <v>45946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45954</v>
      </c>
      <c r="B49" s="26" t="s">
        <v>83</v>
      </c>
      <c r="C49" s="27" t="n">
        <v>39150</v>
      </c>
      <c r="D49" s="28" t="n">
        <f aca="false">C49/$T$1*100</f>
        <v>12.234375</v>
      </c>
      <c r="E49" s="28" t="n">
        <f aca="false">E48+D49</f>
        <v>73.4625</v>
      </c>
      <c r="F49" s="28" t="n">
        <f aca="false">MAX(0,MAX($E$2:E49))</f>
        <v>73.4625</v>
      </c>
      <c r="G49" s="28" t="n">
        <f aca="false">E49-F49</f>
        <v>0</v>
      </c>
      <c r="H49" s="25" t="n">
        <f aca="false">IF(G49&gt;=-0.0000001,A49,H48)</f>
        <v>45954</v>
      </c>
      <c r="I49" s="29" t="n">
        <f aca="false">IF(AND(G49&gt;=-0.0000001,G48&lt;0),1,0)</f>
        <v>1</v>
      </c>
      <c r="J49" s="30" t="n">
        <f aca="false">IF(I49=1,A49-H48,"")</f>
        <v>8</v>
      </c>
      <c r="K49" s="27" t="n">
        <f aca="false">IF(B49="Wednesday",0,C49)</f>
        <v>39150</v>
      </c>
      <c r="L49" s="28" t="n">
        <f aca="false">L48+K49/$T$1*100</f>
        <v>58.15078125</v>
      </c>
      <c r="M49" s="28" t="n">
        <f aca="false">MAX(0,MAX($L$2:L49))</f>
        <v>58.15078125</v>
      </c>
      <c r="N49" s="28" t="n">
        <f aca="false">L49-M49</f>
        <v>0</v>
      </c>
      <c r="O49" s="25" t="n">
        <f aca="false">IF(N49&gt;=-0.0000001,A49,O48)</f>
        <v>45954</v>
      </c>
      <c r="P49" s="29" t="n">
        <f aca="false">IF(AND(N49&gt;=-0.0000001,N48&lt;0),1,0)</f>
        <v>1</v>
      </c>
      <c r="Q49" s="30" t="n">
        <f aca="false">IF(P49=1,A49-O48,"")</f>
        <v>8</v>
      </c>
    </row>
    <row r="50" customFormat="false" ht="15" hidden="false" customHeight="false" outlineLevel="0" collapsed="false">
      <c r="A50" s="25" t="n">
        <v>45958</v>
      </c>
      <c r="B50" s="26" t="s">
        <v>80</v>
      </c>
      <c r="C50" s="27" t="n">
        <v>35055</v>
      </c>
      <c r="D50" s="28" t="n">
        <f aca="false">C50/$T$1*100</f>
        <v>10.9546875</v>
      </c>
      <c r="E50" s="28" t="n">
        <f aca="false">E49+D50</f>
        <v>84.4171875</v>
      </c>
      <c r="F50" s="28" t="n">
        <f aca="false">MAX(0,MAX($E$2:E50))</f>
        <v>84.4171875</v>
      </c>
      <c r="G50" s="28" t="n">
        <f aca="false">E50-F50</f>
        <v>0</v>
      </c>
      <c r="H50" s="25" t="n">
        <f aca="false">IF(G50&gt;=-0.0000001,A50,H49)</f>
        <v>45958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35055</v>
      </c>
      <c r="L50" s="28" t="n">
        <f aca="false">L49+K50/$T$1*100</f>
        <v>69.10546875</v>
      </c>
      <c r="M50" s="28" t="n">
        <f aca="false">MAX(0,MAX($L$2:L50))</f>
        <v>69.10546875</v>
      </c>
      <c r="N50" s="28" t="n">
        <f aca="false">L50-M50</f>
        <v>0</v>
      </c>
      <c r="O50" s="25" t="n">
        <f aca="false">IF(N50&gt;=-0.0000001,A50,O49)</f>
        <v>45958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45960</v>
      </c>
      <c r="B51" s="26" t="s">
        <v>82</v>
      </c>
      <c r="C51" s="27" t="n">
        <v>-13635</v>
      </c>
      <c r="D51" s="28" t="n">
        <f aca="false">C51/$T$1*100</f>
        <v>-4.2609375</v>
      </c>
      <c r="E51" s="28" t="n">
        <f aca="false">E50+D51</f>
        <v>80.15625</v>
      </c>
      <c r="F51" s="28" t="n">
        <f aca="false">MAX(0,MAX($E$2:E51))</f>
        <v>84.4171875</v>
      </c>
      <c r="G51" s="28" t="n">
        <f aca="false">E51-F51</f>
        <v>-4.2609375</v>
      </c>
      <c r="H51" s="25" t="n">
        <f aca="false">IF(G51&gt;=-0.0000001,A51,H50)</f>
        <v>45958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-13635</v>
      </c>
      <c r="L51" s="28" t="n">
        <f aca="false">L50+K51/$T$1*100</f>
        <v>64.84453125</v>
      </c>
      <c r="M51" s="28" t="n">
        <f aca="false">MAX(0,MAX($L$2:L51))</f>
        <v>69.10546875</v>
      </c>
      <c r="N51" s="28" t="n">
        <f aca="false">L51-M51</f>
        <v>-4.2609375</v>
      </c>
      <c r="O51" s="25" t="n">
        <f aca="false">IF(N51&gt;=-0.0000001,A51,O50)</f>
        <v>45958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45961</v>
      </c>
      <c r="B52" s="26" t="s">
        <v>83</v>
      </c>
      <c r="C52" s="27" t="n">
        <v>-14880</v>
      </c>
      <c r="D52" s="28" t="n">
        <f aca="false">C52/$T$1*100</f>
        <v>-4.65</v>
      </c>
      <c r="E52" s="28" t="n">
        <f aca="false">E51+D52</f>
        <v>75.50625</v>
      </c>
      <c r="F52" s="28" t="n">
        <f aca="false">MAX(0,MAX($E$2:E52))</f>
        <v>84.4171875</v>
      </c>
      <c r="G52" s="28" t="n">
        <f aca="false">E52-F52</f>
        <v>-8.9109375</v>
      </c>
      <c r="H52" s="25" t="n">
        <f aca="false">IF(G52&gt;=-0.0000001,A52,H51)</f>
        <v>45958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-14880</v>
      </c>
      <c r="L52" s="28" t="n">
        <f aca="false">L51+K52/$T$1*100</f>
        <v>60.19453125</v>
      </c>
      <c r="M52" s="28" t="n">
        <f aca="false">MAX(0,MAX($L$2:L52))</f>
        <v>69.10546875</v>
      </c>
      <c r="N52" s="28" t="n">
        <f aca="false">L52-M52</f>
        <v>-8.9109375</v>
      </c>
      <c r="O52" s="25" t="n">
        <f aca="false">IF(N52&gt;=-0.0000001,A52,O51)</f>
        <v>45958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45964</v>
      </c>
      <c r="B53" s="26" t="s">
        <v>79</v>
      </c>
      <c r="C53" s="27" t="n">
        <v>18450</v>
      </c>
      <c r="D53" s="28" t="n">
        <f aca="false">C53/$T$1*100</f>
        <v>5.765625</v>
      </c>
      <c r="E53" s="28" t="n">
        <f aca="false">E52+D53</f>
        <v>81.271875</v>
      </c>
      <c r="F53" s="28" t="n">
        <f aca="false">MAX(0,MAX($E$2:E53))</f>
        <v>84.4171875</v>
      </c>
      <c r="G53" s="28" t="n">
        <f aca="false">E53-F53</f>
        <v>-3.1453125</v>
      </c>
      <c r="H53" s="25" t="n">
        <f aca="false">IF(G53&gt;=-0.0000001,A53,H52)</f>
        <v>45958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18450</v>
      </c>
      <c r="L53" s="28" t="n">
        <f aca="false">L52+K53/$T$1*100</f>
        <v>65.96015625</v>
      </c>
      <c r="M53" s="28" t="n">
        <f aca="false">MAX(0,MAX($L$2:L53))</f>
        <v>69.10546875</v>
      </c>
      <c r="N53" s="28" t="n">
        <f aca="false">L53-M53</f>
        <v>-3.1453125</v>
      </c>
      <c r="O53" s="25" t="n">
        <f aca="false">IF(N53&gt;=-0.0000001,A53,O52)</f>
        <v>45958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45965</v>
      </c>
      <c r="B54" s="26" t="s">
        <v>80</v>
      </c>
      <c r="C54" s="27" t="n">
        <v>5737.5</v>
      </c>
      <c r="D54" s="28" t="n">
        <f aca="false">C54/$T$1*100</f>
        <v>1.79296875</v>
      </c>
      <c r="E54" s="28" t="n">
        <f aca="false">E53+D54</f>
        <v>83.06484375</v>
      </c>
      <c r="F54" s="28" t="n">
        <f aca="false">MAX(0,MAX($E$2:E54))</f>
        <v>84.4171875</v>
      </c>
      <c r="G54" s="28" t="n">
        <f aca="false">E54-F54</f>
        <v>-1.35234375</v>
      </c>
      <c r="H54" s="25" t="n">
        <f aca="false">IF(G54&gt;=-0.0000001,A54,H53)</f>
        <v>45958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5737.5</v>
      </c>
      <c r="L54" s="28" t="n">
        <f aca="false">L53+K54/$T$1*100</f>
        <v>67.753125</v>
      </c>
      <c r="M54" s="28" t="n">
        <f aca="false">MAX(0,MAX($L$2:L54))</f>
        <v>69.10546875</v>
      </c>
      <c r="N54" s="28" t="n">
        <f aca="false">L54-M54</f>
        <v>-1.35234375</v>
      </c>
      <c r="O54" s="25" t="n">
        <f aca="false">IF(N54&gt;=-0.0000001,A54,O53)</f>
        <v>45958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45968</v>
      </c>
      <c r="B55" s="26" t="s">
        <v>83</v>
      </c>
      <c r="C55" s="27" t="n">
        <v>-15735</v>
      </c>
      <c r="D55" s="28" t="n">
        <f aca="false">C55/$T$1*100</f>
        <v>-4.9171875</v>
      </c>
      <c r="E55" s="28" t="n">
        <f aca="false">E54+D55</f>
        <v>78.14765625</v>
      </c>
      <c r="F55" s="28" t="n">
        <f aca="false">MAX(0,MAX($E$2:E55))</f>
        <v>84.4171875</v>
      </c>
      <c r="G55" s="28" t="n">
        <f aca="false">E55-F55</f>
        <v>-6.26953125</v>
      </c>
      <c r="H55" s="25" t="n">
        <f aca="false">IF(G55&gt;=-0.0000001,A55,H54)</f>
        <v>45958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-15735</v>
      </c>
      <c r="L55" s="28" t="n">
        <f aca="false">L54+K55/$T$1*100</f>
        <v>62.8359375</v>
      </c>
      <c r="M55" s="28" t="n">
        <f aca="false">MAX(0,MAX($L$2:L55))</f>
        <v>69.10546875</v>
      </c>
      <c r="N55" s="28" t="n">
        <f aca="false">L55-M55</f>
        <v>-6.26953125</v>
      </c>
      <c r="O55" s="25" t="n">
        <f aca="false">IF(N55&gt;=-0.0000001,A55,O54)</f>
        <v>45958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45971</v>
      </c>
      <c r="B56" s="26" t="s">
        <v>79</v>
      </c>
      <c r="C56" s="27" t="n">
        <v>21135</v>
      </c>
      <c r="D56" s="28" t="n">
        <f aca="false">C56/$T$1*100</f>
        <v>6.6046875</v>
      </c>
      <c r="E56" s="28" t="n">
        <f aca="false">E55+D56</f>
        <v>84.75234375</v>
      </c>
      <c r="F56" s="28" t="n">
        <f aca="false">MAX(0,MAX($E$2:E56))</f>
        <v>84.75234375</v>
      </c>
      <c r="G56" s="28" t="n">
        <f aca="false">E56-F56</f>
        <v>0</v>
      </c>
      <c r="H56" s="25" t="n">
        <f aca="false">IF(G56&gt;=-0.0000001,A56,H55)</f>
        <v>45971</v>
      </c>
      <c r="I56" s="29" t="n">
        <f aca="false">IF(AND(G56&gt;=-0.0000001,G55&lt;0),1,0)</f>
        <v>1</v>
      </c>
      <c r="J56" s="30" t="n">
        <f aca="false">IF(I56=1,A56-H55,"")</f>
        <v>13</v>
      </c>
      <c r="K56" s="27" t="n">
        <f aca="false">IF(B56="Wednesday",0,C56)</f>
        <v>21135</v>
      </c>
      <c r="L56" s="28" t="n">
        <f aca="false">L55+K56/$T$1*100</f>
        <v>69.440625</v>
      </c>
      <c r="M56" s="28" t="n">
        <f aca="false">MAX(0,MAX($L$2:L56))</f>
        <v>69.440625</v>
      </c>
      <c r="N56" s="28" t="n">
        <f aca="false">L56-M56</f>
        <v>0</v>
      </c>
      <c r="O56" s="25" t="n">
        <f aca="false">IF(N56&gt;=-0.0000001,A56,O55)</f>
        <v>45971</v>
      </c>
      <c r="P56" s="29" t="n">
        <f aca="false">IF(AND(N56&gt;=-0.0000001,N55&lt;0),1,0)</f>
        <v>1</v>
      </c>
      <c r="Q56" s="30" t="n">
        <f aca="false">IF(P56=1,A56-O55,"")</f>
        <v>13</v>
      </c>
    </row>
    <row r="57" customFormat="false" ht="15" hidden="false" customHeight="false" outlineLevel="0" collapsed="false">
      <c r="A57" s="25" t="n">
        <v>45972</v>
      </c>
      <c r="B57" s="26" t="s">
        <v>80</v>
      </c>
      <c r="C57" s="27" t="n">
        <v>1241.25</v>
      </c>
      <c r="D57" s="28" t="n">
        <f aca="false">C57/$T$1*100</f>
        <v>0.387890625</v>
      </c>
      <c r="E57" s="28" t="n">
        <f aca="false">E56+D57</f>
        <v>85.140234375</v>
      </c>
      <c r="F57" s="28" t="n">
        <f aca="false">MAX(0,MAX($E$2:E57))</f>
        <v>85.140234375</v>
      </c>
      <c r="G57" s="28" t="n">
        <f aca="false">E57-F57</f>
        <v>0</v>
      </c>
      <c r="H57" s="25" t="n">
        <f aca="false">IF(G57&gt;=-0.0000001,A57,H56)</f>
        <v>45972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1241.25</v>
      </c>
      <c r="L57" s="28" t="n">
        <f aca="false">L56+K57/$T$1*100</f>
        <v>69.828515625</v>
      </c>
      <c r="M57" s="28" t="n">
        <f aca="false">MAX(0,MAX($L$2:L57))</f>
        <v>69.828515625</v>
      </c>
      <c r="N57" s="28" t="n">
        <f aca="false">L57-M57</f>
        <v>0</v>
      </c>
      <c r="O57" s="25" t="n">
        <f aca="false">IF(N57&gt;=-0.0000001,A57,O56)</f>
        <v>45972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45974</v>
      </c>
      <c r="B58" s="26" t="s">
        <v>82</v>
      </c>
      <c r="C58" s="27" t="n">
        <v>-28485</v>
      </c>
      <c r="D58" s="28" t="n">
        <f aca="false">C58/$T$1*100</f>
        <v>-8.9015625</v>
      </c>
      <c r="E58" s="28" t="n">
        <f aca="false">E57+D58</f>
        <v>76.238671875</v>
      </c>
      <c r="F58" s="28" t="n">
        <f aca="false">MAX(0,MAX($E$2:E58))</f>
        <v>85.140234375</v>
      </c>
      <c r="G58" s="28" t="n">
        <f aca="false">E58-F58</f>
        <v>-8.9015625</v>
      </c>
      <c r="H58" s="25" t="n">
        <f aca="false">IF(G58&gt;=-0.0000001,A58,H57)</f>
        <v>45972</v>
      </c>
      <c r="I58" s="29" t="n">
        <f aca="false">IF(AND(G58&gt;=-0.0000001,G57&lt;0),1,0)</f>
        <v>0</v>
      </c>
      <c r="J58" s="30" t="str">
        <f aca="false">IF(I58=1,A58-H57,"")</f>
        <v/>
      </c>
      <c r="K58" s="27" t="n">
        <f aca="false">IF(B58="Wednesday",0,C58)</f>
        <v>-28485</v>
      </c>
      <c r="L58" s="28" t="n">
        <f aca="false">L57+K58/$T$1*100</f>
        <v>60.926953125</v>
      </c>
      <c r="M58" s="28" t="n">
        <f aca="false">MAX(0,MAX($L$2:L58))</f>
        <v>69.828515625</v>
      </c>
      <c r="N58" s="28" t="n">
        <f aca="false">L58-M58</f>
        <v>-8.9015625</v>
      </c>
      <c r="O58" s="25" t="n">
        <f aca="false">IF(N58&gt;=-0.0000001,A58,O57)</f>
        <v>45972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45978</v>
      </c>
      <c r="B59" s="26" t="s">
        <v>79</v>
      </c>
      <c r="C59" s="27" t="n">
        <v>24765</v>
      </c>
      <c r="D59" s="28" t="n">
        <f aca="false">C59/$T$1*100</f>
        <v>7.7390625</v>
      </c>
      <c r="E59" s="28" t="n">
        <f aca="false">E58+D59</f>
        <v>83.977734375</v>
      </c>
      <c r="F59" s="28" t="n">
        <f aca="false">MAX(0,MAX($E$2:E59))</f>
        <v>85.140234375</v>
      </c>
      <c r="G59" s="28" t="n">
        <f aca="false">E59-F59</f>
        <v>-1.16249999999999</v>
      </c>
      <c r="H59" s="25" t="n">
        <f aca="false">IF(G59&gt;=-0.0000001,A59,H58)</f>
        <v>45972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24765</v>
      </c>
      <c r="L59" s="28" t="n">
        <f aca="false">L58+K59/$T$1*100</f>
        <v>68.666015625</v>
      </c>
      <c r="M59" s="28" t="n">
        <f aca="false">MAX(0,MAX($L$2:L59))</f>
        <v>69.828515625</v>
      </c>
      <c r="N59" s="28" t="n">
        <f aca="false">L59-M59</f>
        <v>-1.16249999999999</v>
      </c>
      <c r="O59" s="25" t="n">
        <f aca="false">IF(N59&gt;=-0.0000001,A59,O58)</f>
        <v>45972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45979</v>
      </c>
      <c r="B60" s="26" t="s">
        <v>80</v>
      </c>
      <c r="C60" s="27" t="n">
        <v>4672.5</v>
      </c>
      <c r="D60" s="28" t="n">
        <f aca="false">C60/$T$1*100</f>
        <v>1.46015625</v>
      </c>
      <c r="E60" s="28" t="n">
        <f aca="false">E59+D60</f>
        <v>85.437890625</v>
      </c>
      <c r="F60" s="28" t="n">
        <f aca="false">MAX(0,MAX($E$2:E60))</f>
        <v>85.437890625</v>
      </c>
      <c r="G60" s="28" t="n">
        <f aca="false">E60-F60</f>
        <v>0</v>
      </c>
      <c r="H60" s="25" t="n">
        <f aca="false">IF(G60&gt;=-0.0000001,A60,H59)</f>
        <v>45979</v>
      </c>
      <c r="I60" s="29" t="n">
        <f aca="false">IF(AND(G60&gt;=-0.0000001,G59&lt;0),1,0)</f>
        <v>1</v>
      </c>
      <c r="J60" s="30" t="n">
        <f aca="false">IF(I60=1,A60-H59,"")</f>
        <v>7</v>
      </c>
      <c r="K60" s="27" t="n">
        <f aca="false">IF(B60="Wednesday",0,C60)</f>
        <v>4672.5</v>
      </c>
      <c r="L60" s="28" t="n">
        <f aca="false">L59+K60/$T$1*100</f>
        <v>70.126171875</v>
      </c>
      <c r="M60" s="28" t="n">
        <f aca="false">MAX(0,MAX($L$2:L60))</f>
        <v>70.126171875</v>
      </c>
      <c r="N60" s="28" t="n">
        <f aca="false">L60-M60</f>
        <v>0</v>
      </c>
      <c r="O60" s="25" t="n">
        <f aca="false">IF(N60&gt;=-0.0000001,A60,O59)</f>
        <v>45979</v>
      </c>
      <c r="P60" s="29" t="n">
        <f aca="false">IF(AND(N60&gt;=-0.0000001,N59&lt;0),1,0)</f>
        <v>1</v>
      </c>
      <c r="Q60" s="30" t="n">
        <f aca="false">IF(P60=1,A60-O59,"")</f>
        <v>7</v>
      </c>
    </row>
    <row r="61" customFormat="false" ht="15" hidden="false" customHeight="false" outlineLevel="0" collapsed="false">
      <c r="A61" s="25" t="n">
        <v>45981</v>
      </c>
      <c r="B61" s="26" t="s">
        <v>82</v>
      </c>
      <c r="C61" s="27" t="n">
        <v>20460</v>
      </c>
      <c r="D61" s="28" t="n">
        <f aca="false">C61/$T$1*100</f>
        <v>6.39375</v>
      </c>
      <c r="E61" s="28" t="n">
        <f aca="false">E60+D61</f>
        <v>91.831640625</v>
      </c>
      <c r="F61" s="28" t="n">
        <f aca="false">MAX(0,MAX($E$2:E61))</f>
        <v>91.831640625</v>
      </c>
      <c r="G61" s="28" t="n">
        <f aca="false">E61-F61</f>
        <v>0</v>
      </c>
      <c r="H61" s="25" t="n">
        <f aca="false">IF(G61&gt;=-0.0000001,A61,H60)</f>
        <v>45981</v>
      </c>
      <c r="I61" s="29" t="n">
        <f aca="false">IF(AND(G61&gt;=-0.0000001,G60&lt;0),1,0)</f>
        <v>0</v>
      </c>
      <c r="J61" s="30" t="str">
        <f aca="false">IF(I61=1,A61-H60,"")</f>
        <v/>
      </c>
      <c r="K61" s="27" t="n">
        <f aca="false">IF(B61="Wednesday",0,C61)</f>
        <v>20460</v>
      </c>
      <c r="L61" s="28" t="n">
        <f aca="false">L60+K61/$T$1*100</f>
        <v>76.519921875</v>
      </c>
      <c r="M61" s="28" t="n">
        <f aca="false">MAX(0,MAX($L$2:L61))</f>
        <v>76.519921875</v>
      </c>
      <c r="N61" s="28" t="n">
        <f aca="false">L61-M61</f>
        <v>0</v>
      </c>
      <c r="O61" s="25" t="n">
        <f aca="false">IF(N61&gt;=-0.0000001,A61,O60)</f>
        <v>45981</v>
      </c>
      <c r="P61" s="29" t="n">
        <f aca="false">IF(AND(N61&gt;=-0.0000001,N60&lt;0),1,0)</f>
        <v>0</v>
      </c>
      <c r="Q61" s="30" t="str">
        <f aca="false">IF(P61=1,A61-O60,"")</f>
        <v/>
      </c>
    </row>
    <row r="62" customFormat="false" ht="15" hidden="false" customHeight="false" outlineLevel="0" collapsed="false">
      <c r="A62" s="25" t="n">
        <v>45982</v>
      </c>
      <c r="B62" s="26" t="s">
        <v>83</v>
      </c>
      <c r="C62" s="27" t="n">
        <v>-28095</v>
      </c>
      <c r="D62" s="28" t="n">
        <f aca="false">C62/$T$1*100</f>
        <v>-8.7796875</v>
      </c>
      <c r="E62" s="28" t="n">
        <f aca="false">E61+D62</f>
        <v>83.051953125</v>
      </c>
      <c r="F62" s="28" t="n">
        <f aca="false">MAX(0,MAX($E$2:E62))</f>
        <v>91.831640625</v>
      </c>
      <c r="G62" s="28" t="n">
        <f aca="false">E62-F62</f>
        <v>-8.77968749999999</v>
      </c>
      <c r="H62" s="25" t="n">
        <f aca="false">IF(G62&gt;=-0.0000001,A62,H61)</f>
        <v>45981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-28095</v>
      </c>
      <c r="L62" s="28" t="n">
        <f aca="false">L61+K62/$T$1*100</f>
        <v>67.740234375</v>
      </c>
      <c r="M62" s="28" t="n">
        <f aca="false">MAX(0,MAX($L$2:L62))</f>
        <v>76.519921875</v>
      </c>
      <c r="N62" s="28" t="n">
        <f aca="false">L62-M62</f>
        <v>-8.77968749999999</v>
      </c>
      <c r="O62" s="25" t="n">
        <f aca="false">IF(N62&gt;=-0.0000001,A62,O61)</f>
        <v>45981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45986</v>
      </c>
      <c r="B63" s="26" t="s">
        <v>80</v>
      </c>
      <c r="C63" s="27" t="n">
        <v>23925</v>
      </c>
      <c r="D63" s="28" t="n">
        <f aca="false">C63/$T$1*100</f>
        <v>7.4765625</v>
      </c>
      <c r="E63" s="28" t="n">
        <f aca="false">E62+D63</f>
        <v>90.528515625</v>
      </c>
      <c r="F63" s="28" t="n">
        <f aca="false">MAX(0,MAX($E$2:E63))</f>
        <v>91.831640625</v>
      </c>
      <c r="G63" s="28" t="n">
        <f aca="false">E63-F63</f>
        <v>-1.30312499999999</v>
      </c>
      <c r="H63" s="25" t="n">
        <f aca="false">IF(G63&gt;=-0.0000001,A63,H62)</f>
        <v>45981</v>
      </c>
      <c r="I63" s="29" t="n">
        <f aca="false">IF(AND(G63&gt;=-0.0000001,G62&lt;0),1,0)</f>
        <v>0</v>
      </c>
      <c r="J63" s="30" t="str">
        <f aca="false">IF(I63=1,A63-H62,"")</f>
        <v/>
      </c>
      <c r="K63" s="27" t="n">
        <f aca="false">IF(B63="Wednesday",0,C63)</f>
        <v>23925</v>
      </c>
      <c r="L63" s="28" t="n">
        <f aca="false">L62+K63/$T$1*100</f>
        <v>75.216796875</v>
      </c>
      <c r="M63" s="28" t="n">
        <f aca="false">MAX(0,MAX($L$2:L63))</f>
        <v>76.519921875</v>
      </c>
      <c r="N63" s="28" t="n">
        <f aca="false">L63-M63</f>
        <v>-1.30312499999999</v>
      </c>
      <c r="O63" s="25" t="n">
        <f aca="false">IF(N63&gt;=-0.0000001,A63,O62)</f>
        <v>45981</v>
      </c>
      <c r="P63" s="29" t="n">
        <f aca="false">IF(AND(N63&gt;=-0.0000001,N62&lt;0),1,0)</f>
        <v>0</v>
      </c>
      <c r="Q63" s="30" t="str">
        <f aca="false">IF(P63=1,A63-O62,"")</f>
        <v/>
      </c>
    </row>
    <row r="64" customFormat="false" ht="15" hidden="false" customHeight="false" outlineLevel="0" collapsed="false">
      <c r="A64" s="25" t="n">
        <v>45988</v>
      </c>
      <c r="B64" s="26" t="s">
        <v>82</v>
      </c>
      <c r="C64" s="27" t="n">
        <v>8055</v>
      </c>
      <c r="D64" s="28" t="n">
        <f aca="false">C64/$T$1*100</f>
        <v>2.5171875</v>
      </c>
      <c r="E64" s="28" t="n">
        <f aca="false">E63+D64</f>
        <v>93.045703125</v>
      </c>
      <c r="F64" s="28" t="n">
        <f aca="false">MAX(0,MAX($E$2:E64))</f>
        <v>93.045703125</v>
      </c>
      <c r="G64" s="28" t="n">
        <f aca="false">E64-F64</f>
        <v>0</v>
      </c>
      <c r="H64" s="25" t="n">
        <f aca="false">IF(G64&gt;=-0.0000001,A64,H63)</f>
        <v>45988</v>
      </c>
      <c r="I64" s="29" t="n">
        <f aca="false">IF(AND(G64&gt;=-0.0000001,G63&lt;0),1,0)</f>
        <v>1</v>
      </c>
      <c r="J64" s="30" t="n">
        <f aca="false">IF(I64=1,A64-H63,"")</f>
        <v>7</v>
      </c>
      <c r="K64" s="27" t="n">
        <f aca="false">IF(B64="Wednesday",0,C64)</f>
        <v>8055</v>
      </c>
      <c r="L64" s="28" t="n">
        <f aca="false">L63+K64/$T$1*100</f>
        <v>77.733984375</v>
      </c>
      <c r="M64" s="28" t="n">
        <f aca="false">MAX(0,MAX($L$2:L64))</f>
        <v>77.733984375</v>
      </c>
      <c r="N64" s="28" t="n">
        <f aca="false">L64-M64</f>
        <v>0</v>
      </c>
      <c r="O64" s="25" t="n">
        <f aca="false">IF(N64&gt;=-0.0000001,A64,O63)</f>
        <v>45988</v>
      </c>
      <c r="P64" s="29" t="n">
        <f aca="false">IF(AND(N64&gt;=-0.0000001,N63&lt;0),1,0)</f>
        <v>1</v>
      </c>
      <c r="Q64" s="30" t="n">
        <f aca="false">IF(P64=1,A64-O63,"")</f>
        <v>7</v>
      </c>
    </row>
    <row r="65" customFormat="false" ht="15" hidden="false" customHeight="false" outlineLevel="0" collapsed="false">
      <c r="A65" s="25" t="n">
        <v>45992</v>
      </c>
      <c r="B65" s="26" t="s">
        <v>79</v>
      </c>
      <c r="C65" s="27" t="n">
        <v>20265</v>
      </c>
      <c r="D65" s="28" t="n">
        <f aca="false">C65/$T$1*100</f>
        <v>6.3328125</v>
      </c>
      <c r="E65" s="28" t="n">
        <f aca="false">E64+D65</f>
        <v>99.378515625</v>
      </c>
      <c r="F65" s="28" t="n">
        <f aca="false">MAX(0,MAX($E$2:E65))</f>
        <v>99.378515625</v>
      </c>
      <c r="G65" s="28" t="n">
        <f aca="false">E65-F65</f>
        <v>0</v>
      </c>
      <c r="H65" s="25" t="n">
        <f aca="false">IF(G65&gt;=-0.0000001,A65,H64)</f>
        <v>45992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20265</v>
      </c>
      <c r="L65" s="28" t="n">
        <f aca="false">L64+K65/$T$1*100</f>
        <v>84.066796875</v>
      </c>
      <c r="M65" s="28" t="n">
        <f aca="false">MAX(0,MAX($L$2:L65))</f>
        <v>84.066796875</v>
      </c>
      <c r="N65" s="28" t="n">
        <f aca="false">L65-M65</f>
        <v>0</v>
      </c>
      <c r="O65" s="25" t="n">
        <f aca="false">IF(N65&gt;=-0.0000001,A65,O64)</f>
        <v>45992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45993</v>
      </c>
      <c r="B66" s="26" t="s">
        <v>80</v>
      </c>
      <c r="C66" s="27" t="n">
        <v>8205</v>
      </c>
      <c r="D66" s="28" t="n">
        <f aca="false">C66/$T$1*100</f>
        <v>2.5640625</v>
      </c>
      <c r="E66" s="28" t="n">
        <f aca="false">E65+D66</f>
        <v>101.942578125</v>
      </c>
      <c r="F66" s="28" t="n">
        <f aca="false">MAX(0,MAX($E$2:E66))</f>
        <v>101.942578125</v>
      </c>
      <c r="G66" s="28" t="n">
        <f aca="false">E66-F66</f>
        <v>0</v>
      </c>
      <c r="H66" s="25" t="n">
        <f aca="false">IF(G66&gt;=-0.0000001,A66,H65)</f>
        <v>45993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8205</v>
      </c>
      <c r="L66" s="28" t="n">
        <f aca="false">L65+K66/$T$1*100</f>
        <v>86.630859375</v>
      </c>
      <c r="M66" s="28" t="n">
        <f aca="false">MAX(0,MAX($L$2:L66))</f>
        <v>86.630859375</v>
      </c>
      <c r="N66" s="28" t="n">
        <f aca="false">L66-M66</f>
        <v>0</v>
      </c>
      <c r="O66" s="25" t="n">
        <f aca="false">IF(N66&gt;=-0.0000001,A66,O65)</f>
        <v>45993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45995</v>
      </c>
      <c r="B67" s="26" t="s">
        <v>82</v>
      </c>
      <c r="C67" s="27" t="n">
        <v>17100</v>
      </c>
      <c r="D67" s="28" t="n">
        <f aca="false">C67/$T$1*100</f>
        <v>5.34375</v>
      </c>
      <c r="E67" s="28" t="n">
        <f aca="false">E66+D67</f>
        <v>107.286328125</v>
      </c>
      <c r="F67" s="28" t="n">
        <f aca="false">MAX(0,MAX($E$2:E67))</f>
        <v>107.286328125</v>
      </c>
      <c r="G67" s="28" t="n">
        <f aca="false">E67-F67</f>
        <v>0</v>
      </c>
      <c r="H67" s="25" t="n">
        <f aca="false">IF(G67&gt;=-0.0000001,A67,H66)</f>
        <v>45995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17100</v>
      </c>
      <c r="L67" s="28" t="n">
        <f aca="false">L66+K67/$T$1*100</f>
        <v>91.974609375</v>
      </c>
      <c r="M67" s="28" t="n">
        <f aca="false">MAX(0,MAX($L$2:L67))</f>
        <v>91.974609375</v>
      </c>
      <c r="N67" s="28" t="n">
        <f aca="false">L67-M67</f>
        <v>0</v>
      </c>
      <c r="O67" s="25" t="n">
        <f aca="false">IF(N67&gt;=-0.0000001,A67,O66)</f>
        <v>45995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45996</v>
      </c>
      <c r="B68" s="26" t="s">
        <v>83</v>
      </c>
      <c r="C68" s="27" t="n">
        <v>-27270</v>
      </c>
      <c r="D68" s="28" t="n">
        <f aca="false">C68/$T$1*100</f>
        <v>-8.521875</v>
      </c>
      <c r="E68" s="28" t="n">
        <f aca="false">E67+D68</f>
        <v>98.764453125</v>
      </c>
      <c r="F68" s="28" t="n">
        <f aca="false">MAX(0,MAX($E$2:E68))</f>
        <v>107.286328125</v>
      </c>
      <c r="G68" s="28" t="n">
        <f aca="false">E68-F68</f>
        <v>-8.52187499999999</v>
      </c>
      <c r="H68" s="25" t="n">
        <f aca="false">IF(G68&gt;=-0.0000001,A68,H67)</f>
        <v>45995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-27270</v>
      </c>
      <c r="L68" s="28" t="n">
        <f aca="false">L67+K68/$T$1*100</f>
        <v>83.452734375</v>
      </c>
      <c r="M68" s="28" t="n">
        <f aca="false">MAX(0,MAX($L$2:L68))</f>
        <v>91.974609375</v>
      </c>
      <c r="N68" s="28" t="n">
        <f aca="false">L68-M68</f>
        <v>-8.52187499999999</v>
      </c>
      <c r="O68" s="25" t="n">
        <f aca="false">IF(N68&gt;=-0.0000001,A68,O67)</f>
        <v>45995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45999</v>
      </c>
      <c r="B69" s="26" t="s">
        <v>79</v>
      </c>
      <c r="C69" s="27" t="n">
        <v>-13770</v>
      </c>
      <c r="D69" s="28" t="n">
        <f aca="false">C69/$T$1*100</f>
        <v>-4.303125</v>
      </c>
      <c r="E69" s="28" t="n">
        <f aca="false">E68+D69</f>
        <v>94.461328125</v>
      </c>
      <c r="F69" s="28" t="n">
        <f aca="false">MAX(0,MAX($E$2:E69))</f>
        <v>107.286328125</v>
      </c>
      <c r="G69" s="28" t="n">
        <f aca="false">E69-F69</f>
        <v>-12.825</v>
      </c>
      <c r="H69" s="25" t="n">
        <f aca="false">IF(G69&gt;=-0.0000001,A69,H68)</f>
        <v>45995</v>
      </c>
      <c r="I69" s="29" t="n">
        <f aca="false">IF(AND(G69&gt;=-0.0000001,G68&lt;0),1,0)</f>
        <v>0</v>
      </c>
      <c r="J69" s="30" t="str">
        <f aca="false">IF(I69=1,A69-H68,"")</f>
        <v/>
      </c>
      <c r="K69" s="27" t="n">
        <f aca="false">IF(B69="Wednesday",0,C69)</f>
        <v>-13770</v>
      </c>
      <c r="L69" s="28" t="n">
        <f aca="false">L68+K69/$T$1*100</f>
        <v>79.149609375</v>
      </c>
      <c r="M69" s="28" t="n">
        <f aca="false">MAX(0,MAX($L$2:L69))</f>
        <v>91.974609375</v>
      </c>
      <c r="N69" s="28" t="n">
        <f aca="false">L69-M69</f>
        <v>-12.825</v>
      </c>
      <c r="O69" s="25" t="n">
        <f aca="false">IF(N69&gt;=-0.0000001,A69,O68)</f>
        <v>45995</v>
      </c>
      <c r="P69" s="29" t="n">
        <f aca="false">IF(AND(N69&gt;=-0.0000001,N68&lt;0),1,0)</f>
        <v>0</v>
      </c>
      <c r="Q69" s="30" t="str">
        <f aca="false">IF(P69=1,A69-O68,"")</f>
        <v/>
      </c>
    </row>
    <row r="70" customFormat="false" ht="15" hidden="false" customHeight="false" outlineLevel="0" collapsed="false">
      <c r="A70" s="25" t="n">
        <v>46000</v>
      </c>
      <c r="B70" s="26" t="s">
        <v>80</v>
      </c>
      <c r="C70" s="27" t="n">
        <v>21525</v>
      </c>
      <c r="D70" s="28" t="n">
        <f aca="false">C70/$T$1*100</f>
        <v>6.7265625</v>
      </c>
      <c r="E70" s="28" t="n">
        <f aca="false">E69+D70</f>
        <v>101.187890625</v>
      </c>
      <c r="F70" s="28" t="n">
        <f aca="false">MAX(0,MAX($E$2:E70))</f>
        <v>107.286328125</v>
      </c>
      <c r="G70" s="28" t="n">
        <f aca="false">E70-F70</f>
        <v>-6.09843749999999</v>
      </c>
      <c r="H70" s="25" t="n">
        <f aca="false">IF(G70&gt;=-0.0000001,A70,H69)</f>
        <v>45995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21525</v>
      </c>
      <c r="L70" s="28" t="n">
        <f aca="false">L69+K70/$T$1*100</f>
        <v>85.876171875</v>
      </c>
      <c r="M70" s="28" t="n">
        <f aca="false">MAX(0,MAX($L$2:L70))</f>
        <v>91.974609375</v>
      </c>
      <c r="N70" s="28" t="n">
        <f aca="false">L70-M70</f>
        <v>-6.09843749999999</v>
      </c>
      <c r="O70" s="25" t="n">
        <f aca="false">IF(N70&gt;=-0.0000001,A70,O69)</f>
        <v>45995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46001</v>
      </c>
      <c r="B71" s="26" t="s">
        <v>81</v>
      </c>
      <c r="C71" s="27" t="n">
        <v>-15243.75</v>
      </c>
      <c r="D71" s="28" t="n">
        <f aca="false">C71/$T$1*100</f>
        <v>-4.763671875</v>
      </c>
      <c r="E71" s="28" t="n">
        <f aca="false">E70+D71</f>
        <v>96.42421875</v>
      </c>
      <c r="F71" s="28" t="n">
        <f aca="false">MAX(0,MAX($E$2:E71))</f>
        <v>107.286328125</v>
      </c>
      <c r="G71" s="28" t="n">
        <f aca="false">E71-F71</f>
        <v>-10.862109375</v>
      </c>
      <c r="H71" s="25" t="n">
        <f aca="false">IF(G71&gt;=-0.0000001,A71,H70)</f>
        <v>45995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0</v>
      </c>
      <c r="L71" s="28" t="n">
        <f aca="false">L70+K71/$T$1*100</f>
        <v>85.876171875</v>
      </c>
      <c r="M71" s="28" t="n">
        <f aca="false">MAX(0,MAX($L$2:L71))</f>
        <v>91.974609375</v>
      </c>
      <c r="N71" s="28" t="n">
        <f aca="false">L71-M71</f>
        <v>-6.09843749999999</v>
      </c>
      <c r="O71" s="25" t="n">
        <f aca="false">IF(N71&gt;=-0.0000001,A71,O70)</f>
        <v>45995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46002</v>
      </c>
      <c r="B72" s="26" t="s">
        <v>82</v>
      </c>
      <c r="C72" s="27" t="n">
        <v>-2756.25</v>
      </c>
      <c r="D72" s="28" t="n">
        <f aca="false">C72/$T$1*100</f>
        <v>-0.861328125</v>
      </c>
      <c r="E72" s="28" t="n">
        <f aca="false">E71+D72</f>
        <v>95.562890625</v>
      </c>
      <c r="F72" s="28" t="n">
        <f aca="false">MAX(0,MAX($E$2:E72))</f>
        <v>107.286328125</v>
      </c>
      <c r="G72" s="28" t="n">
        <f aca="false">E72-F72</f>
        <v>-11.7234375</v>
      </c>
      <c r="H72" s="25" t="n">
        <f aca="false">IF(G72&gt;=-0.0000001,A72,H71)</f>
        <v>45995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-2756.25</v>
      </c>
      <c r="L72" s="28" t="n">
        <f aca="false">L71+K72/$T$1*100</f>
        <v>85.01484375</v>
      </c>
      <c r="M72" s="28" t="n">
        <f aca="false">MAX(0,MAX($L$2:L72))</f>
        <v>91.974609375</v>
      </c>
      <c r="N72" s="28" t="n">
        <f aca="false">L72-M72</f>
        <v>-6.95976562499999</v>
      </c>
      <c r="O72" s="25" t="n">
        <f aca="false">IF(N72&gt;=-0.0000001,A72,O71)</f>
        <v>45995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46006</v>
      </c>
      <c r="B73" s="26" t="s">
        <v>79</v>
      </c>
      <c r="C73" s="27" t="n">
        <v>-13275</v>
      </c>
      <c r="D73" s="28" t="n">
        <f aca="false">C73/$T$1*100</f>
        <v>-4.1484375</v>
      </c>
      <c r="E73" s="28" t="n">
        <f aca="false">E72+D73</f>
        <v>91.414453125</v>
      </c>
      <c r="F73" s="28" t="n">
        <f aca="false">MAX(0,MAX($E$2:E73))</f>
        <v>107.286328125</v>
      </c>
      <c r="G73" s="28" t="n">
        <f aca="false">E73-F73</f>
        <v>-15.871875</v>
      </c>
      <c r="H73" s="25" t="n">
        <f aca="false">IF(G73&gt;=-0.0000001,A73,H72)</f>
        <v>45995</v>
      </c>
      <c r="I73" s="29" t="n">
        <f aca="false">IF(AND(G73&gt;=-0.0000001,G72&lt;0),1,0)</f>
        <v>0</v>
      </c>
      <c r="J73" s="30" t="str">
        <f aca="false">IF(I73=1,A73-H72,"")</f>
        <v/>
      </c>
      <c r="K73" s="27" t="n">
        <f aca="false">IF(B73="Wednesday",0,C73)</f>
        <v>-13275</v>
      </c>
      <c r="L73" s="28" t="n">
        <f aca="false">L72+K73/$T$1*100</f>
        <v>80.86640625</v>
      </c>
      <c r="M73" s="28" t="n">
        <f aca="false">MAX(0,MAX($L$2:L73))</f>
        <v>91.974609375</v>
      </c>
      <c r="N73" s="28" t="n">
        <f aca="false">L73-M73</f>
        <v>-11.108203125</v>
      </c>
      <c r="O73" s="25" t="n">
        <f aca="false">IF(N73&gt;=-0.0000001,A73,O72)</f>
        <v>45995</v>
      </c>
      <c r="P73" s="29" t="n">
        <f aca="false">IF(AND(N73&gt;=-0.0000001,N72&lt;0),1,0)</f>
        <v>0</v>
      </c>
      <c r="Q73" s="30" t="str">
        <f aca="false">IF(P73=1,A73-O72,"")</f>
        <v/>
      </c>
    </row>
    <row r="74" customFormat="false" ht="15" hidden="false" customHeight="false" outlineLevel="0" collapsed="false">
      <c r="A74" s="25" t="n">
        <v>46007</v>
      </c>
      <c r="B74" s="26" t="s">
        <v>80</v>
      </c>
      <c r="C74" s="27" t="n">
        <v>-285</v>
      </c>
      <c r="D74" s="28" t="n">
        <f aca="false">C74/$T$1*100</f>
        <v>-0.0890625</v>
      </c>
      <c r="E74" s="28" t="n">
        <f aca="false">E73+D74</f>
        <v>91.325390625</v>
      </c>
      <c r="F74" s="28" t="n">
        <f aca="false">MAX(0,MAX($E$2:E74))</f>
        <v>107.286328125</v>
      </c>
      <c r="G74" s="28" t="n">
        <f aca="false">E74-F74</f>
        <v>-15.9609375</v>
      </c>
      <c r="H74" s="25" t="n">
        <f aca="false">IF(G74&gt;=-0.0000001,A74,H73)</f>
        <v>45995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-285</v>
      </c>
      <c r="L74" s="28" t="n">
        <f aca="false">L73+K74/$T$1*100</f>
        <v>80.77734375</v>
      </c>
      <c r="M74" s="28" t="n">
        <f aca="false">MAX(0,MAX($L$2:L74))</f>
        <v>91.974609375</v>
      </c>
      <c r="N74" s="28" t="n">
        <f aca="false">L74-M74</f>
        <v>-11.197265625</v>
      </c>
      <c r="O74" s="25" t="n">
        <f aca="false">IF(N74&gt;=-0.0000001,A74,O73)</f>
        <v>45995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46009</v>
      </c>
      <c r="B75" s="26" t="s">
        <v>82</v>
      </c>
      <c r="C75" s="27" t="n">
        <v>1800</v>
      </c>
      <c r="D75" s="28" t="n">
        <f aca="false">C75/$T$1*100</f>
        <v>0.5625</v>
      </c>
      <c r="E75" s="28" t="n">
        <f aca="false">E74+D75</f>
        <v>91.887890625</v>
      </c>
      <c r="F75" s="28" t="n">
        <f aca="false">MAX(0,MAX($E$2:E75))</f>
        <v>107.286328125</v>
      </c>
      <c r="G75" s="28" t="n">
        <f aca="false">E75-F75</f>
        <v>-15.3984375</v>
      </c>
      <c r="H75" s="25" t="n">
        <f aca="false">IF(G75&gt;=-0.0000001,A75,H74)</f>
        <v>45995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1800</v>
      </c>
      <c r="L75" s="28" t="n">
        <f aca="false">L74+K75/$T$1*100</f>
        <v>81.33984375</v>
      </c>
      <c r="M75" s="28" t="n">
        <f aca="false">MAX(0,MAX($L$2:L75))</f>
        <v>91.974609375</v>
      </c>
      <c r="N75" s="28" t="n">
        <f aca="false">L75-M75</f>
        <v>-10.634765625</v>
      </c>
      <c r="O75" s="25" t="n">
        <f aca="false">IF(N75&gt;=-0.0000001,A75,O74)</f>
        <v>45995</v>
      </c>
      <c r="P75" s="29" t="n">
        <f aca="false">IF(AND(N75&gt;=-0.0000001,N74&lt;0),1,0)</f>
        <v>0</v>
      </c>
      <c r="Q75" s="30" t="str">
        <f aca="false">IF(P75=1,A75-O74,"")</f>
        <v/>
      </c>
    </row>
    <row r="76" customFormat="false" ht="15" hidden="false" customHeight="false" outlineLevel="0" collapsed="false">
      <c r="A76" s="25" t="n">
        <v>46013</v>
      </c>
      <c r="B76" s="26" t="s">
        <v>79</v>
      </c>
      <c r="C76" s="27" t="n">
        <v>21480</v>
      </c>
      <c r="D76" s="28" t="n">
        <f aca="false">C76/$T$1*100</f>
        <v>6.7125</v>
      </c>
      <c r="E76" s="28" t="n">
        <f aca="false">E75+D76</f>
        <v>98.600390625</v>
      </c>
      <c r="F76" s="28" t="n">
        <f aca="false">MAX(0,MAX($E$2:E76))</f>
        <v>107.286328125</v>
      </c>
      <c r="G76" s="28" t="n">
        <f aca="false">E76-F76</f>
        <v>-8.68593749999998</v>
      </c>
      <c r="H76" s="25" t="n">
        <f aca="false">IF(G76&gt;=-0.0000001,A76,H75)</f>
        <v>45995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21480</v>
      </c>
      <c r="L76" s="28" t="n">
        <f aca="false">L75+K76/$T$1*100</f>
        <v>88.05234375</v>
      </c>
      <c r="M76" s="28" t="n">
        <f aca="false">MAX(0,MAX($L$2:L76))</f>
        <v>91.974609375</v>
      </c>
      <c r="N76" s="28" t="n">
        <f aca="false">L76-M76</f>
        <v>-3.92226562499998</v>
      </c>
      <c r="O76" s="25" t="n">
        <f aca="false">IF(N76&gt;=-0.0000001,A76,O75)</f>
        <v>45995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46014</v>
      </c>
      <c r="B77" s="26" t="s">
        <v>80</v>
      </c>
      <c r="C77" s="27" t="n">
        <v>4477.5</v>
      </c>
      <c r="D77" s="28" t="n">
        <f aca="false">C77/$T$1*100</f>
        <v>1.39921875</v>
      </c>
      <c r="E77" s="28" t="n">
        <f aca="false">E76+D77</f>
        <v>99.999609375</v>
      </c>
      <c r="F77" s="28" t="n">
        <f aca="false">MAX(0,MAX($E$2:E77))</f>
        <v>107.286328125</v>
      </c>
      <c r="G77" s="28" t="n">
        <f aca="false">E77-F77</f>
        <v>-7.28671874999998</v>
      </c>
      <c r="H77" s="25" t="n">
        <f aca="false">IF(G77&gt;=-0.0000001,A77,H76)</f>
        <v>45995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4477.5</v>
      </c>
      <c r="L77" s="28" t="n">
        <f aca="false">L76+K77/$T$1*100</f>
        <v>89.4515625</v>
      </c>
      <c r="M77" s="28" t="n">
        <f aca="false">MAX(0,MAX($L$2:L77))</f>
        <v>91.974609375</v>
      </c>
      <c r="N77" s="28" t="n">
        <f aca="false">L77-M77</f>
        <v>-2.52304687499998</v>
      </c>
      <c r="O77" s="25" t="n">
        <f aca="false">IF(N77&gt;=-0.0000001,A77,O76)</f>
        <v>45995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46015</v>
      </c>
      <c r="B78" s="26" t="s">
        <v>81</v>
      </c>
      <c r="C78" s="27" t="n">
        <v>-13995</v>
      </c>
      <c r="D78" s="28" t="n">
        <f aca="false">C78/$T$1*100</f>
        <v>-4.3734375</v>
      </c>
      <c r="E78" s="28" t="n">
        <f aca="false">E77+D78</f>
        <v>95.626171875</v>
      </c>
      <c r="F78" s="28" t="n">
        <f aca="false">MAX(0,MAX($E$2:E78))</f>
        <v>107.286328125</v>
      </c>
      <c r="G78" s="28" t="n">
        <f aca="false">E78-F78</f>
        <v>-11.66015625</v>
      </c>
      <c r="H78" s="25" t="n">
        <f aca="false">IF(G78&gt;=-0.0000001,A78,H77)</f>
        <v>45995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0</v>
      </c>
      <c r="L78" s="28" t="n">
        <f aca="false">L77+K78/$T$1*100</f>
        <v>89.4515625</v>
      </c>
      <c r="M78" s="28" t="n">
        <f aca="false">MAX(0,MAX($L$2:L78))</f>
        <v>91.974609375</v>
      </c>
      <c r="N78" s="28" t="n">
        <f aca="false">L78-M78</f>
        <v>-2.52304687499998</v>
      </c>
      <c r="O78" s="25" t="n">
        <f aca="false">IF(N78&gt;=-0.0000001,A78,O77)</f>
        <v>45995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46020</v>
      </c>
      <c r="B79" s="26" t="s">
        <v>79</v>
      </c>
      <c r="C79" s="27" t="n">
        <v>17145</v>
      </c>
      <c r="D79" s="28" t="n">
        <f aca="false">C79/$T$1*100</f>
        <v>5.3578125</v>
      </c>
      <c r="E79" s="28" t="n">
        <f aca="false">E78+D79</f>
        <v>100.983984375</v>
      </c>
      <c r="F79" s="28" t="n">
        <f aca="false">MAX(0,MAX($E$2:E79))</f>
        <v>107.286328125</v>
      </c>
      <c r="G79" s="28" t="n">
        <f aca="false">E79-F79</f>
        <v>-6.30234374999998</v>
      </c>
      <c r="H79" s="25" t="n">
        <f aca="false">IF(G79&gt;=-0.0000001,A79,H78)</f>
        <v>45995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17145</v>
      </c>
      <c r="L79" s="28" t="n">
        <f aca="false">L78+K79/$T$1*100</f>
        <v>94.809375</v>
      </c>
      <c r="M79" s="28" t="n">
        <f aca="false">MAX(0,MAX($L$2:L79))</f>
        <v>94.809375</v>
      </c>
      <c r="N79" s="28" t="n">
        <f aca="false">L79-M79</f>
        <v>0</v>
      </c>
      <c r="O79" s="25" t="n">
        <f aca="false">IF(N79&gt;=-0.0000001,A79,O78)</f>
        <v>46020</v>
      </c>
      <c r="P79" s="29" t="n">
        <f aca="false">IF(AND(N79&gt;=-0.0000001,N78&lt;0),1,0)</f>
        <v>1</v>
      </c>
      <c r="Q79" s="30" t="n">
        <f aca="false">IF(P79=1,A79-O78,"")</f>
        <v>25</v>
      </c>
    </row>
    <row r="80" customFormat="false" ht="15" hidden="false" customHeight="false" outlineLevel="0" collapsed="false">
      <c r="A80" s="25" t="n">
        <v>46021</v>
      </c>
      <c r="B80" s="26" t="s">
        <v>80</v>
      </c>
      <c r="C80" s="27" t="n">
        <v>-9236.25</v>
      </c>
      <c r="D80" s="28" t="n">
        <f aca="false">C80/$T$1*100</f>
        <v>-2.886328125</v>
      </c>
      <c r="E80" s="28" t="n">
        <f aca="false">E79+D80</f>
        <v>98.09765625</v>
      </c>
      <c r="F80" s="28" t="n">
        <f aca="false">MAX(0,MAX($E$2:E80))</f>
        <v>107.286328125</v>
      </c>
      <c r="G80" s="28" t="n">
        <f aca="false">E80-F80</f>
        <v>-9.18867187499998</v>
      </c>
      <c r="H80" s="25" t="n">
        <f aca="false">IF(G80&gt;=-0.0000001,A80,H79)</f>
        <v>45995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-9236.25</v>
      </c>
      <c r="L80" s="28" t="n">
        <f aca="false">L79+K80/$T$1*100</f>
        <v>91.923046875</v>
      </c>
      <c r="M80" s="28" t="n">
        <f aca="false">MAX(0,MAX($L$2:L80))</f>
        <v>94.809375</v>
      </c>
      <c r="N80" s="28" t="n">
        <f aca="false">L80-M80</f>
        <v>-2.88632812500001</v>
      </c>
      <c r="O80" s="25" t="n">
        <f aca="false">IF(N80&gt;=-0.0000001,A80,O79)</f>
        <v>46020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46023</v>
      </c>
      <c r="B81" s="26" t="s">
        <v>82</v>
      </c>
      <c r="C81" s="27" t="n">
        <v>14283.75</v>
      </c>
      <c r="D81" s="28" t="n">
        <f aca="false">C81/$T$1*100</f>
        <v>4.463671875</v>
      </c>
      <c r="E81" s="28" t="n">
        <f aca="false">E80+D81</f>
        <v>102.561328125</v>
      </c>
      <c r="F81" s="28" t="n">
        <f aca="false">MAX(0,MAX($E$2:E81))</f>
        <v>107.286328125</v>
      </c>
      <c r="G81" s="28" t="n">
        <f aca="false">E81-F81</f>
        <v>-4.72499999999998</v>
      </c>
      <c r="H81" s="25" t="n">
        <f aca="false">IF(G81&gt;=-0.0000001,A81,H80)</f>
        <v>45995</v>
      </c>
      <c r="I81" s="29" t="n">
        <f aca="false">IF(AND(G81&gt;=-0.0000001,G80&lt;0),1,0)</f>
        <v>0</v>
      </c>
      <c r="J81" s="30" t="str">
        <f aca="false">IF(I81=1,A81-H80,"")</f>
        <v/>
      </c>
      <c r="K81" s="27" t="n">
        <f aca="false">IF(B81="Wednesday",0,C81)</f>
        <v>14283.75</v>
      </c>
      <c r="L81" s="28" t="n">
        <f aca="false">L80+K81/$T$1*100</f>
        <v>96.38671875</v>
      </c>
      <c r="M81" s="28" t="n">
        <f aca="false">MAX(0,MAX($L$2:L81))</f>
        <v>96.38671875</v>
      </c>
      <c r="N81" s="28" t="n">
        <f aca="false">L81-M81</f>
        <v>0</v>
      </c>
      <c r="O81" s="25" t="n">
        <f aca="false">IF(N81&gt;=-0.0000001,A81,O80)</f>
        <v>46023</v>
      </c>
      <c r="P81" s="29" t="n">
        <f aca="false">IF(AND(N81&gt;=-0.0000001,N80&lt;0),1,0)</f>
        <v>1</v>
      </c>
      <c r="Q81" s="30" t="n">
        <f aca="false">IF(P81=1,A81-O80,"")</f>
        <v>3</v>
      </c>
    </row>
    <row r="82" customFormat="false" ht="15" hidden="false" customHeight="false" outlineLevel="0" collapsed="false">
      <c r="A82" s="25" t="n">
        <v>46027</v>
      </c>
      <c r="B82" s="26" t="s">
        <v>79</v>
      </c>
      <c r="C82" s="27" t="n">
        <v>2486.25</v>
      </c>
      <c r="D82" s="28" t="n">
        <f aca="false">C82/$T$1*100</f>
        <v>0.776953125</v>
      </c>
      <c r="E82" s="28" t="n">
        <f aca="false">E81+D82</f>
        <v>103.33828125</v>
      </c>
      <c r="F82" s="28" t="n">
        <f aca="false">MAX(0,MAX($E$2:E82))</f>
        <v>107.286328125</v>
      </c>
      <c r="G82" s="28" t="n">
        <f aca="false">E82-F82</f>
        <v>-3.94804687499997</v>
      </c>
      <c r="H82" s="25" t="n">
        <f aca="false">IF(G82&gt;=-0.0000001,A82,H81)</f>
        <v>45995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2486.25</v>
      </c>
      <c r="L82" s="28" t="n">
        <f aca="false">L81+K82/$T$1*100</f>
        <v>97.163671875</v>
      </c>
      <c r="M82" s="28" t="n">
        <f aca="false">MAX(0,MAX($L$2:L82))</f>
        <v>97.163671875</v>
      </c>
      <c r="N82" s="28" t="n">
        <f aca="false">L82-M82</f>
        <v>0</v>
      </c>
      <c r="O82" s="25" t="n">
        <f aca="false">IF(N82&gt;=-0.0000001,A82,O81)</f>
        <v>46027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46028</v>
      </c>
      <c r="B83" s="26" t="s">
        <v>80</v>
      </c>
      <c r="C83" s="27" t="n">
        <v>4231.5</v>
      </c>
      <c r="D83" s="28" t="n">
        <f aca="false">C83/$T$1*100</f>
        <v>1.32234375</v>
      </c>
      <c r="E83" s="28" t="n">
        <f aca="false">E82+D83</f>
        <v>104.660625</v>
      </c>
      <c r="F83" s="28" t="n">
        <f aca="false">MAX(0,MAX($E$2:E83))</f>
        <v>107.286328125</v>
      </c>
      <c r="G83" s="28" t="n">
        <f aca="false">E83-F83</f>
        <v>-2.62570312499997</v>
      </c>
      <c r="H83" s="25" t="n">
        <f aca="false">IF(G83&gt;=-0.0000001,A83,H82)</f>
        <v>45995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4231.5</v>
      </c>
      <c r="L83" s="28" t="n">
        <f aca="false">L82+K83/$T$1*100</f>
        <v>98.486015625</v>
      </c>
      <c r="M83" s="28" t="n">
        <f aca="false">MAX(0,MAX($L$2:L83))</f>
        <v>98.486015625</v>
      </c>
      <c r="N83" s="28" t="n">
        <f aca="false">L83-M83</f>
        <v>0</v>
      </c>
      <c r="O83" s="25" t="n">
        <f aca="false">IF(N83&gt;=-0.0000001,A83,O82)</f>
        <v>46028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46030</v>
      </c>
      <c r="B84" s="26" t="s">
        <v>82</v>
      </c>
      <c r="C84" s="27" t="n">
        <v>-33247.5</v>
      </c>
      <c r="D84" s="28" t="n">
        <f aca="false">C84/$T$1*100</f>
        <v>-10.38984375</v>
      </c>
      <c r="E84" s="28" t="n">
        <f aca="false">E83+D84</f>
        <v>94.27078125</v>
      </c>
      <c r="F84" s="28" t="n">
        <f aca="false">MAX(0,MAX($E$2:E84))</f>
        <v>107.286328125</v>
      </c>
      <c r="G84" s="28" t="n">
        <f aca="false">E84-F84</f>
        <v>-13.015546875</v>
      </c>
      <c r="H84" s="25" t="n">
        <f aca="false">IF(G84&gt;=-0.0000001,A84,H83)</f>
        <v>45995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-33247.5</v>
      </c>
      <c r="L84" s="28" t="n">
        <f aca="false">L83+K84/$T$1*100</f>
        <v>88.096171875</v>
      </c>
      <c r="M84" s="28" t="n">
        <f aca="false">MAX(0,MAX($L$2:L84))</f>
        <v>98.486015625</v>
      </c>
      <c r="N84" s="28" t="n">
        <f aca="false">L84-M84</f>
        <v>-10.38984375</v>
      </c>
      <c r="O84" s="25" t="n">
        <f aca="false">IF(N84&gt;=-0.0000001,A84,O83)</f>
        <v>46028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46031</v>
      </c>
      <c r="B85" s="26" t="s">
        <v>83</v>
      </c>
      <c r="C85" s="27" t="n">
        <v>-16233.75</v>
      </c>
      <c r="D85" s="28" t="n">
        <f aca="false">C85/$T$1*100</f>
        <v>-5.073046875</v>
      </c>
      <c r="E85" s="28" t="n">
        <f aca="false">E84+D85</f>
        <v>89.197734375</v>
      </c>
      <c r="F85" s="28" t="n">
        <f aca="false">MAX(0,MAX($E$2:E85))</f>
        <v>107.286328125</v>
      </c>
      <c r="G85" s="28" t="n">
        <f aca="false">E85-F85</f>
        <v>-18.08859375</v>
      </c>
      <c r="H85" s="25" t="n">
        <f aca="false">IF(G85&gt;=-0.0000001,A85,H84)</f>
        <v>45995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-16233.75</v>
      </c>
      <c r="L85" s="28" t="n">
        <f aca="false">L84+K85/$T$1*100</f>
        <v>83.023125</v>
      </c>
      <c r="M85" s="28" t="n">
        <f aca="false">MAX(0,MAX($L$2:L85))</f>
        <v>98.486015625</v>
      </c>
      <c r="N85" s="28" t="n">
        <f aca="false">L85-M85</f>
        <v>-15.462890625</v>
      </c>
      <c r="O85" s="25" t="n">
        <f aca="false">IF(N85&gt;=-0.0000001,A85,O84)</f>
        <v>46028</v>
      </c>
      <c r="P85" s="29" t="n">
        <f aca="false">IF(AND(N85&gt;=-0.0000001,N84&lt;0),1,0)</f>
        <v>0</v>
      </c>
      <c r="Q85" s="30" t="str">
        <f aca="false">IF(P85=1,A85-O84,"")</f>
        <v/>
      </c>
    </row>
    <row r="86" customFormat="false" ht="15" hidden="false" customHeight="false" outlineLevel="0" collapsed="false">
      <c r="A86" s="25" t="n">
        <v>46034</v>
      </c>
      <c r="B86" s="26" t="s">
        <v>79</v>
      </c>
      <c r="C86" s="27" t="n">
        <v>16493.75</v>
      </c>
      <c r="D86" s="28" t="n">
        <f aca="false">C86/$T$1*100</f>
        <v>5.154296875</v>
      </c>
      <c r="E86" s="28" t="n">
        <f aca="false">E85+D86</f>
        <v>94.35203125</v>
      </c>
      <c r="F86" s="28" t="n">
        <f aca="false">MAX(0,MAX($E$2:E86))</f>
        <v>107.286328125</v>
      </c>
      <c r="G86" s="28" t="n">
        <f aca="false">E86-F86</f>
        <v>-12.934296875</v>
      </c>
      <c r="H86" s="25" t="n">
        <f aca="false">IF(G86&gt;=-0.0000001,A86,H85)</f>
        <v>45995</v>
      </c>
      <c r="I86" s="29" t="n">
        <f aca="false">IF(AND(G86&gt;=-0.0000001,G85&lt;0),1,0)</f>
        <v>0</v>
      </c>
      <c r="J86" s="30" t="str">
        <f aca="false">IF(I86=1,A86-H85,"")</f>
        <v/>
      </c>
      <c r="K86" s="27" t="n">
        <f aca="false">IF(B86="Wednesday",0,C86)</f>
        <v>16493.75</v>
      </c>
      <c r="L86" s="28" t="n">
        <f aca="false">L85+K86/$T$1*100</f>
        <v>88.177421875</v>
      </c>
      <c r="M86" s="28" t="n">
        <f aca="false">MAX(0,MAX($L$2:L86))</f>
        <v>98.486015625</v>
      </c>
      <c r="N86" s="28" t="n">
        <f aca="false">L86-M86</f>
        <v>-10.30859375</v>
      </c>
      <c r="O86" s="25" t="n">
        <f aca="false">IF(N86&gt;=-0.0000001,A86,O85)</f>
        <v>46028</v>
      </c>
      <c r="P86" s="29" t="n">
        <f aca="false">IF(AND(N86&gt;=-0.0000001,N85&lt;0),1,0)</f>
        <v>0</v>
      </c>
      <c r="Q86" s="30" t="str">
        <f aca="false">IF(P86=1,A86-O85,"")</f>
        <v/>
      </c>
    </row>
    <row r="87" customFormat="false" ht="15" hidden="false" customHeight="false" outlineLevel="0" collapsed="false">
      <c r="A87" s="25" t="n">
        <v>46035</v>
      </c>
      <c r="B87" s="26" t="s">
        <v>80</v>
      </c>
      <c r="C87" s="27" t="n">
        <v>21352.5</v>
      </c>
      <c r="D87" s="28" t="n">
        <f aca="false">C87/$T$1*100</f>
        <v>6.67265625</v>
      </c>
      <c r="E87" s="28" t="n">
        <f aca="false">E86+D87</f>
        <v>101.0246875</v>
      </c>
      <c r="F87" s="28" t="n">
        <f aca="false">MAX(0,MAX($E$2:E87))</f>
        <v>107.286328125</v>
      </c>
      <c r="G87" s="28" t="n">
        <f aca="false">E87-F87</f>
        <v>-6.26164062499997</v>
      </c>
      <c r="H87" s="25" t="n">
        <f aca="false">IF(G87&gt;=-0.0000001,A87,H86)</f>
        <v>45995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21352.5</v>
      </c>
      <c r="L87" s="28" t="n">
        <f aca="false">L86+K87/$T$1*100</f>
        <v>94.850078125</v>
      </c>
      <c r="M87" s="28" t="n">
        <f aca="false">MAX(0,MAX($L$2:L87))</f>
        <v>98.486015625</v>
      </c>
      <c r="N87" s="28" t="n">
        <f aca="false">L87-M87</f>
        <v>-3.6359375</v>
      </c>
      <c r="O87" s="25" t="n">
        <f aca="false">IF(N87&gt;=-0.0000001,A87,O86)</f>
        <v>46028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46036</v>
      </c>
      <c r="B88" s="26" t="s">
        <v>81</v>
      </c>
      <c r="C88" s="27" t="n">
        <v>-18183.75</v>
      </c>
      <c r="D88" s="28" t="n">
        <f aca="false">C88/$T$1*100</f>
        <v>-5.682421875</v>
      </c>
      <c r="E88" s="28" t="n">
        <f aca="false">E87+D88</f>
        <v>95.342265625</v>
      </c>
      <c r="F88" s="28" t="n">
        <f aca="false">MAX(0,MAX($E$2:E88))</f>
        <v>107.286328125</v>
      </c>
      <c r="G88" s="28" t="n">
        <f aca="false">E88-F88</f>
        <v>-11.9440625</v>
      </c>
      <c r="H88" s="25" t="n">
        <f aca="false">IF(G88&gt;=-0.0000001,A88,H87)</f>
        <v>45995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0</v>
      </c>
      <c r="L88" s="28" t="n">
        <f aca="false">L87+K88/$T$1*100</f>
        <v>94.850078125</v>
      </c>
      <c r="M88" s="28" t="n">
        <f aca="false">MAX(0,MAX($L$2:L88))</f>
        <v>98.486015625</v>
      </c>
      <c r="N88" s="28" t="n">
        <f aca="false">L88-M88</f>
        <v>-3.6359375</v>
      </c>
      <c r="O88" s="25" t="n">
        <f aca="false">IF(N88&gt;=-0.0000001,A88,O87)</f>
        <v>46028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46038</v>
      </c>
      <c r="B89" s="26" t="s">
        <v>83</v>
      </c>
      <c r="C89" s="27" t="n">
        <v>11618.75</v>
      </c>
      <c r="D89" s="28" t="n">
        <f aca="false">C89/$T$1*100</f>
        <v>3.630859375</v>
      </c>
      <c r="E89" s="28" t="n">
        <f aca="false">E88+D89</f>
        <v>98.973125</v>
      </c>
      <c r="F89" s="28" t="n">
        <f aca="false">MAX(0,MAX($E$2:E89))</f>
        <v>107.286328125</v>
      </c>
      <c r="G89" s="28" t="n">
        <f aca="false">E89-F89</f>
        <v>-8.31320312499997</v>
      </c>
      <c r="H89" s="25" t="n">
        <f aca="false">IF(G89&gt;=-0.0000001,A89,H88)</f>
        <v>45995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11618.75</v>
      </c>
      <c r="L89" s="28" t="n">
        <f aca="false">L88+K89/$T$1*100</f>
        <v>98.4809375</v>
      </c>
      <c r="M89" s="28" t="n">
        <f aca="false">MAX(0,MAX($L$2:L89))</f>
        <v>98.486015625</v>
      </c>
      <c r="N89" s="28" t="n">
        <f aca="false">L89-M89</f>
        <v>-0.00507812499999716</v>
      </c>
      <c r="O89" s="25" t="n">
        <f aca="false">IF(N89&gt;=-0.0000001,A89,O88)</f>
        <v>46028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46043</v>
      </c>
      <c r="B90" s="26" t="s">
        <v>81</v>
      </c>
      <c r="C90" s="27" t="n">
        <v>-37180</v>
      </c>
      <c r="D90" s="28" t="n">
        <f aca="false">C90/$T$1*100</f>
        <v>-11.61875</v>
      </c>
      <c r="E90" s="28" t="n">
        <f aca="false">E89+D90</f>
        <v>87.354375</v>
      </c>
      <c r="F90" s="28" t="n">
        <f aca="false">MAX(0,MAX($E$2:E90))</f>
        <v>107.286328125</v>
      </c>
      <c r="G90" s="28" t="n">
        <f aca="false">E90-F90</f>
        <v>-19.931953125</v>
      </c>
      <c r="H90" s="25" t="n">
        <f aca="false">IF(G90&gt;=-0.0000001,A90,H89)</f>
        <v>45995</v>
      </c>
      <c r="I90" s="29" t="n">
        <f aca="false">IF(AND(G90&gt;=-0.0000001,G89&lt;0),1,0)</f>
        <v>0</v>
      </c>
      <c r="J90" s="30" t="str">
        <f aca="false">IF(I90=1,A90-H89,"")</f>
        <v/>
      </c>
      <c r="K90" s="27" t="n">
        <f aca="false">IF(B90="Wednesday",0,C90)</f>
        <v>0</v>
      </c>
      <c r="L90" s="28" t="n">
        <f aca="false">L89+K90/$T$1*100</f>
        <v>98.4809375</v>
      </c>
      <c r="M90" s="28" t="n">
        <f aca="false">MAX(0,MAX($L$2:L90))</f>
        <v>98.486015625</v>
      </c>
      <c r="N90" s="28" t="n">
        <f aca="false">L90-M90</f>
        <v>-0.00507812499999716</v>
      </c>
      <c r="O90" s="25" t="n">
        <f aca="false">IF(N90&gt;=-0.0000001,A90,O89)</f>
        <v>46028</v>
      </c>
      <c r="P90" s="29" t="n">
        <f aca="false">IF(AND(N90&gt;=-0.0000001,N89&lt;0),1,0)</f>
        <v>0</v>
      </c>
      <c r="Q90" s="30" t="str">
        <f aca="false">IF(P90=1,A90-O89,"")</f>
        <v/>
      </c>
    </row>
    <row r="91" customFormat="false" ht="15" hidden="false" customHeight="false" outlineLevel="0" collapsed="false">
      <c r="A91" s="25" t="n">
        <v>46044</v>
      </c>
      <c r="B91" s="26" t="s">
        <v>82</v>
      </c>
      <c r="C91" s="27" t="n">
        <v>-17452.5</v>
      </c>
      <c r="D91" s="28" t="n">
        <f aca="false">C91/$T$1*100</f>
        <v>-5.45390625</v>
      </c>
      <c r="E91" s="28" t="n">
        <f aca="false">E90+D91</f>
        <v>81.90046875</v>
      </c>
      <c r="F91" s="28" t="n">
        <f aca="false">MAX(0,MAX($E$2:E91))</f>
        <v>107.286328125</v>
      </c>
      <c r="G91" s="28" t="n">
        <f aca="false">E91-F91</f>
        <v>-25.385859375</v>
      </c>
      <c r="H91" s="25" t="n">
        <f aca="false">IF(G91&gt;=-0.0000001,A91,H90)</f>
        <v>45995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-17452.5</v>
      </c>
      <c r="L91" s="28" t="n">
        <f aca="false">L90+K91/$T$1*100</f>
        <v>93.02703125</v>
      </c>
      <c r="M91" s="28" t="n">
        <f aca="false">MAX(0,MAX($L$2:L91))</f>
        <v>98.486015625</v>
      </c>
      <c r="N91" s="28" t="n">
        <f aca="false">L91-M91</f>
        <v>-5.458984375</v>
      </c>
      <c r="O91" s="25" t="n">
        <f aca="false">IF(N91&gt;=-0.0000001,A91,O90)</f>
        <v>46028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46045</v>
      </c>
      <c r="B92" s="26" t="s">
        <v>83</v>
      </c>
      <c r="C92" s="27" t="n">
        <v>34433.75</v>
      </c>
      <c r="D92" s="28" t="n">
        <f aca="false">C92/$T$1*100</f>
        <v>10.760546875</v>
      </c>
      <c r="E92" s="28" t="n">
        <f aca="false">E91+D92</f>
        <v>92.661015625</v>
      </c>
      <c r="F92" s="28" t="n">
        <f aca="false">MAX(0,MAX($E$2:E92))</f>
        <v>107.286328125</v>
      </c>
      <c r="G92" s="28" t="n">
        <f aca="false">E92-F92</f>
        <v>-14.6253125</v>
      </c>
      <c r="H92" s="25" t="n">
        <f aca="false">IF(G92&gt;=-0.0000001,A92,H91)</f>
        <v>45995</v>
      </c>
      <c r="I92" s="29" t="n">
        <f aca="false">IF(AND(G92&gt;=-0.0000001,G91&lt;0),1,0)</f>
        <v>0</v>
      </c>
      <c r="J92" s="30" t="str">
        <f aca="false">IF(I92=1,A92-H91,"")</f>
        <v/>
      </c>
      <c r="K92" s="27" t="n">
        <f aca="false">IF(B92="Wednesday",0,C92)</f>
        <v>34433.75</v>
      </c>
      <c r="L92" s="28" t="n">
        <f aca="false">L91+K92/$T$1*100</f>
        <v>103.787578125</v>
      </c>
      <c r="M92" s="28" t="n">
        <f aca="false">MAX(0,MAX($L$2:L92))</f>
        <v>103.787578125</v>
      </c>
      <c r="N92" s="28" t="n">
        <f aca="false">L92-M92</f>
        <v>0</v>
      </c>
      <c r="O92" s="25" t="n">
        <f aca="false">IF(N92&gt;=-0.0000001,A92,O91)</f>
        <v>46045</v>
      </c>
      <c r="P92" s="29" t="n">
        <f aca="false">IF(AND(N92&gt;=-0.0000001,N91&lt;0),1,0)</f>
        <v>1</v>
      </c>
      <c r="Q92" s="30" t="n">
        <f aca="false">IF(P92=1,A92-O91,"")</f>
        <v>17</v>
      </c>
    </row>
    <row r="93" customFormat="false" ht="15" hidden="false" customHeight="false" outlineLevel="0" collapsed="false">
      <c r="A93" s="25" t="n">
        <v>46051</v>
      </c>
      <c r="B93" s="26" t="s">
        <v>82</v>
      </c>
      <c r="C93" s="27" t="n">
        <v>13422.5</v>
      </c>
      <c r="D93" s="28" t="n">
        <f aca="false">C93/$T$1*100</f>
        <v>4.19453125</v>
      </c>
      <c r="E93" s="28" t="n">
        <f aca="false">E92+D93</f>
        <v>96.855546875</v>
      </c>
      <c r="F93" s="28" t="n">
        <f aca="false">MAX(0,MAX($E$2:E93))</f>
        <v>107.286328125</v>
      </c>
      <c r="G93" s="28" t="n">
        <f aca="false">E93-F93</f>
        <v>-10.43078125</v>
      </c>
      <c r="H93" s="25" t="n">
        <f aca="false">IF(G93&gt;=-0.0000001,A93,H92)</f>
        <v>45995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13422.5</v>
      </c>
      <c r="L93" s="28" t="n">
        <f aca="false">L92+K93/$T$1*100</f>
        <v>107.982109375</v>
      </c>
      <c r="M93" s="28" t="n">
        <f aca="false">MAX(0,MAX($L$2:L93))</f>
        <v>107.982109375</v>
      </c>
      <c r="N93" s="28" t="n">
        <f aca="false">L93-M93</f>
        <v>0</v>
      </c>
      <c r="O93" s="25" t="n">
        <f aca="false">IF(N93&gt;=-0.0000001,A93,O92)</f>
        <v>46051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46052</v>
      </c>
      <c r="B94" s="26" t="s">
        <v>83</v>
      </c>
      <c r="C94" s="27" t="n">
        <v>1040</v>
      </c>
      <c r="D94" s="28" t="n">
        <f aca="false">C94/$T$1*100</f>
        <v>0.325</v>
      </c>
      <c r="E94" s="28" t="n">
        <f aca="false">E93+D94</f>
        <v>97.180546875</v>
      </c>
      <c r="F94" s="28" t="n">
        <f aca="false">MAX(0,MAX($E$2:E94))</f>
        <v>107.286328125</v>
      </c>
      <c r="G94" s="28" t="n">
        <f aca="false">E94-F94</f>
        <v>-10.10578125</v>
      </c>
      <c r="H94" s="25" t="n">
        <f aca="false">IF(G94&gt;=-0.0000001,A94,H93)</f>
        <v>45995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1040</v>
      </c>
      <c r="L94" s="28" t="n">
        <f aca="false">L93+K94/$T$1*100</f>
        <v>108.307109375</v>
      </c>
      <c r="M94" s="28" t="n">
        <f aca="false">MAX(0,MAX($L$2:L94))</f>
        <v>108.307109375</v>
      </c>
      <c r="N94" s="28" t="n">
        <f aca="false">L94-M94</f>
        <v>0</v>
      </c>
      <c r="O94" s="25" t="n">
        <f aca="false">IF(N94&gt;=-0.0000001,A94,O93)</f>
        <v>46052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46056</v>
      </c>
      <c r="B95" s="26" t="s">
        <v>80</v>
      </c>
      <c r="C95" s="27" t="n">
        <v>33182.5</v>
      </c>
      <c r="D95" s="28" t="n">
        <f aca="false">C95/$T$1*100</f>
        <v>10.36953125</v>
      </c>
      <c r="E95" s="28" t="n">
        <f aca="false">E94+D95</f>
        <v>107.550078125</v>
      </c>
      <c r="F95" s="28" t="n">
        <f aca="false">MAX(0,MAX($E$2:E95))</f>
        <v>107.550078125</v>
      </c>
      <c r="G95" s="28" t="n">
        <f aca="false">E95-F95</f>
        <v>0</v>
      </c>
      <c r="H95" s="25" t="n">
        <f aca="false">IF(G95&gt;=-0.0000001,A95,H94)</f>
        <v>46056</v>
      </c>
      <c r="I95" s="29" t="n">
        <f aca="false">IF(AND(G95&gt;=-0.0000001,G94&lt;0),1,0)</f>
        <v>1</v>
      </c>
      <c r="J95" s="30" t="n">
        <f aca="false">IF(I95=1,A95-H94,"")</f>
        <v>61</v>
      </c>
      <c r="K95" s="27" t="n">
        <f aca="false">IF(B95="Wednesday",0,C95)</f>
        <v>33182.5</v>
      </c>
      <c r="L95" s="28" t="n">
        <f aca="false">L94+K95/$T$1*100</f>
        <v>118.676640625</v>
      </c>
      <c r="M95" s="28" t="n">
        <f aca="false">MAX(0,MAX($L$2:L95))</f>
        <v>118.676640625</v>
      </c>
      <c r="N95" s="28" t="n">
        <f aca="false">L95-M95</f>
        <v>0</v>
      </c>
      <c r="O95" s="25" t="n">
        <f aca="false">IF(N95&gt;=-0.0000001,A95,O94)</f>
        <v>46056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46058</v>
      </c>
      <c r="B96" s="26" t="s">
        <v>82</v>
      </c>
      <c r="C96" s="27" t="n">
        <v>14202.5</v>
      </c>
      <c r="D96" s="28" t="n">
        <f aca="false">C96/$T$1*100</f>
        <v>4.43828125</v>
      </c>
      <c r="E96" s="28" t="n">
        <f aca="false">E95+D96</f>
        <v>111.988359375</v>
      </c>
      <c r="F96" s="28" t="n">
        <f aca="false">MAX(0,MAX($E$2:E96))</f>
        <v>111.988359375</v>
      </c>
      <c r="G96" s="28" t="n">
        <f aca="false">E96-F96</f>
        <v>0</v>
      </c>
      <c r="H96" s="25" t="n">
        <f aca="false">IF(G96&gt;=-0.0000001,A96,H95)</f>
        <v>46058</v>
      </c>
      <c r="I96" s="29" t="n">
        <f aca="false">IF(AND(G96&gt;=-0.0000001,G95&lt;0),1,0)</f>
        <v>0</v>
      </c>
      <c r="J96" s="30" t="str">
        <f aca="false">IF(I96=1,A96-H95,"")</f>
        <v/>
      </c>
      <c r="K96" s="27" t="n">
        <f aca="false">IF(B96="Wednesday",0,C96)</f>
        <v>14202.5</v>
      </c>
      <c r="L96" s="28" t="n">
        <f aca="false">L95+K96/$T$1*100</f>
        <v>123.114921875</v>
      </c>
      <c r="M96" s="28" t="n">
        <f aca="false">MAX(0,MAX($L$2:L96))</f>
        <v>123.114921875</v>
      </c>
      <c r="N96" s="28" t="n">
        <f aca="false">L96-M96</f>
        <v>0</v>
      </c>
      <c r="O96" s="25" t="n">
        <f aca="false">IF(N96&gt;=-0.0000001,A96,O95)</f>
        <v>46058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46062</v>
      </c>
      <c r="B97" s="26" t="s">
        <v>79</v>
      </c>
      <c r="C97" s="27" t="n">
        <v>25525.5</v>
      </c>
      <c r="D97" s="28" t="n">
        <f aca="false">C97/$T$1*100</f>
        <v>7.97671875</v>
      </c>
      <c r="E97" s="28" t="n">
        <f aca="false">E96+D97</f>
        <v>119.965078125</v>
      </c>
      <c r="F97" s="28" t="n">
        <f aca="false">MAX(0,MAX($E$2:E97))</f>
        <v>119.965078125</v>
      </c>
      <c r="G97" s="28" t="n">
        <f aca="false">E97-F97</f>
        <v>0</v>
      </c>
      <c r="H97" s="25" t="n">
        <f aca="false">IF(G97&gt;=-0.0000001,A97,H96)</f>
        <v>46062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25525.5</v>
      </c>
      <c r="L97" s="28" t="n">
        <f aca="false">L96+K97/$T$1*100</f>
        <v>131.091640625</v>
      </c>
      <c r="M97" s="28" t="n">
        <f aca="false">MAX(0,MAX($L$2:L97))</f>
        <v>131.091640625</v>
      </c>
      <c r="N97" s="28" t="n">
        <f aca="false">L97-M97</f>
        <v>0</v>
      </c>
      <c r="O97" s="25" t="n">
        <f aca="false">IF(N97&gt;=-0.0000001,A97,O96)</f>
        <v>46062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46063</v>
      </c>
      <c r="B98" s="26" t="s">
        <v>80</v>
      </c>
      <c r="C98" s="27" t="n">
        <v>13861.25</v>
      </c>
      <c r="D98" s="28" t="n">
        <f aca="false">C98/$T$1*100</f>
        <v>4.331640625</v>
      </c>
      <c r="E98" s="28" t="n">
        <f aca="false">E97+D98</f>
        <v>124.29671875</v>
      </c>
      <c r="F98" s="28" t="n">
        <f aca="false">MAX(0,MAX($E$2:E98))</f>
        <v>124.29671875</v>
      </c>
      <c r="G98" s="28" t="n">
        <f aca="false">E98-F98</f>
        <v>0</v>
      </c>
      <c r="H98" s="25" t="n">
        <f aca="false">IF(G98&gt;=-0.0000001,A98,H97)</f>
        <v>46063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13861.25</v>
      </c>
      <c r="L98" s="28" t="n">
        <f aca="false">L97+K98/$T$1*100</f>
        <v>135.42328125</v>
      </c>
      <c r="M98" s="28" t="n">
        <f aca="false">MAX(0,MAX($L$2:L98))</f>
        <v>135.42328125</v>
      </c>
      <c r="N98" s="28" t="n">
        <f aca="false">L98-M98</f>
        <v>0</v>
      </c>
      <c r="O98" s="25" t="n">
        <f aca="false">IF(N98&gt;=-0.0000001,A98,O97)</f>
        <v>46063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46065</v>
      </c>
      <c r="B99" s="26" t="s">
        <v>82</v>
      </c>
      <c r="C99" s="27" t="n">
        <v>-34190</v>
      </c>
      <c r="D99" s="28" t="n">
        <f aca="false">C99/$T$1*100</f>
        <v>-10.684375</v>
      </c>
      <c r="E99" s="28" t="n">
        <f aca="false">E98+D99</f>
        <v>113.61234375</v>
      </c>
      <c r="F99" s="28" t="n">
        <f aca="false">MAX(0,MAX($E$2:E99))</f>
        <v>124.29671875</v>
      </c>
      <c r="G99" s="28" t="n">
        <f aca="false">E99-F99</f>
        <v>-10.684375</v>
      </c>
      <c r="H99" s="25" t="n">
        <f aca="false">IF(G99&gt;=-0.0000001,A99,H98)</f>
        <v>46063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-34190</v>
      </c>
      <c r="L99" s="28" t="n">
        <f aca="false">L98+K99/$T$1*100</f>
        <v>124.73890625</v>
      </c>
      <c r="M99" s="28" t="n">
        <f aca="false">MAX(0,MAX($L$2:L99))</f>
        <v>135.42328125</v>
      </c>
      <c r="N99" s="28" t="n">
        <f aca="false">L99-M99</f>
        <v>-10.684375</v>
      </c>
      <c r="O99" s="25" t="n">
        <f aca="false">IF(N99&gt;=-0.0000001,A99,O98)</f>
        <v>46063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46070</v>
      </c>
      <c r="B100" s="26" t="s">
        <v>80</v>
      </c>
      <c r="C100" s="27" t="n">
        <v>3705</v>
      </c>
      <c r="D100" s="28" t="n">
        <f aca="false">C100/$T$1*100</f>
        <v>1.1578125</v>
      </c>
      <c r="E100" s="28" t="n">
        <f aca="false">E99+D100</f>
        <v>114.77015625</v>
      </c>
      <c r="F100" s="28" t="n">
        <f aca="false">MAX(0,MAX($E$2:E100))</f>
        <v>124.29671875</v>
      </c>
      <c r="G100" s="28" t="n">
        <f aca="false">E100-F100</f>
        <v>-9.5265625</v>
      </c>
      <c r="H100" s="25" t="n">
        <f aca="false">IF(G100&gt;=-0.0000001,A100,H99)</f>
        <v>46063</v>
      </c>
      <c r="I100" s="29" t="n">
        <f aca="false">IF(AND(G100&gt;=-0.0000001,G99&lt;0),1,0)</f>
        <v>0</v>
      </c>
      <c r="J100" s="30" t="str">
        <f aca="false">IF(I100=1,A100-H99,"")</f>
        <v/>
      </c>
      <c r="K100" s="27" t="n">
        <f aca="false">IF(B100="Wednesday",0,C100)</f>
        <v>3705</v>
      </c>
      <c r="L100" s="28" t="n">
        <f aca="false">L99+K100/$T$1*100</f>
        <v>125.89671875</v>
      </c>
      <c r="M100" s="28" t="n">
        <f aca="false">MAX(0,MAX($L$2:L100))</f>
        <v>135.42328125</v>
      </c>
      <c r="N100" s="28" t="n">
        <f aca="false">L100-M100</f>
        <v>-9.5265625</v>
      </c>
      <c r="O100" s="25" t="n">
        <f aca="false">IF(N100&gt;=-0.0000001,A100,O99)</f>
        <v>46063</v>
      </c>
      <c r="P100" s="29" t="n">
        <f aca="false">IF(AND(N100&gt;=-0.0000001,N99&lt;0),1,0)</f>
        <v>0</v>
      </c>
      <c r="Q100" s="30" t="str">
        <f aca="false">IF(P100=1,A100-O99,"")</f>
        <v/>
      </c>
    </row>
    <row r="101" customFormat="false" ht="15" hidden="false" customHeight="false" outlineLevel="0" collapsed="false">
      <c r="A101" s="25" t="n">
        <v>46072</v>
      </c>
      <c r="B101" s="26" t="s">
        <v>82</v>
      </c>
      <c r="C101" s="27" t="n">
        <v>-17452.5</v>
      </c>
      <c r="D101" s="28" t="n">
        <f aca="false">C101/$T$1*100</f>
        <v>-5.45390625</v>
      </c>
      <c r="E101" s="28" t="n">
        <f aca="false">E100+D101</f>
        <v>109.31625</v>
      </c>
      <c r="F101" s="28" t="n">
        <f aca="false">MAX(0,MAX($E$2:E101))</f>
        <v>124.29671875</v>
      </c>
      <c r="G101" s="28" t="n">
        <f aca="false">E101-F101</f>
        <v>-14.98046875</v>
      </c>
      <c r="H101" s="25" t="n">
        <f aca="false">IF(G101&gt;=-0.0000001,A101,H100)</f>
        <v>46063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-17452.5</v>
      </c>
      <c r="L101" s="28" t="n">
        <f aca="false">L100+K101/$T$1*100</f>
        <v>120.4428125</v>
      </c>
      <c r="M101" s="28" t="n">
        <f aca="false">MAX(0,MAX($L$2:L101))</f>
        <v>135.42328125</v>
      </c>
      <c r="N101" s="28" t="n">
        <f aca="false">L101-M101</f>
        <v>-14.98046875</v>
      </c>
      <c r="O101" s="25" t="n">
        <f aca="false">IF(N101&gt;=-0.0000001,A101,O100)</f>
        <v>46063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46073</v>
      </c>
      <c r="B102" s="26" t="s">
        <v>83</v>
      </c>
      <c r="C102" s="27" t="n">
        <v>-6565</v>
      </c>
      <c r="D102" s="28" t="n">
        <f aca="false">C102/$T$1*100</f>
        <v>-2.0515625</v>
      </c>
      <c r="E102" s="28" t="n">
        <f aca="false">E101+D102</f>
        <v>107.2646875</v>
      </c>
      <c r="F102" s="28" t="n">
        <f aca="false">MAX(0,MAX($E$2:E102))</f>
        <v>124.29671875</v>
      </c>
      <c r="G102" s="28" t="n">
        <f aca="false">E102-F102</f>
        <v>-17.03203125</v>
      </c>
      <c r="H102" s="25" t="n">
        <f aca="false">IF(G102&gt;=-0.0000001,A102,H101)</f>
        <v>46063</v>
      </c>
      <c r="I102" s="29" t="n">
        <f aca="false">IF(AND(G102&gt;=-0.0000001,G101&lt;0),1,0)</f>
        <v>0</v>
      </c>
      <c r="J102" s="30" t="str">
        <f aca="false">IF(I102=1,A102-H101,"")</f>
        <v/>
      </c>
      <c r="K102" s="27" t="n">
        <f aca="false">IF(B102="Wednesday",0,C102)</f>
        <v>-6565</v>
      </c>
      <c r="L102" s="28" t="n">
        <f aca="false">L101+K102/$T$1*100</f>
        <v>118.39125</v>
      </c>
      <c r="M102" s="28" t="n">
        <f aca="false">MAX(0,MAX($L$2:L102))</f>
        <v>135.42328125</v>
      </c>
      <c r="N102" s="28" t="n">
        <f aca="false">L102-M102</f>
        <v>-17.03203125</v>
      </c>
      <c r="O102" s="25" t="n">
        <f aca="false">IF(N102&gt;=-0.0000001,A102,O101)</f>
        <v>46063</v>
      </c>
      <c r="P102" s="29" t="n">
        <f aca="false">IF(AND(N102&gt;=-0.0000001,N101&lt;0),1,0)</f>
        <v>0</v>
      </c>
      <c r="Q102" s="30" t="str">
        <f aca="false">IF(P102=1,A102-O101,"")</f>
        <v/>
      </c>
    </row>
    <row r="103" customFormat="false" ht="15" hidden="false" customHeight="false" outlineLevel="0" collapsed="false">
      <c r="A103" s="25" t="n">
        <v>46076</v>
      </c>
      <c r="B103" s="26" t="s">
        <v>79</v>
      </c>
      <c r="C103" s="27" t="n">
        <v>-17127.5</v>
      </c>
      <c r="D103" s="28" t="n">
        <f aca="false">C103/$T$1*100</f>
        <v>-5.35234375</v>
      </c>
      <c r="E103" s="28" t="n">
        <f aca="false">E102+D103</f>
        <v>101.91234375</v>
      </c>
      <c r="F103" s="28" t="n">
        <f aca="false">MAX(0,MAX($E$2:E103))</f>
        <v>124.29671875</v>
      </c>
      <c r="G103" s="28" t="n">
        <f aca="false">E103-F103</f>
        <v>-22.384375</v>
      </c>
      <c r="H103" s="25" t="n">
        <f aca="false">IF(G103&gt;=-0.0000001,A103,H102)</f>
        <v>46063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-17127.5</v>
      </c>
      <c r="L103" s="28" t="n">
        <f aca="false">L102+K103/$T$1*100</f>
        <v>113.03890625</v>
      </c>
      <c r="M103" s="28" t="n">
        <f aca="false">MAX(0,MAX($L$2:L103))</f>
        <v>135.42328125</v>
      </c>
      <c r="N103" s="28" t="n">
        <f aca="false">L103-M103</f>
        <v>-22.384375</v>
      </c>
      <c r="O103" s="25" t="n">
        <f aca="false">IF(N103&gt;=-0.0000001,A103,O102)</f>
        <v>46063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46077</v>
      </c>
      <c r="B104" s="26" t="s">
        <v>80</v>
      </c>
      <c r="C104" s="27" t="n">
        <v>26845</v>
      </c>
      <c r="D104" s="28" t="n">
        <f aca="false">C104/$T$1*100</f>
        <v>8.3890625</v>
      </c>
      <c r="E104" s="28" t="n">
        <f aca="false">E103+D104</f>
        <v>110.30140625</v>
      </c>
      <c r="F104" s="28" t="n">
        <f aca="false">MAX(0,MAX($E$2:E104))</f>
        <v>124.29671875</v>
      </c>
      <c r="G104" s="28" t="n">
        <f aca="false">E104-F104</f>
        <v>-13.9953125</v>
      </c>
      <c r="H104" s="25" t="n">
        <f aca="false">IF(G104&gt;=-0.0000001,A104,H103)</f>
        <v>46063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26845</v>
      </c>
      <c r="L104" s="28" t="n">
        <f aca="false">L103+K104/$T$1*100</f>
        <v>121.42796875</v>
      </c>
      <c r="M104" s="28" t="n">
        <f aca="false">MAX(0,MAX($L$2:L104))</f>
        <v>135.42328125</v>
      </c>
      <c r="N104" s="28" t="n">
        <f aca="false">L104-M104</f>
        <v>-13.9953125</v>
      </c>
      <c r="O104" s="25" t="n">
        <f aca="false">IF(N104&gt;=-0.0000001,A104,O103)</f>
        <v>46063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46078</v>
      </c>
      <c r="B105" s="26" t="s">
        <v>81</v>
      </c>
      <c r="C105" s="27" t="n">
        <v>-18687.5</v>
      </c>
      <c r="D105" s="28" t="n">
        <f aca="false">C105/$T$1*100</f>
        <v>-5.83984375</v>
      </c>
      <c r="E105" s="28" t="n">
        <f aca="false">E104+D105</f>
        <v>104.4615625</v>
      </c>
      <c r="F105" s="28" t="n">
        <f aca="false">MAX(0,MAX($E$2:E105))</f>
        <v>124.29671875</v>
      </c>
      <c r="G105" s="28" t="n">
        <f aca="false">E105-F105</f>
        <v>-19.83515625</v>
      </c>
      <c r="H105" s="25" t="n">
        <f aca="false">IF(G105&gt;=-0.0000001,A105,H104)</f>
        <v>46063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0</v>
      </c>
      <c r="L105" s="28" t="n">
        <f aca="false">L104+K105/$T$1*100</f>
        <v>121.42796875</v>
      </c>
      <c r="M105" s="28" t="n">
        <f aca="false">MAX(0,MAX($L$2:L105))</f>
        <v>135.42328125</v>
      </c>
      <c r="N105" s="28" t="n">
        <f aca="false">L105-M105</f>
        <v>-13.9953125</v>
      </c>
      <c r="O105" s="25" t="n">
        <f aca="false">IF(N105&gt;=-0.0000001,A105,O104)</f>
        <v>46063</v>
      </c>
      <c r="P105" s="29" t="n">
        <f aca="false">IF(AND(N105&gt;=-0.0000001,N104&lt;0),1,0)</f>
        <v>0</v>
      </c>
      <c r="Q105" s="30" t="str">
        <f aca="false">IF(P105=1,A105-O104,"")</f>
        <v/>
      </c>
    </row>
    <row r="106" customFormat="false" ht="15" hidden="false" customHeight="false" outlineLevel="0" collapsed="false">
      <c r="A106" s="25" t="n">
        <v>46079</v>
      </c>
      <c r="B106" s="26" t="s">
        <v>82</v>
      </c>
      <c r="C106" s="27" t="n">
        <v>10952.5</v>
      </c>
      <c r="D106" s="28" t="n">
        <f aca="false">C106/$T$1*100</f>
        <v>3.42265625</v>
      </c>
      <c r="E106" s="28" t="n">
        <f aca="false">E105+D106</f>
        <v>107.88421875</v>
      </c>
      <c r="F106" s="28" t="n">
        <f aca="false">MAX(0,MAX($E$2:E106))</f>
        <v>124.29671875</v>
      </c>
      <c r="G106" s="28" t="n">
        <f aca="false">E106-F106</f>
        <v>-16.4125</v>
      </c>
      <c r="H106" s="25" t="n">
        <f aca="false">IF(G106&gt;=-0.0000001,A106,H105)</f>
        <v>46063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10952.5</v>
      </c>
      <c r="L106" s="28" t="n">
        <f aca="false">L105+K106/$T$1*100</f>
        <v>124.850625</v>
      </c>
      <c r="M106" s="28" t="n">
        <f aca="false">MAX(0,MAX($L$2:L106))</f>
        <v>135.42328125</v>
      </c>
      <c r="N106" s="28" t="n">
        <f aca="false">L106-M106</f>
        <v>-10.57265625</v>
      </c>
      <c r="O106" s="25" t="n">
        <f aca="false">IF(N106&gt;=-0.0000001,A106,O105)</f>
        <v>46063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46083</v>
      </c>
      <c r="B107" s="26" t="s">
        <v>79</v>
      </c>
      <c r="C107" s="27" t="n">
        <v>33523.75</v>
      </c>
      <c r="D107" s="28" t="n">
        <f aca="false">C107/$T$1*100</f>
        <v>10.476171875</v>
      </c>
      <c r="E107" s="28" t="n">
        <f aca="false">E106+D107</f>
        <v>118.360390625</v>
      </c>
      <c r="F107" s="28" t="n">
        <f aca="false">MAX(0,MAX($E$2:E107))</f>
        <v>124.29671875</v>
      </c>
      <c r="G107" s="28" t="n">
        <f aca="false">E107-F107</f>
        <v>-5.936328125</v>
      </c>
      <c r="H107" s="25" t="n">
        <f aca="false">IF(G107&gt;=-0.0000001,A107,H106)</f>
        <v>46063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33523.75</v>
      </c>
      <c r="L107" s="28" t="n">
        <f aca="false">L106+K107/$T$1*100</f>
        <v>135.326796875</v>
      </c>
      <c r="M107" s="28" t="n">
        <f aca="false">MAX(0,MAX($L$2:L107))</f>
        <v>135.42328125</v>
      </c>
      <c r="N107" s="28" t="n">
        <f aca="false">L107-M107</f>
        <v>-0.0964843750000171</v>
      </c>
      <c r="O107" s="25" t="n">
        <f aca="false">IF(N107&gt;=-0.0000001,A107,O106)</f>
        <v>46063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46090</v>
      </c>
      <c r="B108" s="26" t="s">
        <v>79</v>
      </c>
      <c r="C108" s="27" t="n">
        <v>41827.5</v>
      </c>
      <c r="D108" s="28" t="n">
        <f aca="false">C108/$T$1*100</f>
        <v>13.07109375</v>
      </c>
      <c r="E108" s="28" t="n">
        <f aca="false">E107+D108</f>
        <v>131.431484375</v>
      </c>
      <c r="F108" s="28" t="n">
        <f aca="false">MAX(0,MAX($E$2:E108))</f>
        <v>131.431484375</v>
      </c>
      <c r="G108" s="28" t="n">
        <f aca="false">E108-F108</f>
        <v>0</v>
      </c>
      <c r="H108" s="25" t="n">
        <f aca="false">IF(G108&gt;=-0.0000001,A108,H107)</f>
        <v>46090</v>
      </c>
      <c r="I108" s="29" t="n">
        <f aca="false">IF(AND(G108&gt;=-0.0000001,G107&lt;0),1,0)</f>
        <v>1</v>
      </c>
      <c r="J108" s="30" t="n">
        <f aca="false">IF(I108=1,A108-H107,"")</f>
        <v>27</v>
      </c>
      <c r="K108" s="27" t="n">
        <f aca="false">IF(B108="Wednesday",0,C108)</f>
        <v>41827.5</v>
      </c>
      <c r="L108" s="28" t="n">
        <f aca="false">L107+K108/$T$1*100</f>
        <v>148.397890625</v>
      </c>
      <c r="M108" s="28" t="n">
        <f aca="false">MAX(0,MAX($L$2:L108))</f>
        <v>148.397890625</v>
      </c>
      <c r="N108" s="28" t="n">
        <f aca="false">L108-M108</f>
        <v>0</v>
      </c>
      <c r="O108" s="25" t="n">
        <f aca="false">IF(N108&gt;=-0.0000001,A108,O107)</f>
        <v>46090</v>
      </c>
      <c r="P108" s="29" t="n">
        <f aca="false">IF(AND(N108&gt;=-0.0000001,N107&lt;0),1,0)</f>
        <v>1</v>
      </c>
      <c r="Q108" s="30" t="n">
        <f aca="false">IF(P108=1,A108-O107,"")</f>
        <v>27</v>
      </c>
    </row>
    <row r="109" customFormat="false" ht="15" hidden="false" customHeight="false" outlineLevel="0" collapsed="false">
      <c r="A109" s="25" t="n">
        <v>46091</v>
      </c>
      <c r="B109" s="26" t="s">
        <v>80</v>
      </c>
      <c r="C109" s="27" t="n">
        <v>9330.75</v>
      </c>
      <c r="D109" s="28" t="n">
        <f aca="false">C109/$T$1*100</f>
        <v>2.915859375</v>
      </c>
      <c r="E109" s="28" t="n">
        <f aca="false">E108+D109</f>
        <v>134.34734375</v>
      </c>
      <c r="F109" s="28" t="n">
        <f aca="false">MAX(0,MAX($E$2:E109))</f>
        <v>134.34734375</v>
      </c>
      <c r="G109" s="28" t="n">
        <f aca="false">E109-F109</f>
        <v>0</v>
      </c>
      <c r="H109" s="25" t="n">
        <f aca="false">IF(G109&gt;=-0.0000001,A109,H108)</f>
        <v>46091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9330.75</v>
      </c>
      <c r="L109" s="28" t="n">
        <f aca="false">L108+K109/$T$1*100</f>
        <v>151.31375</v>
      </c>
      <c r="M109" s="28" t="n">
        <f aca="false">MAX(0,MAX($L$2:L109))</f>
        <v>151.31375</v>
      </c>
      <c r="N109" s="28" t="n">
        <f aca="false">L109-M109</f>
        <v>0</v>
      </c>
      <c r="O109" s="25" t="n">
        <f aca="false">IF(N109&gt;=-0.0000001,A109,O108)</f>
        <v>46091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46097</v>
      </c>
      <c r="B110" s="26" t="s">
        <v>79</v>
      </c>
      <c r="C110" s="27" t="n">
        <v>-16493.75</v>
      </c>
      <c r="D110" s="28" t="n">
        <f aca="false">C110/$T$1*100</f>
        <v>-5.154296875</v>
      </c>
      <c r="E110" s="28" t="n">
        <f aca="false">E109+D110</f>
        <v>129.193046875</v>
      </c>
      <c r="F110" s="28" t="n">
        <f aca="false">MAX(0,MAX($E$2:E110))</f>
        <v>134.34734375</v>
      </c>
      <c r="G110" s="28" t="n">
        <f aca="false">E110-F110</f>
        <v>-5.154296875</v>
      </c>
      <c r="H110" s="25" t="n">
        <f aca="false">IF(G110&gt;=-0.0000001,A110,H109)</f>
        <v>46091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-16493.75</v>
      </c>
      <c r="L110" s="28" t="n">
        <f aca="false">L109+K110/$T$1*100</f>
        <v>146.159453125</v>
      </c>
      <c r="M110" s="28" t="n">
        <f aca="false">MAX(0,MAX($L$2:L110))</f>
        <v>151.31375</v>
      </c>
      <c r="N110" s="28" t="n">
        <f aca="false">L110-M110</f>
        <v>-5.154296875</v>
      </c>
      <c r="O110" s="25" t="n">
        <f aca="false">IF(N110&gt;=-0.0000001,A110,O109)</f>
        <v>46091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46098</v>
      </c>
      <c r="B111" s="26" t="s">
        <v>80</v>
      </c>
      <c r="C111" s="27" t="n">
        <v>-8979.75</v>
      </c>
      <c r="D111" s="28" t="n">
        <f aca="false">C111/$T$1*100</f>
        <v>-2.806171875</v>
      </c>
      <c r="E111" s="28" t="n">
        <f aca="false">E110+D111</f>
        <v>126.386875</v>
      </c>
      <c r="F111" s="28" t="n">
        <f aca="false">MAX(0,MAX($E$2:E111))</f>
        <v>134.34734375</v>
      </c>
      <c r="G111" s="28" t="n">
        <f aca="false">E111-F111</f>
        <v>-7.96046875</v>
      </c>
      <c r="H111" s="25" t="n">
        <f aca="false">IF(G111&gt;=-0.0000001,A111,H110)</f>
        <v>46091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-8979.75</v>
      </c>
      <c r="L111" s="28" t="n">
        <f aca="false">L110+K111/$T$1*100</f>
        <v>143.35328125</v>
      </c>
      <c r="M111" s="28" t="n">
        <f aca="false">MAX(0,MAX($L$2:L111))</f>
        <v>151.31375</v>
      </c>
      <c r="N111" s="28" t="n">
        <f aca="false">L111-M111</f>
        <v>-7.96046874999999</v>
      </c>
      <c r="O111" s="25" t="n">
        <f aca="false">IF(N111&gt;=-0.0000001,A111,O110)</f>
        <v>46091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46100</v>
      </c>
      <c r="B112" s="26" t="s">
        <v>82</v>
      </c>
      <c r="C112" s="27" t="n">
        <v>40950</v>
      </c>
      <c r="D112" s="28" t="n">
        <f aca="false">C112/$T$1*100</f>
        <v>12.796875</v>
      </c>
      <c r="E112" s="28" t="n">
        <f aca="false">E111+D112</f>
        <v>139.18375</v>
      </c>
      <c r="F112" s="28" t="n">
        <f aca="false">MAX(0,MAX($E$2:E112))</f>
        <v>139.18375</v>
      </c>
      <c r="G112" s="28" t="n">
        <f aca="false">E112-F112</f>
        <v>0</v>
      </c>
      <c r="H112" s="25" t="n">
        <f aca="false">IF(G112&gt;=-0.0000001,A112,H111)</f>
        <v>46100</v>
      </c>
      <c r="I112" s="29" t="n">
        <f aca="false">IF(AND(G112&gt;=-0.0000001,G111&lt;0),1,0)</f>
        <v>1</v>
      </c>
      <c r="J112" s="30" t="n">
        <f aca="false">IF(I112=1,A112-H111,"")</f>
        <v>9</v>
      </c>
      <c r="K112" s="27" t="n">
        <f aca="false">IF(B112="Wednesday",0,C112)</f>
        <v>40950</v>
      </c>
      <c r="L112" s="28" t="n">
        <f aca="false">L111+K112/$T$1*100</f>
        <v>156.15015625</v>
      </c>
      <c r="M112" s="28" t="n">
        <f aca="false">MAX(0,MAX($L$2:L112))</f>
        <v>156.15015625</v>
      </c>
      <c r="N112" s="28" t="n">
        <f aca="false">L112-M112</f>
        <v>0</v>
      </c>
      <c r="O112" s="25" t="n">
        <f aca="false">IF(N112&gt;=-0.0000001,A112,O111)</f>
        <v>46100</v>
      </c>
      <c r="P112" s="29" t="n">
        <f aca="false">IF(AND(N112&gt;=-0.0000001,N111&lt;0),1,0)</f>
        <v>1</v>
      </c>
      <c r="Q112" s="30" t="n">
        <f aca="false">IF(P112=1,A112-O111,"")</f>
        <v>9</v>
      </c>
    </row>
    <row r="113" customFormat="false" ht="15" hidden="false" customHeight="false" outlineLevel="0" collapsed="false">
      <c r="A113" s="25" t="n">
        <v>46105</v>
      </c>
      <c r="B113" s="26" t="s">
        <v>80</v>
      </c>
      <c r="C113" s="27" t="n">
        <v>28470</v>
      </c>
      <c r="D113" s="28" t="n">
        <f aca="false">C113/$T$1*100</f>
        <v>8.896875</v>
      </c>
      <c r="E113" s="28" t="n">
        <f aca="false">E112+D113</f>
        <v>148.080625</v>
      </c>
      <c r="F113" s="28" t="n">
        <f aca="false">MAX(0,MAX($E$2:E113))</f>
        <v>148.080625</v>
      </c>
      <c r="G113" s="28" t="n">
        <f aca="false">E113-F113</f>
        <v>0</v>
      </c>
      <c r="H113" s="25" t="n">
        <f aca="false">IF(G113&gt;=-0.0000001,A113,H112)</f>
        <v>46105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28470</v>
      </c>
      <c r="L113" s="28" t="n">
        <f aca="false">L112+K113/$T$1*100</f>
        <v>165.04703125</v>
      </c>
      <c r="M113" s="28" t="n">
        <f aca="false">MAX(0,MAX($L$2:L113))</f>
        <v>165.04703125</v>
      </c>
      <c r="N113" s="28" t="n">
        <f aca="false">L113-M113</f>
        <v>0</v>
      </c>
      <c r="O113" s="25" t="n">
        <f aca="false">IF(N113&gt;=-0.0000001,A113,O112)</f>
        <v>46105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46118</v>
      </c>
      <c r="B114" s="26" t="s">
        <v>79</v>
      </c>
      <c r="C114" s="27" t="n">
        <v>-13624</v>
      </c>
      <c r="D114" s="28" t="n">
        <f aca="false">C114/$T$1*100</f>
        <v>-4.2575</v>
      </c>
      <c r="E114" s="28" t="n">
        <f aca="false">E113+D114</f>
        <v>143.823125</v>
      </c>
      <c r="F114" s="28" t="n">
        <f aca="false">MAX(0,MAX($E$2:E114))</f>
        <v>148.080625</v>
      </c>
      <c r="G114" s="28" t="n">
        <f aca="false">E114-F114</f>
        <v>-4.25749999999999</v>
      </c>
      <c r="H114" s="25" t="n">
        <f aca="false">IF(G114&gt;=-0.0000001,A114,H113)</f>
        <v>46105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-13624</v>
      </c>
      <c r="L114" s="28" t="n">
        <f aca="false">L113+K114/$T$1*100</f>
        <v>160.78953125</v>
      </c>
      <c r="M114" s="28" t="n">
        <f aca="false">MAX(0,MAX($L$2:L114))</f>
        <v>165.04703125</v>
      </c>
      <c r="N114" s="28" t="n">
        <f aca="false">L114-M114</f>
        <v>-4.25749999999999</v>
      </c>
      <c r="O114" s="25" t="n">
        <f aca="false">IF(N114&gt;=-0.0000001,A114,O113)</f>
        <v>46105</v>
      </c>
      <c r="P114" s="29" t="n">
        <f aca="false">IF(AND(N114&gt;=-0.0000001,N113&lt;0),1,0)</f>
        <v>0</v>
      </c>
      <c r="Q114" s="30" t="str">
        <f aca="false">IF(P114=1,A114-O113,"")</f>
        <v/>
      </c>
    </row>
    <row r="115" customFormat="false" ht="15" hidden="false" customHeight="false" outlineLevel="0" collapsed="false">
      <c r="A115" s="25" t="n">
        <v>46119</v>
      </c>
      <c r="B115" s="26" t="s">
        <v>80</v>
      </c>
      <c r="C115" s="27" t="n">
        <v>26026</v>
      </c>
      <c r="D115" s="28" t="n">
        <f aca="false">C115/$T$1*100</f>
        <v>8.133125</v>
      </c>
      <c r="E115" s="28" t="n">
        <f aca="false">E114+D115</f>
        <v>151.95625</v>
      </c>
      <c r="F115" s="28" t="n">
        <f aca="false">MAX(0,MAX($E$2:E115))</f>
        <v>151.95625</v>
      </c>
      <c r="G115" s="28" t="n">
        <f aca="false">E115-F115</f>
        <v>0</v>
      </c>
      <c r="H115" s="25" t="n">
        <f aca="false">IF(G115&gt;=-0.0000001,A115,H114)</f>
        <v>46119</v>
      </c>
      <c r="I115" s="29" t="n">
        <f aca="false">IF(AND(G115&gt;=-0.0000001,G114&lt;0),1,0)</f>
        <v>1</v>
      </c>
      <c r="J115" s="30" t="n">
        <f aca="false">IF(I115=1,A115-H114,"")</f>
        <v>14</v>
      </c>
      <c r="K115" s="27" t="n">
        <f aca="false">IF(B115="Wednesday",0,C115)</f>
        <v>26026</v>
      </c>
      <c r="L115" s="28" t="n">
        <f aca="false">L114+K115/$T$1*100</f>
        <v>168.92265625</v>
      </c>
      <c r="M115" s="28" t="n">
        <f aca="false">MAX(0,MAX($L$2:L115))</f>
        <v>168.92265625</v>
      </c>
      <c r="N115" s="28" t="n">
        <f aca="false">L115-M115</f>
        <v>0</v>
      </c>
      <c r="O115" s="25" t="n">
        <f aca="false">IF(N115&gt;=-0.0000001,A115,O114)</f>
        <v>46119</v>
      </c>
      <c r="P115" s="29" t="n">
        <f aca="false">IF(AND(N115&gt;=-0.0000001,N114&lt;0),1,0)</f>
        <v>1</v>
      </c>
      <c r="Q115" s="30" t="n">
        <f aca="false">IF(P115=1,A115-O114,"")</f>
        <v>14</v>
      </c>
    </row>
    <row r="116" customFormat="false" ht="15" hidden="false" customHeight="false" outlineLevel="0" collapsed="false">
      <c r="A116" s="25" t="n">
        <v>46121</v>
      </c>
      <c r="B116" s="26" t="s">
        <v>82</v>
      </c>
      <c r="C116" s="27" t="n">
        <v>18167.5</v>
      </c>
      <c r="D116" s="28" t="n">
        <f aca="false">C116/$T$1*100</f>
        <v>5.67734375</v>
      </c>
      <c r="E116" s="28" t="n">
        <f aca="false">E115+D116</f>
        <v>157.63359375</v>
      </c>
      <c r="F116" s="28" t="n">
        <f aca="false">MAX(0,MAX($E$2:E116))</f>
        <v>157.63359375</v>
      </c>
      <c r="G116" s="28" t="n">
        <f aca="false">E116-F116</f>
        <v>0</v>
      </c>
      <c r="H116" s="25" t="n">
        <f aca="false">IF(G116&gt;=-0.0000001,A116,H115)</f>
        <v>46121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18167.5</v>
      </c>
      <c r="L116" s="28" t="n">
        <f aca="false">L115+K116/$T$1*100</f>
        <v>174.6</v>
      </c>
      <c r="M116" s="28" t="n">
        <f aca="false">MAX(0,MAX($L$2:L116))</f>
        <v>174.6</v>
      </c>
      <c r="N116" s="28" t="n">
        <f aca="false">L116-M116</f>
        <v>0</v>
      </c>
      <c r="O116" s="25" t="n">
        <f aca="false">IF(N116&gt;=-0.0000001,A116,O115)</f>
        <v>46121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46125</v>
      </c>
      <c r="B117" s="26" t="s">
        <v>79</v>
      </c>
      <c r="C117" s="27" t="n">
        <v>-65503.75</v>
      </c>
      <c r="D117" s="28" t="n">
        <f aca="false">C117/$T$1*100</f>
        <v>-20.469921875</v>
      </c>
      <c r="E117" s="28" t="n">
        <f aca="false">E116+D117</f>
        <v>137.163671875</v>
      </c>
      <c r="F117" s="28" t="n">
        <f aca="false">MAX(0,MAX($E$2:E117))</f>
        <v>157.63359375</v>
      </c>
      <c r="G117" s="28" t="n">
        <f aca="false">E117-F117</f>
        <v>-20.469921875</v>
      </c>
      <c r="H117" s="25" t="n">
        <f aca="false">IF(G117&gt;=-0.0000001,A117,H116)</f>
        <v>46121</v>
      </c>
      <c r="I117" s="29" t="n">
        <f aca="false">IF(AND(G117&gt;=-0.0000001,G116&lt;0),1,0)</f>
        <v>0</v>
      </c>
      <c r="J117" s="30" t="str">
        <f aca="false">IF(I117=1,A117-H116,"")</f>
        <v/>
      </c>
      <c r="K117" s="27" t="n">
        <f aca="false">IF(B117="Wednesday",0,C117)</f>
        <v>-65503.75</v>
      </c>
      <c r="L117" s="28" t="n">
        <f aca="false">L116+K117/$T$1*100</f>
        <v>154.130078125</v>
      </c>
      <c r="M117" s="28" t="n">
        <f aca="false">MAX(0,MAX($L$2:L117))</f>
        <v>174.6</v>
      </c>
      <c r="N117" s="28" t="n">
        <f aca="false">L117-M117</f>
        <v>-20.469921875</v>
      </c>
      <c r="O117" s="25" t="n">
        <f aca="false">IF(N117&gt;=-0.0000001,A117,O116)</f>
        <v>46121</v>
      </c>
      <c r="P117" s="29" t="n">
        <f aca="false">IF(AND(N117&gt;=-0.0000001,N116&lt;0),1,0)</f>
        <v>0</v>
      </c>
      <c r="Q117" s="30" t="str">
        <f aca="false">IF(P117=1,A117-O116,"")</f>
        <v/>
      </c>
    </row>
    <row r="118" customFormat="false" ht="15" hidden="false" customHeight="false" outlineLevel="0" collapsed="false">
      <c r="A118" s="25" t="n">
        <v>46129</v>
      </c>
      <c r="B118" s="26" t="s">
        <v>83</v>
      </c>
      <c r="C118" s="27" t="n">
        <v>-3818.75</v>
      </c>
      <c r="D118" s="28" t="n">
        <f aca="false">C118/$T$1*100</f>
        <v>-1.193359375</v>
      </c>
      <c r="E118" s="28" t="n">
        <f aca="false">E117+D118</f>
        <v>135.9703125</v>
      </c>
      <c r="F118" s="28" t="n">
        <f aca="false">MAX(0,MAX($E$2:E118))</f>
        <v>157.63359375</v>
      </c>
      <c r="G118" s="28" t="n">
        <f aca="false">E118-F118</f>
        <v>-21.66328125</v>
      </c>
      <c r="H118" s="25" t="n">
        <f aca="false">IF(G118&gt;=-0.0000001,A118,H117)</f>
        <v>46121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-3818.75</v>
      </c>
      <c r="L118" s="28" t="n">
        <f aca="false">L117+K118/$T$1*100</f>
        <v>152.93671875</v>
      </c>
      <c r="M118" s="28" t="n">
        <f aca="false">MAX(0,MAX($L$2:L118))</f>
        <v>174.6</v>
      </c>
      <c r="N118" s="28" t="n">
        <f aca="false">L118-M118</f>
        <v>-21.66328125</v>
      </c>
      <c r="O118" s="25" t="n">
        <f aca="false">IF(N118&gt;=-0.0000001,A118,O117)</f>
        <v>46121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46133</v>
      </c>
      <c r="B119" s="26" t="s">
        <v>80</v>
      </c>
      <c r="C119" s="27" t="n">
        <v>29848</v>
      </c>
      <c r="D119" s="28" t="n">
        <f aca="false">C119/$T$1*100</f>
        <v>9.3275</v>
      </c>
      <c r="E119" s="28" t="n">
        <f aca="false">E118+D119</f>
        <v>145.2978125</v>
      </c>
      <c r="F119" s="28" t="n">
        <f aca="false">MAX(0,MAX($E$2:E119))</f>
        <v>157.63359375</v>
      </c>
      <c r="G119" s="28" t="n">
        <f aca="false">E119-F119</f>
        <v>-12.33578125</v>
      </c>
      <c r="H119" s="25" t="n">
        <f aca="false">IF(G119&gt;=-0.0000001,A119,H118)</f>
        <v>46121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29848</v>
      </c>
      <c r="L119" s="28" t="n">
        <f aca="false">L118+K119/$T$1*100</f>
        <v>162.26421875</v>
      </c>
      <c r="M119" s="28" t="n">
        <f aca="false">MAX(0,MAX($L$2:L119))</f>
        <v>174.6</v>
      </c>
      <c r="N119" s="28" t="n">
        <f aca="false">L119-M119</f>
        <v>-12.33578125</v>
      </c>
      <c r="O119" s="25" t="n">
        <f aca="false">IF(N119&gt;=-0.0000001,A119,O118)</f>
        <v>46121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46135</v>
      </c>
      <c r="B120" s="26" t="s">
        <v>82</v>
      </c>
      <c r="C120" s="27" t="n">
        <v>25187.5</v>
      </c>
      <c r="D120" s="28" t="n">
        <f aca="false">C120/$T$1*100</f>
        <v>7.87109375</v>
      </c>
      <c r="E120" s="28" t="n">
        <f aca="false">E119+D120</f>
        <v>153.16890625</v>
      </c>
      <c r="F120" s="28" t="n">
        <f aca="false">MAX(0,MAX($E$2:E120))</f>
        <v>157.63359375</v>
      </c>
      <c r="G120" s="28" t="n">
        <f aca="false">E120-F120</f>
        <v>-4.46468750000003</v>
      </c>
      <c r="H120" s="25" t="n">
        <f aca="false">IF(G120&gt;=-0.0000001,A120,H119)</f>
        <v>46121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25187.5</v>
      </c>
      <c r="L120" s="28" t="n">
        <f aca="false">L119+K120/$T$1*100</f>
        <v>170.1353125</v>
      </c>
      <c r="M120" s="28" t="n">
        <f aca="false">MAX(0,MAX($L$2:L120))</f>
        <v>174.6</v>
      </c>
      <c r="N120" s="28" t="n">
        <f aca="false">L120-M120</f>
        <v>-4.46468750000003</v>
      </c>
      <c r="O120" s="25" t="n">
        <f aca="false">IF(N120&gt;=-0.0000001,A120,O119)</f>
        <v>46121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46139</v>
      </c>
      <c r="B121" s="26" t="s">
        <v>79</v>
      </c>
      <c r="C121" s="27" t="n">
        <v>-25681.5</v>
      </c>
      <c r="D121" s="28" t="n">
        <f aca="false">C121/$T$1*100</f>
        <v>-8.02546875</v>
      </c>
      <c r="E121" s="28" t="n">
        <f aca="false">E120+D121</f>
        <v>145.1434375</v>
      </c>
      <c r="F121" s="28" t="n">
        <f aca="false">MAX(0,MAX($E$2:E121))</f>
        <v>157.63359375</v>
      </c>
      <c r="G121" s="28" t="n">
        <f aca="false">E121-F121</f>
        <v>-12.49015625</v>
      </c>
      <c r="H121" s="25" t="n">
        <f aca="false">IF(G121&gt;=-0.0000001,A121,H120)</f>
        <v>46121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-25681.5</v>
      </c>
      <c r="L121" s="28" t="n">
        <f aca="false">L120+K121/$T$1*100</f>
        <v>162.10984375</v>
      </c>
      <c r="M121" s="28" t="n">
        <f aca="false">MAX(0,MAX($L$2:L121))</f>
        <v>174.6</v>
      </c>
      <c r="N121" s="28" t="n">
        <f aca="false">L121-M121</f>
        <v>-12.49015625</v>
      </c>
      <c r="O121" s="25" t="n">
        <f aca="false">IF(N121&gt;=-0.0000001,A121,O120)</f>
        <v>46121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46140</v>
      </c>
      <c r="B122" s="26" t="s">
        <v>80</v>
      </c>
      <c r="C122" s="27" t="n">
        <v>6493.5</v>
      </c>
      <c r="D122" s="28" t="n">
        <f aca="false">C122/$T$1*100</f>
        <v>2.02921875</v>
      </c>
      <c r="E122" s="28" t="n">
        <f aca="false">E121+D122</f>
        <v>147.17265625</v>
      </c>
      <c r="F122" s="28" t="n">
        <f aca="false">MAX(0,MAX($E$2:E122))</f>
        <v>157.63359375</v>
      </c>
      <c r="G122" s="28" t="n">
        <f aca="false">E122-F122</f>
        <v>-10.4609375</v>
      </c>
      <c r="H122" s="25" t="n">
        <f aca="false">IF(G122&gt;=-0.0000001,A122,H121)</f>
        <v>46121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6493.5</v>
      </c>
      <c r="L122" s="28" t="n">
        <f aca="false">L121+K122/$T$1*100</f>
        <v>164.1390625</v>
      </c>
      <c r="M122" s="28" t="n">
        <f aca="false">MAX(0,MAX($L$2:L122))</f>
        <v>174.6</v>
      </c>
      <c r="N122" s="28" t="n">
        <f aca="false">L122-M122</f>
        <v>-10.4609375</v>
      </c>
      <c r="O122" s="25" t="n">
        <f aca="false">IF(N122&gt;=-0.0000001,A122,O121)</f>
        <v>46121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46142</v>
      </c>
      <c r="B123" s="26" t="s">
        <v>82</v>
      </c>
      <c r="C123" s="27" t="n">
        <v>26975</v>
      </c>
      <c r="D123" s="28" t="n">
        <f aca="false">C123/$T$1*100</f>
        <v>8.4296875</v>
      </c>
      <c r="E123" s="28" t="n">
        <f aca="false">E122+D123</f>
        <v>155.60234375</v>
      </c>
      <c r="F123" s="28" t="n">
        <f aca="false">MAX(0,MAX($E$2:E123))</f>
        <v>157.63359375</v>
      </c>
      <c r="G123" s="28" t="n">
        <f aca="false">E123-F123</f>
        <v>-2.03125</v>
      </c>
      <c r="H123" s="25" t="n">
        <f aca="false">IF(G123&gt;=-0.0000001,A123,H122)</f>
        <v>46121</v>
      </c>
      <c r="I123" s="29" t="n">
        <f aca="false">IF(AND(G123&gt;=-0.0000001,G122&lt;0),1,0)</f>
        <v>0</v>
      </c>
      <c r="J123" s="30" t="str">
        <f aca="false">IF(I123=1,A123-H122,"")</f>
        <v/>
      </c>
      <c r="K123" s="27" t="n">
        <f aca="false">IF(B123="Wednesday",0,C123)</f>
        <v>26975</v>
      </c>
      <c r="L123" s="28" t="n">
        <f aca="false">L122+K123/$T$1*100</f>
        <v>172.56875</v>
      </c>
      <c r="M123" s="28" t="n">
        <f aca="false">MAX(0,MAX($L$2:L123))</f>
        <v>174.6</v>
      </c>
      <c r="N123" s="28" t="n">
        <f aca="false">L123-M123</f>
        <v>-2.03125</v>
      </c>
      <c r="O123" s="25" t="n">
        <f aca="false">IF(N123&gt;=-0.0000001,A123,O122)</f>
        <v>46121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46147</v>
      </c>
      <c r="B124" s="26" t="s">
        <v>80</v>
      </c>
      <c r="C124" s="27" t="n">
        <v>25363</v>
      </c>
      <c r="D124" s="28" t="n">
        <f aca="false">C124/$T$1*100</f>
        <v>7.9259375</v>
      </c>
      <c r="E124" s="28" t="n">
        <f aca="false">E123+D124</f>
        <v>163.52828125</v>
      </c>
      <c r="F124" s="28" t="n">
        <f aca="false">MAX(0,MAX($E$2:E124))</f>
        <v>163.52828125</v>
      </c>
      <c r="G124" s="28" t="n">
        <f aca="false">E124-F124</f>
        <v>0</v>
      </c>
      <c r="H124" s="25" t="n">
        <f aca="false">IF(G124&gt;=-0.0000001,A124,H123)</f>
        <v>46147</v>
      </c>
      <c r="I124" s="29" t="n">
        <f aca="false">IF(AND(G124&gt;=-0.0000001,G123&lt;0),1,0)</f>
        <v>1</v>
      </c>
      <c r="J124" s="30" t="n">
        <f aca="false">IF(I124=1,A124-H123,"")</f>
        <v>26</v>
      </c>
      <c r="K124" s="27" t="n">
        <f aca="false">IF(B124="Wednesday",0,C124)</f>
        <v>25363</v>
      </c>
      <c r="L124" s="28" t="n">
        <f aca="false">L123+K124/$T$1*100</f>
        <v>180.4946875</v>
      </c>
      <c r="M124" s="28" t="n">
        <f aca="false">MAX(0,MAX($L$2:L124))</f>
        <v>180.4946875</v>
      </c>
      <c r="N124" s="28" t="n">
        <f aca="false">L124-M124</f>
        <v>0</v>
      </c>
      <c r="O124" s="25" t="n">
        <f aca="false">IF(N124&gt;=-0.0000001,A124,O123)</f>
        <v>46147</v>
      </c>
      <c r="P124" s="29" t="n">
        <f aca="false">IF(AND(N124&gt;=-0.0000001,N123&lt;0),1,0)</f>
        <v>1</v>
      </c>
      <c r="Q124" s="30" t="n">
        <f aca="false">IF(P124=1,A124-O123,"")</f>
        <v>26</v>
      </c>
    </row>
    <row r="125" customFormat="false" ht="15" hidden="false" customHeight="false" outlineLevel="0" collapsed="false">
      <c r="A125" s="25" t="n">
        <v>46149</v>
      </c>
      <c r="B125" s="26" t="s">
        <v>82</v>
      </c>
      <c r="C125" s="27" t="n">
        <v>20588.75</v>
      </c>
      <c r="D125" s="28" t="n">
        <f aca="false">C125/$T$1*100</f>
        <v>6.433984375</v>
      </c>
      <c r="E125" s="28" t="n">
        <f aca="false">E124+D125</f>
        <v>169.962265625</v>
      </c>
      <c r="F125" s="28" t="n">
        <f aca="false">MAX(0,MAX($E$2:E125))</f>
        <v>169.962265625</v>
      </c>
      <c r="G125" s="28" t="n">
        <f aca="false">E125-F125</f>
        <v>0</v>
      </c>
      <c r="H125" s="25" t="n">
        <f aca="false">IF(G125&gt;=-0.0000001,A125,H124)</f>
        <v>46149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20588.75</v>
      </c>
      <c r="L125" s="28" t="n">
        <f aca="false">L124+K125/$T$1*100</f>
        <v>186.928671875</v>
      </c>
      <c r="M125" s="28" t="n">
        <f aca="false">MAX(0,MAX($L$2:L125))</f>
        <v>186.928671875</v>
      </c>
      <c r="N125" s="28" t="n">
        <f aca="false">L125-M125</f>
        <v>0</v>
      </c>
      <c r="O125" s="25" t="n">
        <f aca="false">IF(N125&gt;=-0.0000001,A125,O124)</f>
        <v>46149</v>
      </c>
      <c r="P125" s="29" t="n">
        <f aca="false">IF(AND(N125&gt;=-0.0000001,N124&lt;0),1,0)</f>
        <v>0</v>
      </c>
      <c r="Q125" s="30" t="str">
        <f aca="false">IF(P125=1,A125-O124,"")</f>
        <v/>
      </c>
    </row>
    <row r="126" customFormat="false" ht="15" hidden="false" customHeight="false" outlineLevel="0" collapsed="false">
      <c r="A126" s="25" t="n">
        <v>46153</v>
      </c>
      <c r="B126" s="26" t="s">
        <v>79</v>
      </c>
      <c r="C126" s="27" t="n">
        <v>-46283.25</v>
      </c>
      <c r="D126" s="28" t="n">
        <f aca="false">C126/$T$1*100</f>
        <v>-14.463515625</v>
      </c>
      <c r="E126" s="28" t="n">
        <f aca="false">E125+D126</f>
        <v>155.49875</v>
      </c>
      <c r="F126" s="28" t="n">
        <f aca="false">MAX(0,MAX($E$2:E126))</f>
        <v>169.962265625</v>
      </c>
      <c r="G126" s="28" t="n">
        <f aca="false">E126-F126</f>
        <v>-14.463515625</v>
      </c>
      <c r="H126" s="25" t="n">
        <f aca="false">IF(G126&gt;=-0.0000001,A126,H125)</f>
        <v>46149</v>
      </c>
      <c r="I126" s="29" t="n">
        <f aca="false">IF(AND(G126&gt;=-0.0000001,G125&lt;0),1,0)</f>
        <v>0</v>
      </c>
      <c r="J126" s="30" t="str">
        <f aca="false">IF(I126=1,A126-H125,"")</f>
        <v/>
      </c>
      <c r="K126" s="27" t="n">
        <f aca="false">IF(B126="Wednesday",0,C126)</f>
        <v>-46283.25</v>
      </c>
      <c r="L126" s="28" t="n">
        <f aca="false">L125+K126/$T$1*100</f>
        <v>172.46515625</v>
      </c>
      <c r="M126" s="28" t="n">
        <f aca="false">MAX(0,MAX($L$2:L126))</f>
        <v>186.928671875</v>
      </c>
      <c r="N126" s="28" t="n">
        <f aca="false">L126-M126</f>
        <v>-14.463515625</v>
      </c>
      <c r="O126" s="25" t="n">
        <f aca="false">IF(N126&gt;=-0.0000001,A126,O125)</f>
        <v>46149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46154</v>
      </c>
      <c r="B127" s="26" t="s">
        <v>80</v>
      </c>
      <c r="C127" s="27" t="n">
        <v>-8394.75</v>
      </c>
      <c r="D127" s="28" t="n">
        <f aca="false">C127/$T$1*100</f>
        <v>-2.623359375</v>
      </c>
      <c r="E127" s="28" t="n">
        <f aca="false">E126+D127</f>
        <v>152.875390625</v>
      </c>
      <c r="F127" s="28" t="n">
        <f aca="false">MAX(0,MAX($E$2:E127))</f>
        <v>169.962265625</v>
      </c>
      <c r="G127" s="28" t="n">
        <f aca="false">E127-F127</f>
        <v>-17.086875</v>
      </c>
      <c r="H127" s="25" t="n">
        <f aca="false">IF(G127&gt;=-0.0000001,A127,H126)</f>
        <v>46149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-8394.75</v>
      </c>
      <c r="L127" s="28" t="n">
        <f aca="false">L126+K127/$T$1*100</f>
        <v>169.841796875</v>
      </c>
      <c r="M127" s="28" t="n">
        <f aca="false">MAX(0,MAX($L$2:L127))</f>
        <v>186.928671875</v>
      </c>
      <c r="N127" s="28" t="n">
        <f aca="false">L127-M127</f>
        <v>-17.086875</v>
      </c>
      <c r="O127" s="25" t="n">
        <f aca="false">IF(N127&gt;=-0.0000001,A127,O126)</f>
        <v>46149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46156</v>
      </c>
      <c r="B128" s="26" t="s">
        <v>82</v>
      </c>
      <c r="C128" s="27" t="n">
        <v>20020</v>
      </c>
      <c r="D128" s="28" t="n">
        <f aca="false">C128/$T$1*100</f>
        <v>6.25625</v>
      </c>
      <c r="E128" s="28" t="n">
        <f aca="false">E127+D128</f>
        <v>159.131640625</v>
      </c>
      <c r="F128" s="28" t="n">
        <f aca="false">MAX(0,MAX($E$2:E128))</f>
        <v>169.962265625</v>
      </c>
      <c r="G128" s="28" t="n">
        <f aca="false">E128-F128</f>
        <v>-10.830625</v>
      </c>
      <c r="H128" s="25" t="n">
        <f aca="false">IF(G128&gt;=-0.0000001,A128,H127)</f>
        <v>46149</v>
      </c>
      <c r="I128" s="29" t="n">
        <f aca="false">IF(AND(G128&gt;=-0.0000001,G127&lt;0),1,0)</f>
        <v>0</v>
      </c>
      <c r="J128" s="30" t="str">
        <f aca="false">IF(I128=1,A128-H127,"")</f>
        <v/>
      </c>
      <c r="K128" s="27" t="n">
        <f aca="false">IF(B128="Wednesday",0,C128)</f>
        <v>20020</v>
      </c>
      <c r="L128" s="28" t="n">
        <f aca="false">L127+K128/$T$1*100</f>
        <v>176.098046875</v>
      </c>
      <c r="M128" s="28" t="n">
        <f aca="false">MAX(0,MAX($L$2:L128))</f>
        <v>186.928671875</v>
      </c>
      <c r="N128" s="28" t="n">
        <f aca="false">L128-M128</f>
        <v>-10.830625</v>
      </c>
      <c r="O128" s="25" t="n">
        <f aca="false">IF(N128&gt;=-0.0000001,A128,O127)</f>
        <v>46149</v>
      </c>
      <c r="P128" s="29" t="n">
        <f aca="false">IF(AND(N128&gt;=-0.0000001,N127&lt;0),1,0)</f>
        <v>0</v>
      </c>
      <c r="Q128" s="30" t="str">
        <f aca="false">IF(P128=1,A128-O127,"")</f>
        <v/>
      </c>
    </row>
    <row r="129" customFormat="false" ht="15" hidden="false" customHeight="false" outlineLevel="0" collapsed="false">
      <c r="A129" s="25" t="n">
        <v>46157</v>
      </c>
      <c r="B129" s="26" t="s">
        <v>83</v>
      </c>
      <c r="C129" s="27" t="n">
        <v>-13585</v>
      </c>
      <c r="D129" s="28" t="n">
        <f aca="false">C129/$T$1*100</f>
        <v>-4.2453125</v>
      </c>
      <c r="E129" s="28" t="n">
        <f aca="false">E128+D129</f>
        <v>154.886328125</v>
      </c>
      <c r="F129" s="28" t="n">
        <f aca="false">MAX(0,MAX($E$2:E129))</f>
        <v>169.962265625</v>
      </c>
      <c r="G129" s="28" t="n">
        <f aca="false">E129-F129</f>
        <v>-15.0759375</v>
      </c>
      <c r="H129" s="25" t="n">
        <f aca="false">IF(G129&gt;=-0.0000001,A129,H128)</f>
        <v>46149</v>
      </c>
      <c r="I129" s="29" t="n">
        <f aca="false">IF(AND(G129&gt;=-0.0000001,G128&lt;0),1,0)</f>
        <v>0</v>
      </c>
      <c r="J129" s="30" t="str">
        <f aca="false">IF(I129=1,A129-H128,"")</f>
        <v/>
      </c>
      <c r="K129" s="27" t="n">
        <f aca="false">IF(B129="Wednesday",0,C129)</f>
        <v>-13585</v>
      </c>
      <c r="L129" s="28" t="n">
        <f aca="false">L128+K129/$T$1*100</f>
        <v>171.852734375</v>
      </c>
      <c r="M129" s="28" t="n">
        <f aca="false">MAX(0,MAX($L$2:L129))</f>
        <v>186.928671875</v>
      </c>
      <c r="N129" s="28" t="n">
        <f aca="false">L129-M129</f>
        <v>-15.0759375</v>
      </c>
      <c r="O129" s="25" t="n">
        <f aca="false">IF(N129&gt;=-0.0000001,A129,O128)</f>
        <v>46149</v>
      </c>
      <c r="P129" s="29" t="n">
        <f aca="false">IF(AND(N129&gt;=-0.0000001,N128&lt;0),1,0)</f>
        <v>0</v>
      </c>
      <c r="Q129" s="30" t="str">
        <f aca="false">IF(P129=1,A129-O128,"")</f>
        <v/>
      </c>
    </row>
    <row r="130" customFormat="false" ht="15" hidden="false" customHeight="false" outlineLevel="0" collapsed="false">
      <c r="A130" s="25" t="n">
        <v>46160</v>
      </c>
      <c r="B130" s="26" t="s">
        <v>79</v>
      </c>
      <c r="C130" s="27" t="n">
        <v>22473.75</v>
      </c>
      <c r="D130" s="28" t="n">
        <f aca="false">C130/$T$1*100</f>
        <v>7.023046875</v>
      </c>
      <c r="E130" s="28" t="n">
        <f aca="false">E129+D130</f>
        <v>161.909375</v>
      </c>
      <c r="F130" s="28" t="n">
        <f aca="false">MAX(0,MAX($E$2:E130))</f>
        <v>169.962265625</v>
      </c>
      <c r="G130" s="28" t="n">
        <f aca="false">E130-F130</f>
        <v>-8.05289062500003</v>
      </c>
      <c r="H130" s="25" t="n">
        <f aca="false">IF(G130&gt;=-0.0000001,A130,H129)</f>
        <v>46149</v>
      </c>
      <c r="I130" s="29" t="n">
        <f aca="false">IF(AND(G130&gt;=-0.0000001,G129&lt;0),1,0)</f>
        <v>0</v>
      </c>
      <c r="J130" s="30" t="str">
        <f aca="false">IF(I130=1,A130-H129,"")</f>
        <v/>
      </c>
      <c r="K130" s="27" t="n">
        <f aca="false">IF(B130="Wednesday",0,C130)</f>
        <v>22473.75</v>
      </c>
      <c r="L130" s="28" t="n">
        <f aca="false">L129+K130/$T$1*100</f>
        <v>178.87578125</v>
      </c>
      <c r="M130" s="28" t="n">
        <f aca="false">MAX(0,MAX($L$2:L130))</f>
        <v>186.928671875</v>
      </c>
      <c r="N130" s="28" t="n">
        <f aca="false">L130-M130</f>
        <v>-8.05289062500003</v>
      </c>
      <c r="O130" s="25" t="n">
        <f aca="false">IF(N130&gt;=-0.0000001,A130,O129)</f>
        <v>46149</v>
      </c>
      <c r="P130" s="29" t="n">
        <f aca="false">IF(AND(N130&gt;=-0.0000001,N129&lt;0),1,0)</f>
        <v>0</v>
      </c>
      <c r="Q130" s="30" t="str">
        <f aca="false">IF(P130=1,A130-O129,"")</f>
        <v/>
      </c>
    </row>
    <row r="131" customFormat="false" ht="15" hidden="false" customHeight="false" outlineLevel="0" collapsed="false">
      <c r="A131" s="25" t="n">
        <v>46161</v>
      </c>
      <c r="B131" s="26" t="s">
        <v>80</v>
      </c>
      <c r="C131" s="27" t="n">
        <v>-8414.25</v>
      </c>
      <c r="D131" s="28" t="n">
        <f aca="false">C131/$T$1*100</f>
        <v>-2.629453125</v>
      </c>
      <c r="E131" s="28" t="n">
        <f aca="false">E130+D131</f>
        <v>159.279921875</v>
      </c>
      <c r="F131" s="28" t="n">
        <f aca="false">MAX(0,MAX($E$2:E131))</f>
        <v>169.962265625</v>
      </c>
      <c r="G131" s="28" t="n">
        <f aca="false">E131-F131</f>
        <v>-10.68234375</v>
      </c>
      <c r="H131" s="25" t="n">
        <f aca="false">IF(G131&gt;=-0.0000001,A131,H130)</f>
        <v>46149</v>
      </c>
      <c r="I131" s="29" t="n">
        <f aca="false">IF(AND(G131&gt;=-0.0000001,G130&lt;0),1,0)</f>
        <v>0</v>
      </c>
      <c r="J131" s="30" t="str">
        <f aca="false">IF(I131=1,A131-H130,"")</f>
        <v/>
      </c>
      <c r="K131" s="27" t="n">
        <f aca="false">IF(B131="Wednesday",0,C131)</f>
        <v>-8414.25</v>
      </c>
      <c r="L131" s="28" t="n">
        <f aca="false">L130+K131/$T$1*100</f>
        <v>176.246328125</v>
      </c>
      <c r="M131" s="28" t="n">
        <f aca="false">MAX(0,MAX($L$2:L131))</f>
        <v>186.928671875</v>
      </c>
      <c r="N131" s="28" t="n">
        <f aca="false">L131-M131</f>
        <v>-10.68234375</v>
      </c>
      <c r="O131" s="25" t="n">
        <f aca="false">IF(N131&gt;=-0.0000001,A131,O130)</f>
        <v>46149</v>
      </c>
      <c r="P131" s="29" t="n">
        <f aca="false">IF(AND(N131&gt;=-0.0000001,N130&lt;0),1,0)</f>
        <v>0</v>
      </c>
      <c r="Q131" s="30" t="str">
        <f aca="false">IF(P131=1,A131-O130,"")</f>
        <v/>
      </c>
    </row>
    <row r="132" customFormat="false" ht="15" hidden="false" customHeight="false" outlineLevel="0" collapsed="false">
      <c r="A132" s="25" t="n">
        <v>46162</v>
      </c>
      <c r="B132" s="26" t="s">
        <v>81</v>
      </c>
      <c r="C132" s="27" t="n">
        <v>-13666.25</v>
      </c>
      <c r="D132" s="28" t="n">
        <f aca="false">C132/$T$1*100</f>
        <v>-4.270703125</v>
      </c>
      <c r="E132" s="28" t="n">
        <f aca="false">E131+D132</f>
        <v>155.00921875</v>
      </c>
      <c r="F132" s="28" t="n">
        <f aca="false">MAX(0,MAX($E$2:E132))</f>
        <v>169.962265625</v>
      </c>
      <c r="G132" s="28" t="n">
        <f aca="false">E132-F132</f>
        <v>-14.953046875</v>
      </c>
      <c r="H132" s="25" t="n">
        <f aca="false">IF(G132&gt;=-0.0000001,A132,H131)</f>
        <v>46149</v>
      </c>
      <c r="I132" s="29" t="n">
        <f aca="false">IF(AND(G132&gt;=-0.0000001,G131&lt;0),1,0)</f>
        <v>0</v>
      </c>
      <c r="J132" s="30" t="str">
        <f aca="false">IF(I132=1,A132-H131,"")</f>
        <v/>
      </c>
      <c r="K132" s="27" t="n">
        <f aca="false">IF(B132="Wednesday",0,C132)</f>
        <v>0</v>
      </c>
      <c r="L132" s="28" t="n">
        <f aca="false">L131+K132/$T$1*100</f>
        <v>176.246328125</v>
      </c>
      <c r="M132" s="28" t="n">
        <f aca="false">MAX(0,MAX($L$2:L132))</f>
        <v>186.928671875</v>
      </c>
      <c r="N132" s="28" t="n">
        <f aca="false">L132-M132</f>
        <v>-10.68234375</v>
      </c>
      <c r="O132" s="25" t="n">
        <f aca="false">IF(N132&gt;=-0.0000001,A132,O131)</f>
        <v>46149</v>
      </c>
      <c r="P132" s="29" t="n">
        <f aca="false">IF(AND(N132&gt;=-0.0000001,N131&lt;0),1,0)</f>
        <v>0</v>
      </c>
      <c r="Q132" s="30" t="str">
        <f aca="false">IF(P132=1,A132-O131,"")</f>
        <v/>
      </c>
    </row>
    <row r="133" customFormat="false" ht="15" hidden="false" customHeight="false" outlineLevel="0" collapsed="false">
      <c r="A133" s="25" t="n">
        <v>46163</v>
      </c>
      <c r="B133" s="26" t="s">
        <v>82</v>
      </c>
      <c r="C133" s="27" t="n">
        <v>6922.5</v>
      </c>
      <c r="D133" s="28" t="n">
        <f aca="false">C133/$T$1*100</f>
        <v>2.16328125</v>
      </c>
      <c r="E133" s="28" t="n">
        <f aca="false">E132+D133</f>
        <v>157.1725</v>
      </c>
      <c r="F133" s="28" t="n">
        <f aca="false">MAX(0,MAX($E$2:E133))</f>
        <v>169.962265625</v>
      </c>
      <c r="G133" s="28" t="n">
        <f aca="false">E133-F133</f>
        <v>-12.789765625</v>
      </c>
      <c r="H133" s="25" t="n">
        <f aca="false">IF(G133&gt;=-0.0000001,A133,H132)</f>
        <v>46149</v>
      </c>
      <c r="I133" s="29" t="n">
        <f aca="false">IF(AND(G133&gt;=-0.0000001,G132&lt;0),1,0)</f>
        <v>0</v>
      </c>
      <c r="J133" s="30" t="str">
        <f aca="false">IF(I133=1,A133-H132,"")</f>
        <v/>
      </c>
      <c r="K133" s="27" t="n">
        <f aca="false">IF(B133="Wednesday",0,C133)</f>
        <v>6922.5</v>
      </c>
      <c r="L133" s="28" t="n">
        <f aca="false">L132+K133/$T$1*100</f>
        <v>178.409609375</v>
      </c>
      <c r="M133" s="28" t="n">
        <f aca="false">MAX(0,MAX($L$2:L133))</f>
        <v>186.928671875</v>
      </c>
      <c r="N133" s="28" t="n">
        <f aca="false">L133-M133</f>
        <v>-8.51906250000002</v>
      </c>
      <c r="O133" s="25" t="n">
        <f aca="false">IF(N133&gt;=-0.0000001,A133,O132)</f>
        <v>46149</v>
      </c>
      <c r="P133" s="29" t="n">
        <f aca="false">IF(AND(N133&gt;=-0.0000001,N132&lt;0),1,0)</f>
        <v>0</v>
      </c>
      <c r="Q133" s="30" t="str">
        <f aca="false">IF(P133=1,A133-O132,"")</f>
        <v/>
      </c>
    </row>
    <row r="134" customFormat="false" ht="15" hidden="false" customHeight="false" outlineLevel="0" collapsed="false">
      <c r="A134" s="25" t="n">
        <v>46167</v>
      </c>
      <c r="B134" s="26" t="s">
        <v>79</v>
      </c>
      <c r="C134" s="27" t="n">
        <v>-22603.75</v>
      </c>
      <c r="D134" s="28" t="n">
        <f aca="false">C134/$T$1*100</f>
        <v>-7.063671875</v>
      </c>
      <c r="E134" s="28" t="n">
        <f aca="false">E133+D134</f>
        <v>150.108828125</v>
      </c>
      <c r="F134" s="28" t="n">
        <f aca="false">MAX(0,MAX($E$2:E134))</f>
        <v>169.962265625</v>
      </c>
      <c r="G134" s="28" t="n">
        <f aca="false">E134-F134</f>
        <v>-19.8534375</v>
      </c>
      <c r="H134" s="25" t="n">
        <f aca="false">IF(G134&gt;=-0.0000001,A134,H133)</f>
        <v>46149</v>
      </c>
      <c r="I134" s="29" t="n">
        <f aca="false">IF(AND(G134&gt;=-0.0000001,G133&lt;0),1,0)</f>
        <v>0</v>
      </c>
      <c r="J134" s="30" t="str">
        <f aca="false">IF(I134=1,A134-H133,"")</f>
        <v/>
      </c>
      <c r="K134" s="27" t="n">
        <f aca="false">IF(B134="Wednesday",0,C134)</f>
        <v>-22603.75</v>
      </c>
      <c r="L134" s="28" t="n">
        <f aca="false">L133+K134/$T$1*100</f>
        <v>171.3459375</v>
      </c>
      <c r="M134" s="28" t="n">
        <f aca="false">MAX(0,MAX($L$2:L134))</f>
        <v>186.928671875</v>
      </c>
      <c r="N134" s="28" t="n">
        <f aca="false">L134-M134</f>
        <v>-15.582734375</v>
      </c>
      <c r="O134" s="25" t="n">
        <f aca="false">IF(N134&gt;=-0.0000001,A134,O133)</f>
        <v>46149</v>
      </c>
      <c r="P134" s="29" t="n">
        <f aca="false">IF(AND(N134&gt;=-0.0000001,N133&lt;0),1,0)</f>
        <v>0</v>
      </c>
      <c r="Q134" s="30" t="str">
        <f aca="false">IF(P134=1,A134-O133,"")</f>
        <v/>
      </c>
    </row>
    <row r="135" customFormat="false" ht="15" hidden="false" customHeight="false" outlineLevel="0" collapsed="false">
      <c r="A135" s="25" t="n">
        <v>46168</v>
      </c>
      <c r="B135" s="26" t="s">
        <v>80</v>
      </c>
      <c r="C135" s="27" t="n">
        <v>16211</v>
      </c>
      <c r="D135" s="28" t="n">
        <f aca="false">C135/$T$1*100</f>
        <v>5.0659375</v>
      </c>
      <c r="E135" s="28" t="n">
        <f aca="false">E134+D135</f>
        <v>155.174765625</v>
      </c>
      <c r="F135" s="28" t="n">
        <f aca="false">MAX(0,MAX($E$2:E135))</f>
        <v>169.962265625</v>
      </c>
      <c r="G135" s="28" t="n">
        <f aca="false">E135-F135</f>
        <v>-14.7875000000001</v>
      </c>
      <c r="H135" s="25" t="n">
        <f aca="false">IF(G135&gt;=-0.0000001,A135,H134)</f>
        <v>46149</v>
      </c>
      <c r="I135" s="29" t="n">
        <f aca="false">IF(AND(G135&gt;=-0.0000001,G134&lt;0),1,0)</f>
        <v>0</v>
      </c>
      <c r="J135" s="30" t="str">
        <f aca="false">IF(I135=1,A135-H134,"")</f>
        <v/>
      </c>
      <c r="K135" s="27" t="n">
        <f aca="false">IF(B135="Wednesday",0,C135)</f>
        <v>16211</v>
      </c>
      <c r="L135" s="28" t="n">
        <f aca="false">L134+K135/$T$1*100</f>
        <v>176.411875</v>
      </c>
      <c r="M135" s="28" t="n">
        <f aca="false">MAX(0,MAX($L$2:L135))</f>
        <v>186.928671875</v>
      </c>
      <c r="N135" s="28" t="n">
        <f aca="false">L135-M135</f>
        <v>-10.516796875</v>
      </c>
      <c r="O135" s="25" t="n">
        <f aca="false">IF(N135&gt;=-0.0000001,A135,O134)</f>
        <v>46149</v>
      </c>
      <c r="P135" s="29" t="n">
        <f aca="false">IF(AND(N135&gt;=-0.0000001,N134&lt;0),1,0)</f>
        <v>0</v>
      </c>
      <c r="Q135" s="30" t="str">
        <f aca="false">IF(P135=1,A135-O134,"")</f>
        <v/>
      </c>
    </row>
    <row r="136" customFormat="false" ht="15" hidden="false" customHeight="false" outlineLevel="0" collapsed="false">
      <c r="A136" s="25" t="n">
        <v>46171</v>
      </c>
      <c r="B136" s="26" t="s">
        <v>83</v>
      </c>
      <c r="C136" s="27" t="n">
        <v>-14186.25</v>
      </c>
      <c r="D136" s="28" t="n">
        <f aca="false">C136/$T$1*100</f>
        <v>-4.433203125</v>
      </c>
      <c r="E136" s="28" t="n">
        <f aca="false">E135+D136</f>
        <v>150.7415625</v>
      </c>
      <c r="F136" s="28" t="n">
        <f aca="false">MAX(0,MAX($E$2:E136))</f>
        <v>169.962265625</v>
      </c>
      <c r="G136" s="28" t="n">
        <f aca="false">E136-F136</f>
        <v>-19.2207031250001</v>
      </c>
      <c r="H136" s="25" t="n">
        <f aca="false">IF(G136&gt;=-0.0000001,A136,H135)</f>
        <v>46149</v>
      </c>
      <c r="I136" s="29" t="n">
        <f aca="false">IF(AND(G136&gt;=-0.0000001,G135&lt;0),1,0)</f>
        <v>0</v>
      </c>
      <c r="J136" s="30" t="str">
        <f aca="false">IF(I136=1,A136-H135,"")</f>
        <v/>
      </c>
      <c r="K136" s="27" t="n">
        <f aca="false">IF(B136="Wednesday",0,C136)</f>
        <v>-14186.25</v>
      </c>
      <c r="L136" s="28" t="n">
        <f aca="false">L135+K136/$T$1*100</f>
        <v>171.978671875</v>
      </c>
      <c r="M136" s="28" t="n">
        <f aca="false">MAX(0,MAX($L$2:L136))</f>
        <v>186.928671875</v>
      </c>
      <c r="N136" s="28" t="n">
        <f aca="false">L136-M136</f>
        <v>-14.95</v>
      </c>
      <c r="O136" s="25" t="n">
        <f aca="false">IF(N136&gt;=-0.0000001,A136,O135)</f>
        <v>46149</v>
      </c>
      <c r="P136" s="29" t="n">
        <f aca="false">IF(AND(N136&gt;=-0.0000001,N135&lt;0),1,0)</f>
        <v>0</v>
      </c>
      <c r="Q136" s="30" t="str">
        <f aca="false">IF(P136=1,A136-O135,"")</f>
        <v/>
      </c>
    </row>
    <row r="137" customFormat="false" ht="15" hidden="false" customHeight="false" outlineLevel="0" collapsed="false">
      <c r="A137" s="25" t="n">
        <v>46174</v>
      </c>
      <c r="B137" s="26" t="s">
        <v>79</v>
      </c>
      <c r="C137" s="27" t="n">
        <v>41193.75</v>
      </c>
      <c r="D137" s="28" t="n">
        <f aca="false">C137/$T$1*100</f>
        <v>12.873046875</v>
      </c>
      <c r="E137" s="28" t="n">
        <f aca="false">E136+D137</f>
        <v>163.614609375</v>
      </c>
      <c r="F137" s="28" t="n">
        <f aca="false">MAX(0,MAX($E$2:E137))</f>
        <v>169.962265625</v>
      </c>
      <c r="G137" s="28" t="n">
        <f aca="false">E137-F137</f>
        <v>-6.34765625000006</v>
      </c>
      <c r="H137" s="25" t="n">
        <f aca="false">IF(G137&gt;=-0.0000001,A137,H136)</f>
        <v>46149</v>
      </c>
      <c r="I137" s="29" t="n">
        <f aca="false">IF(AND(G137&gt;=-0.0000001,G136&lt;0),1,0)</f>
        <v>0</v>
      </c>
      <c r="J137" s="30" t="str">
        <f aca="false">IF(I137=1,A137-H136,"")</f>
        <v/>
      </c>
      <c r="K137" s="27" t="n">
        <f aca="false">IF(B137="Wednesday",0,C137)</f>
        <v>41193.75</v>
      </c>
      <c r="L137" s="28" t="n">
        <f aca="false">L136+K137/$T$1*100</f>
        <v>184.85171875</v>
      </c>
      <c r="M137" s="28" t="n">
        <f aca="false">MAX(0,MAX($L$2:L137))</f>
        <v>186.928671875</v>
      </c>
      <c r="N137" s="28" t="n">
        <f aca="false">L137-M137</f>
        <v>-2.07695312500005</v>
      </c>
      <c r="O137" s="25" t="n">
        <f aca="false">IF(N137&gt;=-0.0000001,A137,O136)</f>
        <v>46149</v>
      </c>
      <c r="P137" s="29" t="n">
        <f aca="false">IF(AND(N137&gt;=-0.0000001,N136&lt;0),1,0)</f>
        <v>0</v>
      </c>
      <c r="Q137" s="30" t="str">
        <f aca="false">IF(P137=1,A137-O136,"")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320000</v>
      </c>
    </row>
    <row r="2" customFormat="false" ht="15" hidden="false" customHeight="false" outlineLevel="0" collapsed="false">
      <c r="A2" s="25" t="n">
        <v>45814</v>
      </c>
      <c r="B2" s="26" t="s">
        <v>83</v>
      </c>
      <c r="C2" s="27" t="n">
        <v>-15328.61</v>
      </c>
      <c r="D2" s="28" t="n">
        <f aca="false">C2/$T$1*100</f>
        <v>-4.790190625</v>
      </c>
      <c r="E2" s="28" t="n">
        <f aca="false">D2</f>
        <v>-4.790190625</v>
      </c>
      <c r="F2" s="28" t="n">
        <f aca="false">MAX(0,MAX($E$2:E2))</f>
        <v>0</v>
      </c>
      <c r="G2" s="28" t="n">
        <f aca="false">E2-F2</f>
        <v>-4.790190625</v>
      </c>
      <c r="H2" s="25" t="n">
        <f aca="false">IF(G2&gt;=-0.0000001,A2,A2)</f>
        <v>45814</v>
      </c>
      <c r="I2" s="29" t="n">
        <v>0</v>
      </c>
      <c r="J2" s="30"/>
      <c r="K2" s="27" t="n">
        <f aca="false">IF(B2="Wednesday",0,C2)</f>
        <v>-15328.61</v>
      </c>
      <c r="L2" s="28" t="n">
        <f aca="false">K2/$T$1*100</f>
        <v>-4.790190625</v>
      </c>
      <c r="M2" s="28" t="n">
        <f aca="false">MAX(0,MAX($L$2:L2))</f>
        <v>0</v>
      </c>
      <c r="N2" s="28" t="n">
        <f aca="false">L2-M2</f>
        <v>-4.790190625</v>
      </c>
      <c r="O2" s="25" t="n">
        <f aca="false">IF(N2&gt;=-0.0000001,A2,A2)</f>
        <v>45814</v>
      </c>
      <c r="P2" s="29" t="n">
        <v>0</v>
      </c>
      <c r="Q2" s="30"/>
      <c r="S2" s="23" t="s">
        <v>108</v>
      </c>
      <c r="T2" s="31" t="n">
        <f aca="false">MAX(A2:A128)</f>
        <v>46161</v>
      </c>
    </row>
    <row r="3" customFormat="false" ht="15" hidden="false" customHeight="false" outlineLevel="0" collapsed="false">
      <c r="A3" s="25" t="n">
        <v>45817</v>
      </c>
      <c r="B3" s="26" t="s">
        <v>79</v>
      </c>
      <c r="C3" s="27" t="n">
        <v>21886.13</v>
      </c>
      <c r="D3" s="28" t="n">
        <f aca="false">C3/$T$1*100</f>
        <v>6.839415625</v>
      </c>
      <c r="E3" s="28" t="n">
        <f aca="false">E2+D3</f>
        <v>2.049225</v>
      </c>
      <c r="F3" s="28" t="n">
        <f aca="false">MAX(0,MAX($E$2:E3))</f>
        <v>2.049225</v>
      </c>
      <c r="G3" s="28" t="n">
        <f aca="false">E3-F3</f>
        <v>0</v>
      </c>
      <c r="H3" s="25" t="n">
        <f aca="false">IF(G3&gt;=-0.0000001,A3,H2)</f>
        <v>45817</v>
      </c>
      <c r="I3" s="29" t="n">
        <f aca="false">IF(AND(G3&gt;=-0.0000001,G2&lt;0),1,0)</f>
        <v>1</v>
      </c>
      <c r="J3" s="30" t="n">
        <f aca="false">IF(I3=1,A3-H2,"")</f>
        <v>3</v>
      </c>
      <c r="K3" s="27" t="n">
        <f aca="false">IF(B3="Wednesday",0,C3)</f>
        <v>21886.13</v>
      </c>
      <c r="L3" s="28" t="n">
        <f aca="false">L2+K3/$T$1*100</f>
        <v>2.049225</v>
      </c>
      <c r="M3" s="28" t="n">
        <f aca="false">MAX(0,MAX($L$2:L3))</f>
        <v>2.049225</v>
      </c>
      <c r="N3" s="28" t="n">
        <f aca="false">L3-M3</f>
        <v>0</v>
      </c>
      <c r="O3" s="25" t="n">
        <f aca="false">IF(N3&gt;=-0.0000001,A3,O2)</f>
        <v>45817</v>
      </c>
      <c r="P3" s="29" t="n">
        <f aca="false">IF(AND(N3&gt;=-0.0000001,N2&lt;0),1,0)</f>
        <v>1</v>
      </c>
      <c r="Q3" s="30" t="n">
        <f aca="false">IF(P3=1,A3-O2,"")</f>
        <v>3</v>
      </c>
      <c r="S3" s="23" t="s">
        <v>109</v>
      </c>
      <c r="T3" s="31" t="n">
        <f aca="false">EDATE($T$2,-1)</f>
        <v>46131</v>
      </c>
    </row>
    <row r="4" customFormat="false" ht="15" hidden="false" customHeight="false" outlineLevel="0" collapsed="false">
      <c r="A4" s="25" t="n">
        <v>45819</v>
      </c>
      <c r="B4" s="26" t="s">
        <v>81</v>
      </c>
      <c r="C4" s="27" t="n">
        <v>3155.03</v>
      </c>
      <c r="D4" s="28" t="n">
        <f aca="false">C4/$T$1*100</f>
        <v>0.985946875</v>
      </c>
      <c r="E4" s="28" t="n">
        <f aca="false">E3+D4</f>
        <v>3.035171875</v>
      </c>
      <c r="F4" s="28" t="n">
        <f aca="false">MAX(0,MAX($E$2:E4))</f>
        <v>3.035171875</v>
      </c>
      <c r="G4" s="28" t="n">
        <f aca="false">E4-F4</f>
        <v>0</v>
      </c>
      <c r="H4" s="25" t="n">
        <f aca="false">IF(G4&gt;=-0.0000001,A4,H3)</f>
        <v>45819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0</v>
      </c>
      <c r="L4" s="28" t="n">
        <f aca="false">L3+K4/$T$1*100</f>
        <v>2.049225</v>
      </c>
      <c r="M4" s="28" t="n">
        <f aca="false">MAX(0,MAX($L$2:L4))</f>
        <v>2.049225</v>
      </c>
      <c r="N4" s="28" t="n">
        <f aca="false">L4-M4</f>
        <v>0</v>
      </c>
      <c r="O4" s="25" t="n">
        <f aca="false">IF(N4&gt;=-0.0000001,A4,O3)</f>
        <v>45819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46072</v>
      </c>
    </row>
    <row r="5" customFormat="false" ht="15" hidden="false" customHeight="false" outlineLevel="0" collapsed="false">
      <c r="A5" s="25" t="n">
        <v>45824</v>
      </c>
      <c r="B5" s="26" t="s">
        <v>79</v>
      </c>
      <c r="C5" s="27" t="n">
        <v>23693.43</v>
      </c>
      <c r="D5" s="28" t="n">
        <f aca="false">C5/$T$1*100</f>
        <v>7.404196875</v>
      </c>
      <c r="E5" s="28" t="n">
        <f aca="false">E4+D5</f>
        <v>10.43936875</v>
      </c>
      <c r="F5" s="28" t="n">
        <f aca="false">MAX(0,MAX($E$2:E5))</f>
        <v>10.43936875</v>
      </c>
      <c r="G5" s="28" t="n">
        <f aca="false">E5-F5</f>
        <v>0</v>
      </c>
      <c r="H5" s="25" t="n">
        <f aca="false">IF(G5&gt;=-0.0000001,A5,H4)</f>
        <v>45824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23693.43</v>
      </c>
      <c r="L5" s="28" t="n">
        <f aca="false">L4+K5/$T$1*100</f>
        <v>9.453421875</v>
      </c>
      <c r="M5" s="28" t="n">
        <f aca="false">MAX(0,MAX($L$2:L5))</f>
        <v>9.453421875</v>
      </c>
      <c r="N5" s="28" t="n">
        <f aca="false">L5-M5</f>
        <v>0</v>
      </c>
      <c r="O5" s="25" t="n">
        <f aca="false">IF(N5&gt;=-0.0000001,A5,O4)</f>
        <v>45824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45980</v>
      </c>
    </row>
    <row r="6" customFormat="false" ht="15" hidden="false" customHeight="false" outlineLevel="0" collapsed="false">
      <c r="A6" s="25" t="n">
        <v>45826</v>
      </c>
      <c r="B6" s="26" t="s">
        <v>81</v>
      </c>
      <c r="C6" s="27" t="n">
        <v>-15261.02</v>
      </c>
      <c r="D6" s="28" t="n">
        <f aca="false">C6/$T$1*100</f>
        <v>-4.76906875</v>
      </c>
      <c r="E6" s="28" t="n">
        <f aca="false">E5+D6</f>
        <v>5.6703</v>
      </c>
      <c r="F6" s="28" t="n">
        <f aca="false">MAX(0,MAX($E$2:E6))</f>
        <v>10.43936875</v>
      </c>
      <c r="G6" s="28" t="n">
        <f aca="false">E6-F6</f>
        <v>-4.76906875</v>
      </c>
      <c r="H6" s="25" t="n">
        <f aca="false">IF(G6&gt;=-0.0000001,A6,H5)</f>
        <v>45824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0</v>
      </c>
      <c r="L6" s="28" t="n">
        <f aca="false">L5+K6/$T$1*100</f>
        <v>9.453421875</v>
      </c>
      <c r="M6" s="28" t="n">
        <f aca="false">MAX(0,MAX($L$2:L6))</f>
        <v>9.453421875</v>
      </c>
      <c r="N6" s="28" t="n">
        <f aca="false">L6-M6</f>
        <v>0</v>
      </c>
      <c r="O6" s="25" t="n">
        <f aca="false">IF(N6&gt;=-0.0000001,A6,O5)</f>
        <v>45826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45796</v>
      </c>
    </row>
    <row r="7" customFormat="false" ht="15" hidden="false" customHeight="false" outlineLevel="0" collapsed="false">
      <c r="A7" s="25" t="n">
        <v>45827</v>
      </c>
      <c r="B7" s="26" t="s">
        <v>82</v>
      </c>
      <c r="C7" s="27" t="n">
        <v>22326.64</v>
      </c>
      <c r="D7" s="28" t="n">
        <f aca="false">C7/$T$1*100</f>
        <v>6.977075</v>
      </c>
      <c r="E7" s="28" t="n">
        <f aca="false">E6+D7</f>
        <v>12.647375</v>
      </c>
      <c r="F7" s="28" t="n">
        <f aca="false">MAX(0,MAX($E$2:E7))</f>
        <v>12.647375</v>
      </c>
      <c r="G7" s="28" t="n">
        <f aca="false">E7-F7</f>
        <v>0</v>
      </c>
      <c r="H7" s="25" t="n">
        <f aca="false">IF(G7&gt;=-0.0000001,A7,H6)</f>
        <v>45827</v>
      </c>
      <c r="I7" s="29" t="n">
        <f aca="false">IF(AND(G7&gt;=-0.0000001,G6&lt;0),1,0)</f>
        <v>1</v>
      </c>
      <c r="J7" s="30" t="n">
        <f aca="false">IF(I7=1,A7-H6,"")</f>
        <v>3</v>
      </c>
      <c r="K7" s="27" t="n">
        <f aca="false">IF(B7="Wednesday",0,C7)</f>
        <v>22326.64</v>
      </c>
      <c r="L7" s="28" t="n">
        <f aca="false">L6+K7/$T$1*100</f>
        <v>16.430496875</v>
      </c>
      <c r="M7" s="28" t="n">
        <f aca="false">MAX(0,MAX($L$2:L7))</f>
        <v>16.430496875</v>
      </c>
      <c r="N7" s="28" t="n">
        <f aca="false">L7-M7</f>
        <v>0</v>
      </c>
      <c r="O7" s="25" t="n">
        <f aca="false">IF(N7&gt;=-0.0000001,A7,O6)</f>
        <v>45827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IF(G128&lt;-0.0000001,$T$2-H128,0)</f>
        <v>12</v>
      </c>
    </row>
    <row r="8" customFormat="false" ht="15" hidden="false" customHeight="false" outlineLevel="0" collapsed="false">
      <c r="A8" s="25" t="n">
        <v>45831</v>
      </c>
      <c r="B8" s="26" t="s">
        <v>79</v>
      </c>
      <c r="C8" s="27" t="n">
        <v>12581.92</v>
      </c>
      <c r="D8" s="28" t="n">
        <f aca="false">C8/$T$1*100</f>
        <v>3.93185</v>
      </c>
      <c r="E8" s="28" t="n">
        <f aca="false">E7+D8</f>
        <v>16.579225</v>
      </c>
      <c r="F8" s="28" t="n">
        <f aca="false">MAX(0,MAX($E$2:E8))</f>
        <v>16.579225</v>
      </c>
      <c r="G8" s="28" t="n">
        <f aca="false">E8-F8</f>
        <v>0</v>
      </c>
      <c r="H8" s="25" t="n">
        <f aca="false">IF(G8&gt;=-0.0000001,A8,H7)</f>
        <v>45831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12581.92</v>
      </c>
      <c r="L8" s="28" t="n">
        <f aca="false">L7+K8/$T$1*100</f>
        <v>20.362346875</v>
      </c>
      <c r="M8" s="28" t="n">
        <f aca="false">MAX(0,MAX($L$2:L8))</f>
        <v>20.362346875</v>
      </c>
      <c r="N8" s="28" t="n">
        <f aca="false">L8-M8</f>
        <v>0</v>
      </c>
      <c r="O8" s="25" t="n">
        <f aca="false">IF(N8&gt;=-0.0000001,A8,O7)</f>
        <v>45831</v>
      </c>
      <c r="P8" s="29" t="n">
        <f aca="false">IF(AND(N8&gt;=-0.0000001,N7&lt;0),1,0)</f>
        <v>0</v>
      </c>
      <c r="Q8" s="30" t="str">
        <f aca="false">IF(P8=1,A8-O7,"")</f>
        <v/>
      </c>
      <c r="S8" s="23" t="s">
        <v>114</v>
      </c>
      <c r="T8" s="32" t="n">
        <f aca="false">IF(N128&lt;-0.0000001,$T$2-O128,0)</f>
        <v>12</v>
      </c>
    </row>
    <row r="9" customFormat="false" ht="15" hidden="false" customHeight="false" outlineLevel="0" collapsed="false">
      <c r="A9" s="25" t="n">
        <v>45832</v>
      </c>
      <c r="B9" s="26" t="s">
        <v>80</v>
      </c>
      <c r="C9" s="27" t="n">
        <v>-13758.85</v>
      </c>
      <c r="D9" s="28" t="n">
        <f aca="false">C9/$T$1*100</f>
        <v>-4.299640625</v>
      </c>
      <c r="E9" s="28" t="n">
        <f aca="false">E8+D9</f>
        <v>12.279584375</v>
      </c>
      <c r="F9" s="28" t="n">
        <f aca="false">MAX(0,MAX($E$2:E9))</f>
        <v>16.579225</v>
      </c>
      <c r="G9" s="28" t="n">
        <f aca="false">E9-F9</f>
        <v>-4.299640625</v>
      </c>
      <c r="H9" s="25" t="n">
        <f aca="false">IF(G9&gt;=-0.0000001,A9,H8)</f>
        <v>45831</v>
      </c>
      <c r="I9" s="29" t="n">
        <f aca="false">IF(AND(G9&gt;=-0.0000001,G8&lt;0),1,0)</f>
        <v>0</v>
      </c>
      <c r="J9" s="30" t="str">
        <f aca="false">IF(I9=1,A9-H8,"")</f>
        <v/>
      </c>
      <c r="K9" s="27" t="n">
        <f aca="false">IF(B9="Wednesday",0,C9)</f>
        <v>-13758.85</v>
      </c>
      <c r="L9" s="28" t="n">
        <f aca="false">L8+K9/$T$1*100</f>
        <v>16.06270625</v>
      </c>
      <c r="M9" s="28" t="n">
        <f aca="false">MAX(0,MAX($L$2:L9))</f>
        <v>20.362346875</v>
      </c>
      <c r="N9" s="28" t="n">
        <f aca="false">L9-M9</f>
        <v>-4.299640625</v>
      </c>
      <c r="O9" s="25" t="n">
        <f aca="false">IF(N9&gt;=-0.0000001,A9,O8)</f>
        <v>45831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MIN(A2:A128)</f>
        <v>45814</v>
      </c>
    </row>
    <row r="10" customFormat="false" ht="15" hidden="false" customHeight="false" outlineLevel="0" collapsed="false">
      <c r="A10" s="25" t="n">
        <v>45833</v>
      </c>
      <c r="B10" s="26" t="s">
        <v>81</v>
      </c>
      <c r="C10" s="27" t="n">
        <v>23447.68</v>
      </c>
      <c r="D10" s="28" t="n">
        <f aca="false">C10/$T$1*100</f>
        <v>7.3274</v>
      </c>
      <c r="E10" s="28" t="n">
        <f aca="false">E9+D10</f>
        <v>19.606984375</v>
      </c>
      <c r="F10" s="28" t="n">
        <f aca="false">MAX(0,MAX($E$2:E10))</f>
        <v>19.606984375</v>
      </c>
      <c r="G10" s="28" t="n">
        <f aca="false">E10-F10</f>
        <v>0</v>
      </c>
      <c r="H10" s="25" t="n">
        <f aca="false">IF(G10&gt;=-0.0000001,A10,H9)</f>
        <v>45833</v>
      </c>
      <c r="I10" s="29" t="n">
        <f aca="false">IF(AND(G10&gt;=-0.0000001,G9&lt;0),1,0)</f>
        <v>1</v>
      </c>
      <c r="J10" s="30" t="n">
        <f aca="false">IF(I10=1,A10-H9,"")</f>
        <v>2</v>
      </c>
      <c r="K10" s="27" t="n">
        <f aca="false">IF(B10="Wednesday",0,C10)</f>
        <v>0</v>
      </c>
      <c r="L10" s="28" t="n">
        <f aca="false">L9+K10/$T$1*100</f>
        <v>16.06270625</v>
      </c>
      <c r="M10" s="28" t="n">
        <f aca="false">MAX(0,MAX($L$2:L10))</f>
        <v>20.362346875</v>
      </c>
      <c r="N10" s="28" t="n">
        <f aca="false">L10-M10</f>
        <v>-4.299640625</v>
      </c>
      <c r="O10" s="25" t="n">
        <f aca="false">IF(N10&gt;=-0.0000001,A10,O9)</f>
        <v>45831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45838</v>
      </c>
      <c r="B11" s="26" t="s">
        <v>79</v>
      </c>
      <c r="C11" s="27" t="n">
        <v>-8618.22</v>
      </c>
      <c r="D11" s="28" t="n">
        <f aca="false">C11/$T$1*100</f>
        <v>-2.69319375</v>
      </c>
      <c r="E11" s="28" t="n">
        <f aca="false">E10+D11</f>
        <v>16.913790625</v>
      </c>
      <c r="F11" s="28" t="n">
        <f aca="false">MAX(0,MAX($E$2:E11))</f>
        <v>19.606984375</v>
      </c>
      <c r="G11" s="28" t="n">
        <f aca="false">E11-F11</f>
        <v>-2.69319375</v>
      </c>
      <c r="H11" s="25" t="n">
        <f aca="false">IF(G11&gt;=-0.0000001,A11,H10)</f>
        <v>45833</v>
      </c>
      <c r="I11" s="29" t="n">
        <f aca="false">IF(AND(G11&gt;=-0.0000001,G10&lt;0),1,0)</f>
        <v>0</v>
      </c>
      <c r="J11" s="30" t="str">
        <f aca="false">IF(I11=1,A11-H10,"")</f>
        <v/>
      </c>
      <c r="K11" s="27" t="n">
        <f aca="false">IF(B11="Wednesday",0,C11)</f>
        <v>-8618.22</v>
      </c>
      <c r="L11" s="28" t="n">
        <f aca="false">L10+K11/$T$1*100</f>
        <v>13.3695125</v>
      </c>
      <c r="M11" s="28" t="n">
        <f aca="false">MAX(0,MAX($L$2:L11))</f>
        <v>20.362346875</v>
      </c>
      <c r="N11" s="28" t="n">
        <f aca="false">L11-M11</f>
        <v>-6.992834375</v>
      </c>
      <c r="O11" s="25" t="n">
        <f aca="false">IF(N11&gt;=-0.0000001,A11,O10)</f>
        <v>45831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45840</v>
      </c>
      <c r="B12" s="26" t="s">
        <v>81</v>
      </c>
      <c r="C12" s="27" t="n">
        <v>19007.79</v>
      </c>
      <c r="D12" s="28" t="n">
        <f aca="false">C12/$T$1*100</f>
        <v>5.939934375</v>
      </c>
      <c r="E12" s="28" t="n">
        <f aca="false">E11+D12</f>
        <v>22.853725</v>
      </c>
      <c r="F12" s="28" t="n">
        <f aca="false">MAX(0,MAX($E$2:E12))</f>
        <v>22.853725</v>
      </c>
      <c r="G12" s="28" t="n">
        <f aca="false">E12-F12</f>
        <v>0</v>
      </c>
      <c r="H12" s="25" t="n">
        <f aca="false">IF(G12&gt;=-0.0000001,A12,H11)</f>
        <v>45840</v>
      </c>
      <c r="I12" s="29" t="n">
        <f aca="false">IF(AND(G12&gt;=-0.0000001,G11&lt;0),1,0)</f>
        <v>1</v>
      </c>
      <c r="J12" s="30" t="n">
        <f aca="false">IF(I12=1,A12-H11,"")</f>
        <v>7</v>
      </c>
      <c r="K12" s="27" t="n">
        <f aca="false">IF(B12="Wednesday",0,C12)</f>
        <v>0</v>
      </c>
      <c r="L12" s="28" t="n">
        <f aca="false">L11+K12/$T$1*100</f>
        <v>13.3695125</v>
      </c>
      <c r="M12" s="28" t="n">
        <f aca="false">MAX(0,MAX($L$2:L12))</f>
        <v>20.362346875</v>
      </c>
      <c r="N12" s="28" t="n">
        <f aca="false">L12-M12</f>
        <v>-6.992834375</v>
      </c>
      <c r="O12" s="25" t="n">
        <f aca="false">IF(N12&gt;=-0.0000001,A12,O11)</f>
        <v>45831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45845</v>
      </c>
      <c r="B13" s="26" t="s">
        <v>79</v>
      </c>
      <c r="C13" s="27" t="n">
        <v>-39.24</v>
      </c>
      <c r="D13" s="28" t="n">
        <f aca="false">C13/$T$1*100</f>
        <v>-0.0122625</v>
      </c>
      <c r="E13" s="28" t="n">
        <f aca="false">E12+D13</f>
        <v>22.8414625</v>
      </c>
      <c r="F13" s="28" t="n">
        <f aca="false">MAX(0,MAX($E$2:E13))</f>
        <v>22.853725</v>
      </c>
      <c r="G13" s="28" t="n">
        <f aca="false">E13-F13</f>
        <v>-0.0122624999999985</v>
      </c>
      <c r="H13" s="25" t="n">
        <f aca="false">IF(G13&gt;=-0.0000001,A13,H12)</f>
        <v>45840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-39.24</v>
      </c>
      <c r="L13" s="28" t="n">
        <f aca="false">L12+K13/$T$1*100</f>
        <v>13.35725</v>
      </c>
      <c r="M13" s="28" t="n">
        <f aca="false">MAX(0,MAX($L$2:L13))</f>
        <v>20.362346875</v>
      </c>
      <c r="N13" s="28" t="n">
        <f aca="false">L13-M13</f>
        <v>-7.005096875</v>
      </c>
      <c r="O13" s="25" t="n">
        <f aca="false">IF(N13&gt;=-0.0000001,A13,O12)</f>
        <v>45831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45846</v>
      </c>
      <c r="B14" s="26" t="s">
        <v>80</v>
      </c>
      <c r="C14" s="27" t="n">
        <v>-13379.48</v>
      </c>
      <c r="D14" s="28" t="n">
        <f aca="false">C14/$T$1*100</f>
        <v>-4.1810875</v>
      </c>
      <c r="E14" s="28" t="n">
        <f aca="false">E13+D14</f>
        <v>18.660375</v>
      </c>
      <c r="F14" s="28" t="n">
        <f aca="false">MAX(0,MAX($E$2:E14))</f>
        <v>22.853725</v>
      </c>
      <c r="G14" s="28" t="n">
        <f aca="false">E14-F14</f>
        <v>-4.19335</v>
      </c>
      <c r="H14" s="25" t="n">
        <f aca="false">IF(G14&gt;=-0.0000001,A14,H13)</f>
        <v>45840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-13379.48</v>
      </c>
      <c r="L14" s="28" t="n">
        <f aca="false">L13+K14/$T$1*100</f>
        <v>9.1761625</v>
      </c>
      <c r="M14" s="28" t="n">
        <f aca="false">MAX(0,MAX($L$2:L14))</f>
        <v>20.362346875</v>
      </c>
      <c r="N14" s="28" t="n">
        <f aca="false">L14-M14</f>
        <v>-11.186184375</v>
      </c>
      <c r="O14" s="25" t="n">
        <f aca="false">IF(N14&gt;=-0.0000001,A14,O13)</f>
        <v>45831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45847</v>
      </c>
      <c r="B15" s="26" t="s">
        <v>81</v>
      </c>
      <c r="C15" s="27" t="n">
        <v>-13194.78</v>
      </c>
      <c r="D15" s="28" t="n">
        <f aca="false">C15/$T$1*100</f>
        <v>-4.12336875</v>
      </c>
      <c r="E15" s="28" t="n">
        <f aca="false">E14+D15</f>
        <v>14.53700625</v>
      </c>
      <c r="F15" s="28" t="n">
        <f aca="false">MAX(0,MAX($E$2:E15))</f>
        <v>22.853725</v>
      </c>
      <c r="G15" s="28" t="n">
        <f aca="false">E15-F15</f>
        <v>-8.31671875</v>
      </c>
      <c r="H15" s="25" t="n">
        <f aca="false">IF(G15&gt;=-0.0000001,A15,H14)</f>
        <v>45840</v>
      </c>
      <c r="I15" s="29" t="n">
        <f aca="false">IF(AND(G15&gt;=-0.0000001,G14&lt;0),1,0)</f>
        <v>0</v>
      </c>
      <c r="J15" s="30" t="str">
        <f aca="false">IF(I15=1,A15-H14,"")</f>
        <v/>
      </c>
      <c r="K15" s="27" t="n">
        <f aca="false">IF(B15="Wednesday",0,C15)</f>
        <v>0</v>
      </c>
      <c r="L15" s="28" t="n">
        <f aca="false">L14+K15/$T$1*100</f>
        <v>9.1761625</v>
      </c>
      <c r="M15" s="28" t="n">
        <f aca="false">MAX(0,MAX($L$2:L15))</f>
        <v>20.362346875</v>
      </c>
      <c r="N15" s="28" t="n">
        <f aca="false">L15-M15</f>
        <v>-11.186184375</v>
      </c>
      <c r="O15" s="25" t="n">
        <f aca="false">IF(N15&gt;=-0.0000001,A15,O14)</f>
        <v>45831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45852</v>
      </c>
      <c r="B16" s="26" t="s">
        <v>79</v>
      </c>
      <c r="C16" s="27" t="n">
        <v>18018.61</v>
      </c>
      <c r="D16" s="28" t="n">
        <f aca="false">C16/$T$1*100</f>
        <v>5.630815625</v>
      </c>
      <c r="E16" s="28" t="n">
        <f aca="false">E15+D16</f>
        <v>20.167821875</v>
      </c>
      <c r="F16" s="28" t="n">
        <f aca="false">MAX(0,MAX($E$2:E16))</f>
        <v>22.853725</v>
      </c>
      <c r="G16" s="28" t="n">
        <f aca="false">E16-F16</f>
        <v>-2.685903125</v>
      </c>
      <c r="H16" s="25" t="n">
        <f aca="false">IF(G16&gt;=-0.0000001,A16,H15)</f>
        <v>45840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18018.61</v>
      </c>
      <c r="L16" s="28" t="n">
        <f aca="false">L15+K16/$T$1*100</f>
        <v>14.806978125</v>
      </c>
      <c r="M16" s="28" t="n">
        <f aca="false">MAX(0,MAX($L$2:L16))</f>
        <v>20.362346875</v>
      </c>
      <c r="N16" s="28" t="n">
        <f aca="false">L16-M16</f>
        <v>-5.55536875</v>
      </c>
      <c r="O16" s="25" t="n">
        <f aca="false">IF(N16&gt;=-0.0000001,A16,O15)</f>
        <v>45831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45854</v>
      </c>
      <c r="B17" s="26" t="s">
        <v>81</v>
      </c>
      <c r="C17" s="27" t="n">
        <v>17372.14</v>
      </c>
      <c r="D17" s="28" t="n">
        <f aca="false">C17/$T$1*100</f>
        <v>5.42879375</v>
      </c>
      <c r="E17" s="28" t="n">
        <f aca="false">E16+D17</f>
        <v>25.596615625</v>
      </c>
      <c r="F17" s="28" t="n">
        <f aca="false">MAX(0,MAX($E$2:E17))</f>
        <v>25.596615625</v>
      </c>
      <c r="G17" s="28" t="n">
        <f aca="false">E17-F17</f>
        <v>0</v>
      </c>
      <c r="H17" s="25" t="n">
        <f aca="false">IF(G17&gt;=-0.0000001,A17,H16)</f>
        <v>45854</v>
      </c>
      <c r="I17" s="29" t="n">
        <f aca="false">IF(AND(G17&gt;=-0.0000001,G16&lt;0),1,0)</f>
        <v>1</v>
      </c>
      <c r="J17" s="30" t="n">
        <f aca="false">IF(I17=1,A17-H16,"")</f>
        <v>14</v>
      </c>
      <c r="K17" s="27" t="n">
        <f aca="false">IF(B17="Wednesday",0,C17)</f>
        <v>0</v>
      </c>
      <c r="L17" s="28" t="n">
        <f aca="false">L16+K17/$T$1*100</f>
        <v>14.806978125</v>
      </c>
      <c r="M17" s="28" t="n">
        <f aca="false">MAX(0,MAX($L$2:L17))</f>
        <v>20.362346875</v>
      </c>
      <c r="N17" s="28" t="n">
        <f aca="false">L17-M17</f>
        <v>-5.55536875</v>
      </c>
      <c r="O17" s="25" t="n">
        <f aca="false">IF(N17&gt;=-0.0000001,A17,O16)</f>
        <v>45831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45859</v>
      </c>
      <c r="B18" s="26" t="s">
        <v>79</v>
      </c>
      <c r="C18" s="27" t="n">
        <v>15506.76</v>
      </c>
      <c r="D18" s="28" t="n">
        <f aca="false">C18/$T$1*100</f>
        <v>4.8458625</v>
      </c>
      <c r="E18" s="28" t="n">
        <f aca="false">E17+D18</f>
        <v>30.442478125</v>
      </c>
      <c r="F18" s="28" t="n">
        <f aca="false">MAX(0,MAX($E$2:E18))</f>
        <v>30.442478125</v>
      </c>
      <c r="G18" s="28" t="n">
        <f aca="false">E18-F18</f>
        <v>0</v>
      </c>
      <c r="H18" s="25" t="n">
        <f aca="false">IF(G18&gt;=-0.0000001,A18,H17)</f>
        <v>45859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15506.76</v>
      </c>
      <c r="L18" s="28" t="n">
        <f aca="false">L17+K18/$T$1*100</f>
        <v>19.652840625</v>
      </c>
      <c r="M18" s="28" t="n">
        <f aca="false">MAX(0,MAX($L$2:L18))</f>
        <v>20.362346875</v>
      </c>
      <c r="N18" s="28" t="n">
        <f aca="false">L18-M18</f>
        <v>-0.70950625</v>
      </c>
      <c r="O18" s="25" t="n">
        <f aca="false">IF(N18&gt;=-0.0000001,A18,O17)</f>
        <v>45831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45861</v>
      </c>
      <c r="B19" s="26" t="s">
        <v>81</v>
      </c>
      <c r="C19" s="27" t="n">
        <v>-13914.61</v>
      </c>
      <c r="D19" s="28" t="n">
        <f aca="false">C19/$T$1*100</f>
        <v>-4.348315625</v>
      </c>
      <c r="E19" s="28" t="n">
        <f aca="false">E18+D19</f>
        <v>26.0941625</v>
      </c>
      <c r="F19" s="28" t="n">
        <f aca="false">MAX(0,MAX($E$2:E19))</f>
        <v>30.442478125</v>
      </c>
      <c r="G19" s="28" t="n">
        <f aca="false">E19-F19</f>
        <v>-4.348315625</v>
      </c>
      <c r="H19" s="25" t="n">
        <f aca="false">IF(G19&gt;=-0.0000001,A19,H18)</f>
        <v>45859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0</v>
      </c>
      <c r="L19" s="28" t="n">
        <f aca="false">L18+K19/$T$1*100</f>
        <v>19.652840625</v>
      </c>
      <c r="M19" s="28" t="n">
        <f aca="false">MAX(0,MAX($L$2:L19))</f>
        <v>20.362346875</v>
      </c>
      <c r="N19" s="28" t="n">
        <f aca="false">L19-M19</f>
        <v>-0.70950625</v>
      </c>
      <c r="O19" s="25" t="n">
        <f aca="false">IF(N19&gt;=-0.0000001,A19,O18)</f>
        <v>45831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45866</v>
      </c>
      <c r="B20" s="26" t="s">
        <v>79</v>
      </c>
      <c r="C20" s="27" t="n">
        <v>21568.99</v>
      </c>
      <c r="D20" s="28" t="n">
        <f aca="false">C20/$T$1*100</f>
        <v>6.740309375</v>
      </c>
      <c r="E20" s="28" t="n">
        <f aca="false">E19+D20</f>
        <v>32.834471875</v>
      </c>
      <c r="F20" s="28" t="n">
        <f aca="false">MAX(0,MAX($E$2:E20))</f>
        <v>32.834471875</v>
      </c>
      <c r="G20" s="28" t="n">
        <f aca="false">E20-F20</f>
        <v>0</v>
      </c>
      <c r="H20" s="25" t="n">
        <f aca="false">IF(G20&gt;=-0.0000001,A20,H19)</f>
        <v>45866</v>
      </c>
      <c r="I20" s="29" t="n">
        <f aca="false">IF(AND(G20&gt;=-0.0000001,G19&lt;0),1,0)</f>
        <v>1</v>
      </c>
      <c r="J20" s="30" t="n">
        <f aca="false">IF(I20=1,A20-H19,"")</f>
        <v>7</v>
      </c>
      <c r="K20" s="27" t="n">
        <f aca="false">IF(B20="Wednesday",0,C20)</f>
        <v>21568.99</v>
      </c>
      <c r="L20" s="28" t="n">
        <f aca="false">L19+K20/$T$1*100</f>
        <v>26.39315</v>
      </c>
      <c r="M20" s="28" t="n">
        <f aca="false">MAX(0,MAX($L$2:L20))</f>
        <v>26.39315</v>
      </c>
      <c r="N20" s="28" t="n">
        <f aca="false">L20-M20</f>
        <v>0</v>
      </c>
      <c r="O20" s="25" t="n">
        <f aca="false">IF(N20&gt;=-0.0000001,A20,O19)</f>
        <v>45866</v>
      </c>
      <c r="P20" s="29" t="n">
        <f aca="false">IF(AND(N20&gt;=-0.0000001,N19&lt;0),1,0)</f>
        <v>1</v>
      </c>
      <c r="Q20" s="30" t="n">
        <f aca="false">IF(P20=1,A20-O19,"")</f>
        <v>35</v>
      </c>
    </row>
    <row r="21" customFormat="false" ht="15" hidden="false" customHeight="false" outlineLevel="0" collapsed="false">
      <c r="A21" s="25" t="n">
        <v>45868</v>
      </c>
      <c r="B21" s="26" t="s">
        <v>81</v>
      </c>
      <c r="C21" s="27" t="n">
        <v>19923.77</v>
      </c>
      <c r="D21" s="28" t="n">
        <f aca="false">C21/$T$1*100</f>
        <v>6.226178125</v>
      </c>
      <c r="E21" s="28" t="n">
        <f aca="false">E20+D21</f>
        <v>39.06065</v>
      </c>
      <c r="F21" s="28" t="n">
        <f aca="false">MAX(0,MAX($E$2:E21))</f>
        <v>39.06065</v>
      </c>
      <c r="G21" s="28" t="n">
        <f aca="false">E21-F21</f>
        <v>0</v>
      </c>
      <c r="H21" s="25" t="n">
        <f aca="false">IF(G21&gt;=-0.0000001,A21,H20)</f>
        <v>45868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0</v>
      </c>
      <c r="L21" s="28" t="n">
        <f aca="false">L20+K21/$T$1*100</f>
        <v>26.39315</v>
      </c>
      <c r="M21" s="28" t="n">
        <f aca="false">MAX(0,MAX($L$2:L21))</f>
        <v>26.39315</v>
      </c>
      <c r="N21" s="28" t="n">
        <f aca="false">L21-M21</f>
        <v>0</v>
      </c>
      <c r="O21" s="25" t="n">
        <f aca="false">IF(N21&gt;=-0.0000001,A21,O20)</f>
        <v>45868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45870</v>
      </c>
      <c r="B22" s="26" t="s">
        <v>83</v>
      </c>
      <c r="C22" s="27" t="n">
        <v>-14001.54</v>
      </c>
      <c r="D22" s="28" t="n">
        <f aca="false">C22/$T$1*100</f>
        <v>-4.37548125</v>
      </c>
      <c r="E22" s="28" t="n">
        <f aca="false">E21+D22</f>
        <v>34.68516875</v>
      </c>
      <c r="F22" s="28" t="n">
        <f aca="false">MAX(0,MAX($E$2:E22))</f>
        <v>39.06065</v>
      </c>
      <c r="G22" s="28" t="n">
        <f aca="false">E22-F22</f>
        <v>-4.37548125</v>
      </c>
      <c r="H22" s="25" t="n">
        <f aca="false">IF(G22&gt;=-0.0000001,A22,H21)</f>
        <v>45868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-14001.54</v>
      </c>
      <c r="L22" s="28" t="n">
        <f aca="false">L21+K22/$T$1*100</f>
        <v>22.01766875</v>
      </c>
      <c r="M22" s="28" t="n">
        <f aca="false">MAX(0,MAX($L$2:L22))</f>
        <v>26.39315</v>
      </c>
      <c r="N22" s="28" t="n">
        <f aca="false">L22-M22</f>
        <v>-4.37548125</v>
      </c>
      <c r="O22" s="25" t="n">
        <f aca="false">IF(N22&gt;=-0.0000001,A22,O21)</f>
        <v>45868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45873</v>
      </c>
      <c r="B23" s="26" t="s">
        <v>79</v>
      </c>
      <c r="C23" s="27" t="n">
        <v>12112.3</v>
      </c>
      <c r="D23" s="28" t="n">
        <f aca="false">C23/$T$1*100</f>
        <v>3.78509375</v>
      </c>
      <c r="E23" s="28" t="n">
        <f aca="false">E22+D23</f>
        <v>38.4702625</v>
      </c>
      <c r="F23" s="28" t="n">
        <f aca="false">MAX(0,MAX($E$2:E23))</f>
        <v>39.06065</v>
      </c>
      <c r="G23" s="28" t="n">
        <f aca="false">E23-F23</f>
        <v>-0.590387499999999</v>
      </c>
      <c r="H23" s="25" t="n">
        <f aca="false">IF(G23&gt;=-0.0000001,A23,H22)</f>
        <v>45868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12112.3</v>
      </c>
      <c r="L23" s="28" t="n">
        <f aca="false">L22+K23/$T$1*100</f>
        <v>25.8027625</v>
      </c>
      <c r="M23" s="28" t="n">
        <f aca="false">MAX(0,MAX($L$2:L23))</f>
        <v>26.39315</v>
      </c>
      <c r="N23" s="28" t="n">
        <f aca="false">L23-M23</f>
        <v>-0.590387499999999</v>
      </c>
      <c r="O23" s="25" t="n">
        <f aca="false">IF(N23&gt;=-0.0000001,A23,O22)</f>
        <v>45868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45875</v>
      </c>
      <c r="B24" s="26" t="s">
        <v>81</v>
      </c>
      <c r="C24" s="27" t="n">
        <v>16218.37</v>
      </c>
      <c r="D24" s="28" t="n">
        <f aca="false">C24/$T$1*100</f>
        <v>5.068240625</v>
      </c>
      <c r="E24" s="28" t="n">
        <f aca="false">E23+D24</f>
        <v>43.538503125</v>
      </c>
      <c r="F24" s="28" t="n">
        <f aca="false">MAX(0,MAX($E$2:E24))</f>
        <v>43.538503125</v>
      </c>
      <c r="G24" s="28" t="n">
        <f aca="false">E24-F24</f>
        <v>0</v>
      </c>
      <c r="H24" s="25" t="n">
        <f aca="false">IF(G24&gt;=-0.0000001,A24,H23)</f>
        <v>45875</v>
      </c>
      <c r="I24" s="29" t="n">
        <f aca="false">IF(AND(G24&gt;=-0.0000001,G23&lt;0),1,0)</f>
        <v>1</v>
      </c>
      <c r="J24" s="30" t="n">
        <f aca="false">IF(I24=1,A24-H23,"")</f>
        <v>7</v>
      </c>
      <c r="K24" s="27" t="n">
        <f aca="false">IF(B24="Wednesday",0,C24)</f>
        <v>0</v>
      </c>
      <c r="L24" s="28" t="n">
        <f aca="false">L23+K24/$T$1*100</f>
        <v>25.8027625</v>
      </c>
      <c r="M24" s="28" t="n">
        <f aca="false">MAX(0,MAX($L$2:L24))</f>
        <v>26.39315</v>
      </c>
      <c r="N24" s="28" t="n">
        <f aca="false">L24-M24</f>
        <v>-0.590387499999999</v>
      </c>
      <c r="O24" s="25" t="n">
        <f aca="false">IF(N24&gt;=-0.0000001,A24,O23)</f>
        <v>45868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45880</v>
      </c>
      <c r="B25" s="26" t="s">
        <v>79</v>
      </c>
      <c r="C25" s="27" t="n">
        <v>-13430.42</v>
      </c>
      <c r="D25" s="28" t="n">
        <f aca="false">C25/$T$1*100</f>
        <v>-4.19700625</v>
      </c>
      <c r="E25" s="28" t="n">
        <f aca="false">E24+D25</f>
        <v>39.341496875</v>
      </c>
      <c r="F25" s="28" t="n">
        <f aca="false">MAX(0,MAX($E$2:E25))</f>
        <v>43.538503125</v>
      </c>
      <c r="G25" s="28" t="n">
        <f aca="false">E25-F25</f>
        <v>-4.19700625</v>
      </c>
      <c r="H25" s="25" t="n">
        <f aca="false">IF(G25&gt;=-0.0000001,A25,H24)</f>
        <v>45875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-13430.42</v>
      </c>
      <c r="L25" s="28" t="n">
        <f aca="false">L24+K25/$T$1*100</f>
        <v>21.60575625</v>
      </c>
      <c r="M25" s="28" t="n">
        <f aca="false">MAX(0,MAX($L$2:L25))</f>
        <v>26.39315</v>
      </c>
      <c r="N25" s="28" t="n">
        <f aca="false">L25-M25</f>
        <v>-4.78739375</v>
      </c>
      <c r="O25" s="25" t="n">
        <f aca="false">IF(N25&gt;=-0.0000001,A25,O24)</f>
        <v>45868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45882</v>
      </c>
      <c r="B26" s="26" t="s">
        <v>81</v>
      </c>
      <c r="C26" s="27" t="n">
        <v>10993.4</v>
      </c>
      <c r="D26" s="28" t="n">
        <f aca="false">C26/$T$1*100</f>
        <v>3.4354375</v>
      </c>
      <c r="E26" s="28" t="n">
        <f aca="false">E25+D26</f>
        <v>42.776934375</v>
      </c>
      <c r="F26" s="28" t="n">
        <f aca="false">MAX(0,MAX($E$2:E26))</f>
        <v>43.538503125</v>
      </c>
      <c r="G26" s="28" t="n">
        <f aca="false">E26-F26</f>
        <v>-0.761568750000002</v>
      </c>
      <c r="H26" s="25" t="n">
        <f aca="false">IF(G26&gt;=-0.0000001,A26,H25)</f>
        <v>45875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0</v>
      </c>
      <c r="L26" s="28" t="n">
        <f aca="false">L25+K26/$T$1*100</f>
        <v>21.60575625</v>
      </c>
      <c r="M26" s="28" t="n">
        <f aca="false">MAX(0,MAX($L$2:L26))</f>
        <v>26.39315</v>
      </c>
      <c r="N26" s="28" t="n">
        <f aca="false">L26-M26</f>
        <v>-4.78739375</v>
      </c>
      <c r="O26" s="25" t="n">
        <f aca="false">IF(N26&gt;=-0.0000001,A26,O25)</f>
        <v>45868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45887</v>
      </c>
      <c r="B27" s="26" t="s">
        <v>79</v>
      </c>
      <c r="C27" s="27" t="n">
        <v>-13840.07</v>
      </c>
      <c r="D27" s="28" t="n">
        <f aca="false">C27/$T$1*100</f>
        <v>-4.325021875</v>
      </c>
      <c r="E27" s="28" t="n">
        <f aca="false">E26+D27</f>
        <v>38.4519125</v>
      </c>
      <c r="F27" s="28" t="n">
        <f aca="false">MAX(0,MAX($E$2:E27))</f>
        <v>43.538503125</v>
      </c>
      <c r="G27" s="28" t="n">
        <f aca="false">E27-F27</f>
        <v>-5.086590625</v>
      </c>
      <c r="H27" s="25" t="n">
        <f aca="false">IF(G27&gt;=-0.0000001,A27,H26)</f>
        <v>45875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-13840.07</v>
      </c>
      <c r="L27" s="28" t="n">
        <f aca="false">L26+K27/$T$1*100</f>
        <v>17.280734375</v>
      </c>
      <c r="M27" s="28" t="n">
        <f aca="false">MAX(0,MAX($L$2:L27))</f>
        <v>26.39315</v>
      </c>
      <c r="N27" s="28" t="n">
        <f aca="false">L27-M27</f>
        <v>-9.112415625</v>
      </c>
      <c r="O27" s="25" t="n">
        <f aca="false">IF(N27&gt;=-0.0000001,A27,O26)</f>
        <v>45868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45888</v>
      </c>
      <c r="B28" s="26" t="s">
        <v>80</v>
      </c>
      <c r="C28" s="27" t="n">
        <v>19568.36</v>
      </c>
      <c r="D28" s="28" t="n">
        <f aca="false">C28/$T$1*100</f>
        <v>6.1151125</v>
      </c>
      <c r="E28" s="28" t="n">
        <f aca="false">E27+D28</f>
        <v>44.567025</v>
      </c>
      <c r="F28" s="28" t="n">
        <f aca="false">MAX(0,MAX($E$2:E28))</f>
        <v>44.567025</v>
      </c>
      <c r="G28" s="28" t="n">
        <f aca="false">E28-F28</f>
        <v>0</v>
      </c>
      <c r="H28" s="25" t="n">
        <f aca="false">IF(G28&gt;=-0.0000001,A28,H27)</f>
        <v>45888</v>
      </c>
      <c r="I28" s="29" t="n">
        <f aca="false">IF(AND(G28&gt;=-0.0000001,G27&lt;0),1,0)</f>
        <v>1</v>
      </c>
      <c r="J28" s="30" t="n">
        <f aca="false">IF(I28=1,A28-H27,"")</f>
        <v>13</v>
      </c>
      <c r="K28" s="27" t="n">
        <f aca="false">IF(B28="Wednesday",0,C28)</f>
        <v>19568.36</v>
      </c>
      <c r="L28" s="28" t="n">
        <f aca="false">L27+K28/$T$1*100</f>
        <v>23.395846875</v>
      </c>
      <c r="M28" s="28" t="n">
        <f aca="false">MAX(0,MAX($L$2:L28))</f>
        <v>26.39315</v>
      </c>
      <c r="N28" s="28" t="n">
        <f aca="false">L28-M28</f>
        <v>-2.997303125</v>
      </c>
      <c r="O28" s="25" t="n">
        <f aca="false">IF(N28&gt;=-0.0000001,A28,O27)</f>
        <v>45868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45890</v>
      </c>
      <c r="B29" s="26" t="s">
        <v>82</v>
      </c>
      <c r="C29" s="27" t="n">
        <v>19686.14</v>
      </c>
      <c r="D29" s="28" t="n">
        <f aca="false">C29/$T$1*100</f>
        <v>6.15191875</v>
      </c>
      <c r="E29" s="28" t="n">
        <f aca="false">E28+D29</f>
        <v>50.71894375</v>
      </c>
      <c r="F29" s="28" t="n">
        <f aca="false">MAX(0,MAX($E$2:E29))</f>
        <v>50.71894375</v>
      </c>
      <c r="G29" s="28" t="n">
        <f aca="false">E29-F29</f>
        <v>0</v>
      </c>
      <c r="H29" s="25" t="n">
        <f aca="false">IF(G29&gt;=-0.0000001,A29,H28)</f>
        <v>45890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19686.14</v>
      </c>
      <c r="L29" s="28" t="n">
        <f aca="false">L28+K29/$T$1*100</f>
        <v>29.547765625</v>
      </c>
      <c r="M29" s="28" t="n">
        <f aca="false">MAX(0,MAX($L$2:L29))</f>
        <v>29.547765625</v>
      </c>
      <c r="N29" s="28" t="n">
        <f aca="false">L29-M29</f>
        <v>0</v>
      </c>
      <c r="O29" s="25" t="n">
        <f aca="false">IF(N29&gt;=-0.0000001,A29,O28)</f>
        <v>45890</v>
      </c>
      <c r="P29" s="29" t="n">
        <f aca="false">IF(AND(N29&gt;=-0.0000001,N28&lt;0),1,0)</f>
        <v>1</v>
      </c>
      <c r="Q29" s="30" t="n">
        <f aca="false">IF(P29=1,A29-O28,"")</f>
        <v>22</v>
      </c>
    </row>
    <row r="30" customFormat="false" ht="15" hidden="false" customHeight="false" outlineLevel="0" collapsed="false">
      <c r="A30" s="25" t="n">
        <v>45894</v>
      </c>
      <c r="B30" s="26" t="s">
        <v>79</v>
      </c>
      <c r="C30" s="27" t="n">
        <v>-860.1</v>
      </c>
      <c r="D30" s="28" t="n">
        <f aca="false">C30/$T$1*100</f>
        <v>-0.26878125</v>
      </c>
      <c r="E30" s="28" t="n">
        <f aca="false">E29+D30</f>
        <v>50.4501625</v>
      </c>
      <c r="F30" s="28" t="n">
        <f aca="false">MAX(0,MAX($E$2:E30))</f>
        <v>50.71894375</v>
      </c>
      <c r="G30" s="28" t="n">
        <f aca="false">E30-F30</f>
        <v>-0.268781250000004</v>
      </c>
      <c r="H30" s="25" t="n">
        <f aca="false">IF(G30&gt;=-0.0000001,A30,H29)</f>
        <v>45890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-860.1</v>
      </c>
      <c r="L30" s="28" t="n">
        <f aca="false">L29+K30/$T$1*100</f>
        <v>29.278984375</v>
      </c>
      <c r="M30" s="28" t="n">
        <f aca="false">MAX(0,MAX($L$2:L30))</f>
        <v>29.547765625</v>
      </c>
      <c r="N30" s="28" t="n">
        <f aca="false">L30-M30</f>
        <v>-0.26878125</v>
      </c>
      <c r="O30" s="25" t="n">
        <f aca="false">IF(N30&gt;=-0.0000001,A30,O29)</f>
        <v>45890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45895</v>
      </c>
      <c r="B31" s="26" t="s">
        <v>80</v>
      </c>
      <c r="C31" s="27" t="n">
        <v>-14505.21</v>
      </c>
      <c r="D31" s="28" t="n">
        <f aca="false">C31/$T$1*100</f>
        <v>-4.532878125</v>
      </c>
      <c r="E31" s="28" t="n">
        <f aca="false">E30+D31</f>
        <v>45.917284375</v>
      </c>
      <c r="F31" s="28" t="n">
        <f aca="false">MAX(0,MAX($E$2:E31))</f>
        <v>50.71894375</v>
      </c>
      <c r="G31" s="28" t="n">
        <f aca="false">E31-F31</f>
        <v>-4.80165937500001</v>
      </c>
      <c r="H31" s="25" t="n">
        <f aca="false">IF(G31&gt;=-0.0000001,A31,H30)</f>
        <v>45890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-14505.21</v>
      </c>
      <c r="L31" s="28" t="n">
        <f aca="false">L30+K31/$T$1*100</f>
        <v>24.74610625</v>
      </c>
      <c r="M31" s="28" t="n">
        <f aca="false">MAX(0,MAX($L$2:L31))</f>
        <v>29.547765625</v>
      </c>
      <c r="N31" s="28" t="n">
        <f aca="false">L31-M31</f>
        <v>-4.801659375</v>
      </c>
      <c r="O31" s="25" t="n">
        <f aca="false">IF(N31&gt;=-0.0000001,A31,O30)</f>
        <v>45890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45901</v>
      </c>
      <c r="B32" s="26" t="s">
        <v>79</v>
      </c>
      <c r="C32" s="27" t="n">
        <v>-6655.63</v>
      </c>
      <c r="D32" s="28" t="n">
        <f aca="false">C32/$T$1*100</f>
        <v>-2.079884375</v>
      </c>
      <c r="E32" s="28" t="n">
        <f aca="false">E31+D32</f>
        <v>43.8374</v>
      </c>
      <c r="F32" s="28" t="n">
        <f aca="false">MAX(0,MAX($E$2:E32))</f>
        <v>50.71894375</v>
      </c>
      <c r="G32" s="28" t="n">
        <f aca="false">E32-F32</f>
        <v>-6.88154375000001</v>
      </c>
      <c r="H32" s="25" t="n">
        <f aca="false">IF(G32&gt;=-0.0000001,A32,H31)</f>
        <v>45890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-6655.63</v>
      </c>
      <c r="L32" s="28" t="n">
        <f aca="false">L31+K32/$T$1*100</f>
        <v>22.666221875</v>
      </c>
      <c r="M32" s="28" t="n">
        <f aca="false">MAX(0,MAX($L$2:L32))</f>
        <v>29.547765625</v>
      </c>
      <c r="N32" s="28" t="n">
        <f aca="false">L32-M32</f>
        <v>-6.88154375</v>
      </c>
      <c r="O32" s="25" t="n">
        <f aca="false">IF(N32&gt;=-0.0000001,A32,O31)</f>
        <v>45890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45904</v>
      </c>
      <c r="B33" s="26" t="s">
        <v>82</v>
      </c>
      <c r="C33" s="27" t="n">
        <v>16200.95</v>
      </c>
      <c r="D33" s="28" t="n">
        <f aca="false">C33/$T$1*100</f>
        <v>5.062796875</v>
      </c>
      <c r="E33" s="28" t="n">
        <f aca="false">E32+D33</f>
        <v>48.900196875</v>
      </c>
      <c r="F33" s="28" t="n">
        <f aca="false">MAX(0,MAX($E$2:E33))</f>
        <v>50.71894375</v>
      </c>
      <c r="G33" s="28" t="n">
        <f aca="false">E33-F33</f>
        <v>-1.81874687500001</v>
      </c>
      <c r="H33" s="25" t="n">
        <f aca="false">IF(G33&gt;=-0.0000001,A33,H32)</f>
        <v>45890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16200.95</v>
      </c>
      <c r="L33" s="28" t="n">
        <f aca="false">L32+K33/$T$1*100</f>
        <v>27.72901875</v>
      </c>
      <c r="M33" s="28" t="n">
        <f aca="false">MAX(0,MAX($L$2:L33))</f>
        <v>29.547765625</v>
      </c>
      <c r="N33" s="28" t="n">
        <f aca="false">L33-M33</f>
        <v>-1.818746875</v>
      </c>
      <c r="O33" s="25" t="n">
        <f aca="false">IF(N33&gt;=-0.0000001,A33,O32)</f>
        <v>45890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45908</v>
      </c>
      <c r="B34" s="26" t="s">
        <v>79</v>
      </c>
      <c r="C34" s="27" t="n">
        <v>23044.37</v>
      </c>
      <c r="D34" s="28" t="n">
        <f aca="false">C34/$T$1*100</f>
        <v>7.201365625</v>
      </c>
      <c r="E34" s="28" t="n">
        <f aca="false">E33+D34</f>
        <v>56.1015625</v>
      </c>
      <c r="F34" s="28" t="n">
        <f aca="false">MAX(0,MAX($E$2:E34))</f>
        <v>56.1015625</v>
      </c>
      <c r="G34" s="28" t="n">
        <f aca="false">E34-F34</f>
        <v>0</v>
      </c>
      <c r="H34" s="25" t="n">
        <f aca="false">IF(G34&gt;=-0.0000001,A34,H33)</f>
        <v>45908</v>
      </c>
      <c r="I34" s="29" t="n">
        <f aca="false">IF(AND(G34&gt;=-0.0000001,G33&lt;0),1,0)</f>
        <v>1</v>
      </c>
      <c r="J34" s="30" t="n">
        <f aca="false">IF(I34=1,A34-H33,"")</f>
        <v>18</v>
      </c>
      <c r="K34" s="27" t="n">
        <f aca="false">IF(B34="Wednesday",0,C34)</f>
        <v>23044.37</v>
      </c>
      <c r="L34" s="28" t="n">
        <f aca="false">L33+K34/$T$1*100</f>
        <v>34.930384375</v>
      </c>
      <c r="M34" s="28" t="n">
        <f aca="false">MAX(0,MAX($L$2:L34))</f>
        <v>34.930384375</v>
      </c>
      <c r="N34" s="28" t="n">
        <f aca="false">L34-M34</f>
        <v>0</v>
      </c>
      <c r="O34" s="25" t="n">
        <f aca="false">IF(N34&gt;=-0.0000001,A34,O33)</f>
        <v>45908</v>
      </c>
      <c r="P34" s="29" t="n">
        <f aca="false">IF(AND(N34&gt;=-0.0000001,N33&lt;0),1,0)</f>
        <v>1</v>
      </c>
      <c r="Q34" s="30" t="n">
        <f aca="false">IF(P34=1,A34-O33,"")</f>
        <v>18</v>
      </c>
    </row>
    <row r="35" customFormat="false" ht="15" hidden="false" customHeight="false" outlineLevel="0" collapsed="false">
      <c r="A35" s="25" t="n">
        <v>45911</v>
      </c>
      <c r="B35" s="26" t="s">
        <v>82</v>
      </c>
      <c r="C35" s="27" t="n">
        <v>2328.86</v>
      </c>
      <c r="D35" s="28" t="n">
        <f aca="false">C35/$T$1*100</f>
        <v>0.72776875</v>
      </c>
      <c r="E35" s="28" t="n">
        <f aca="false">E34+D35</f>
        <v>56.82933125</v>
      </c>
      <c r="F35" s="28" t="n">
        <f aca="false">MAX(0,MAX($E$2:E35))</f>
        <v>56.82933125</v>
      </c>
      <c r="G35" s="28" t="n">
        <f aca="false">E35-F35</f>
        <v>0</v>
      </c>
      <c r="H35" s="25" t="n">
        <f aca="false">IF(G35&gt;=-0.0000001,A35,H34)</f>
        <v>45911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2328.86</v>
      </c>
      <c r="L35" s="28" t="n">
        <f aca="false">L34+K35/$T$1*100</f>
        <v>35.658153125</v>
      </c>
      <c r="M35" s="28" t="n">
        <f aca="false">MAX(0,MAX($L$2:L35))</f>
        <v>35.658153125</v>
      </c>
      <c r="N35" s="28" t="n">
        <f aca="false">L35-M35</f>
        <v>0</v>
      </c>
      <c r="O35" s="25" t="n">
        <f aca="false">IF(N35&gt;=-0.0000001,A35,O34)</f>
        <v>45911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45915</v>
      </c>
      <c r="B36" s="26" t="s">
        <v>79</v>
      </c>
      <c r="C36" s="27" t="n">
        <v>10707.5</v>
      </c>
      <c r="D36" s="28" t="n">
        <f aca="false">C36/$T$1*100</f>
        <v>3.34609375</v>
      </c>
      <c r="E36" s="28" t="n">
        <f aca="false">E35+D36</f>
        <v>60.175425</v>
      </c>
      <c r="F36" s="28" t="n">
        <f aca="false">MAX(0,MAX($E$2:E36))</f>
        <v>60.175425</v>
      </c>
      <c r="G36" s="28" t="n">
        <f aca="false">E36-F36</f>
        <v>0</v>
      </c>
      <c r="H36" s="25" t="n">
        <f aca="false">IF(G36&gt;=-0.0000001,A36,H35)</f>
        <v>45915</v>
      </c>
      <c r="I36" s="29" t="n">
        <f aca="false">IF(AND(G36&gt;=-0.0000001,G35&lt;0),1,0)</f>
        <v>0</v>
      </c>
      <c r="J36" s="30" t="str">
        <f aca="false">IF(I36=1,A36-H35,"")</f>
        <v/>
      </c>
      <c r="K36" s="27" t="n">
        <f aca="false">IF(B36="Wednesday",0,C36)</f>
        <v>10707.5</v>
      </c>
      <c r="L36" s="28" t="n">
        <f aca="false">L35+K36/$T$1*100</f>
        <v>39.004246875</v>
      </c>
      <c r="M36" s="28" t="n">
        <f aca="false">MAX(0,MAX($L$2:L36))</f>
        <v>39.004246875</v>
      </c>
      <c r="N36" s="28" t="n">
        <f aca="false">L36-M36</f>
        <v>0</v>
      </c>
      <c r="O36" s="25" t="n">
        <f aca="false">IF(N36&gt;=-0.0000001,A36,O35)</f>
        <v>45915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45918</v>
      </c>
      <c r="B37" s="26" t="s">
        <v>82</v>
      </c>
      <c r="C37" s="27" t="n">
        <v>-14652.81</v>
      </c>
      <c r="D37" s="28" t="n">
        <f aca="false">C37/$T$1*100</f>
        <v>-4.579003125</v>
      </c>
      <c r="E37" s="28" t="n">
        <f aca="false">E36+D37</f>
        <v>55.596421875</v>
      </c>
      <c r="F37" s="28" t="n">
        <f aca="false">MAX(0,MAX($E$2:E37))</f>
        <v>60.175425</v>
      </c>
      <c r="G37" s="28" t="n">
        <f aca="false">E37-F37</f>
        <v>-4.579003125</v>
      </c>
      <c r="H37" s="25" t="n">
        <f aca="false">IF(G37&gt;=-0.0000001,A37,H36)</f>
        <v>45915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-14652.81</v>
      </c>
      <c r="L37" s="28" t="n">
        <f aca="false">L36+K37/$T$1*100</f>
        <v>34.42524375</v>
      </c>
      <c r="M37" s="28" t="n">
        <f aca="false">MAX(0,MAX($L$2:L37))</f>
        <v>39.004246875</v>
      </c>
      <c r="N37" s="28" t="n">
        <f aca="false">L37-M37</f>
        <v>-4.579003125</v>
      </c>
      <c r="O37" s="25" t="n">
        <f aca="false">IF(N37&gt;=-0.0000001,A37,O36)</f>
        <v>45915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45919</v>
      </c>
      <c r="B38" s="26" t="s">
        <v>83</v>
      </c>
      <c r="C38" s="27" t="n">
        <v>-13378.65</v>
      </c>
      <c r="D38" s="28" t="n">
        <f aca="false">C38/$T$1*100</f>
        <v>-4.180828125</v>
      </c>
      <c r="E38" s="28" t="n">
        <f aca="false">E37+D38</f>
        <v>51.41559375</v>
      </c>
      <c r="F38" s="28" t="n">
        <f aca="false">MAX(0,MAX($E$2:E38))</f>
        <v>60.175425</v>
      </c>
      <c r="G38" s="28" t="n">
        <f aca="false">E38-F38</f>
        <v>-8.75983125</v>
      </c>
      <c r="H38" s="25" t="n">
        <f aca="false">IF(G38&gt;=-0.0000001,A38,H37)</f>
        <v>45915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-13378.65</v>
      </c>
      <c r="L38" s="28" t="n">
        <f aca="false">L37+K38/$T$1*100</f>
        <v>30.244415625</v>
      </c>
      <c r="M38" s="28" t="n">
        <f aca="false">MAX(0,MAX($L$2:L38))</f>
        <v>39.004246875</v>
      </c>
      <c r="N38" s="28" t="n">
        <f aca="false">L38-M38</f>
        <v>-8.75983125</v>
      </c>
      <c r="O38" s="25" t="n">
        <f aca="false">IF(N38&gt;=-0.0000001,A38,O37)</f>
        <v>45915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45922</v>
      </c>
      <c r="B39" s="26" t="s">
        <v>79</v>
      </c>
      <c r="C39" s="27" t="n">
        <v>19654.06</v>
      </c>
      <c r="D39" s="28" t="n">
        <f aca="false">C39/$T$1*100</f>
        <v>6.14189375</v>
      </c>
      <c r="E39" s="28" t="n">
        <f aca="false">E38+D39</f>
        <v>57.5574875</v>
      </c>
      <c r="F39" s="28" t="n">
        <f aca="false">MAX(0,MAX($E$2:E39))</f>
        <v>60.175425</v>
      </c>
      <c r="G39" s="28" t="n">
        <f aca="false">E39-F39</f>
        <v>-2.6179375</v>
      </c>
      <c r="H39" s="25" t="n">
        <f aca="false">IF(G39&gt;=-0.0000001,A39,H38)</f>
        <v>45915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19654.06</v>
      </c>
      <c r="L39" s="28" t="n">
        <f aca="false">L38+K39/$T$1*100</f>
        <v>36.386309375</v>
      </c>
      <c r="M39" s="28" t="n">
        <f aca="false">MAX(0,MAX($L$2:L39))</f>
        <v>39.004246875</v>
      </c>
      <c r="N39" s="28" t="n">
        <f aca="false">L39-M39</f>
        <v>-2.6179375</v>
      </c>
      <c r="O39" s="25" t="n">
        <f aca="false">IF(N39&gt;=-0.0000001,A39,O38)</f>
        <v>45915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45925</v>
      </c>
      <c r="B40" s="26" t="s">
        <v>82</v>
      </c>
      <c r="C40" s="27" t="n">
        <v>-13338.07</v>
      </c>
      <c r="D40" s="28" t="n">
        <f aca="false">C40/$T$1*100</f>
        <v>-4.168146875</v>
      </c>
      <c r="E40" s="28" t="n">
        <f aca="false">E39+D40</f>
        <v>53.389340625</v>
      </c>
      <c r="F40" s="28" t="n">
        <f aca="false">MAX(0,MAX($E$2:E40))</f>
        <v>60.175425</v>
      </c>
      <c r="G40" s="28" t="n">
        <f aca="false">E40-F40</f>
        <v>-6.78608437499999</v>
      </c>
      <c r="H40" s="25" t="n">
        <f aca="false">IF(G40&gt;=-0.0000001,A40,H39)</f>
        <v>45915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-13338.07</v>
      </c>
      <c r="L40" s="28" t="n">
        <f aca="false">L39+K40/$T$1*100</f>
        <v>32.2181625</v>
      </c>
      <c r="M40" s="28" t="n">
        <f aca="false">MAX(0,MAX($L$2:L40))</f>
        <v>39.004246875</v>
      </c>
      <c r="N40" s="28" t="n">
        <f aca="false">L40-M40</f>
        <v>-6.78608437499999</v>
      </c>
      <c r="O40" s="25" t="n">
        <f aca="false">IF(N40&gt;=-0.0000001,A40,O39)</f>
        <v>45915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45926</v>
      </c>
      <c r="B41" s="26" t="s">
        <v>83</v>
      </c>
      <c r="C41" s="27" t="n">
        <v>27655.74</v>
      </c>
      <c r="D41" s="28" t="n">
        <f aca="false">C41/$T$1*100</f>
        <v>8.64241875</v>
      </c>
      <c r="E41" s="28" t="n">
        <f aca="false">E40+D41</f>
        <v>62.031759375</v>
      </c>
      <c r="F41" s="28" t="n">
        <f aca="false">MAX(0,MAX($E$2:E41))</f>
        <v>62.031759375</v>
      </c>
      <c r="G41" s="28" t="n">
        <f aca="false">E41-F41</f>
        <v>0</v>
      </c>
      <c r="H41" s="25" t="n">
        <f aca="false">IF(G41&gt;=-0.0000001,A41,H40)</f>
        <v>45926</v>
      </c>
      <c r="I41" s="29" t="n">
        <f aca="false">IF(AND(G41&gt;=-0.0000001,G40&lt;0),1,0)</f>
        <v>1</v>
      </c>
      <c r="J41" s="30" t="n">
        <f aca="false">IF(I41=1,A41-H40,"")</f>
        <v>11</v>
      </c>
      <c r="K41" s="27" t="n">
        <f aca="false">IF(B41="Wednesday",0,C41)</f>
        <v>27655.74</v>
      </c>
      <c r="L41" s="28" t="n">
        <f aca="false">L40+K41/$T$1*100</f>
        <v>40.86058125</v>
      </c>
      <c r="M41" s="28" t="n">
        <f aca="false">MAX(0,MAX($L$2:L41))</f>
        <v>40.86058125</v>
      </c>
      <c r="N41" s="28" t="n">
        <f aca="false">L41-M41</f>
        <v>0</v>
      </c>
      <c r="O41" s="25" t="n">
        <f aca="false">IF(N41&gt;=-0.0000001,A41,O40)</f>
        <v>45926</v>
      </c>
      <c r="P41" s="29" t="n">
        <f aca="false">IF(AND(N41&gt;=-0.0000001,N40&lt;0),1,0)</f>
        <v>1</v>
      </c>
      <c r="Q41" s="30" t="n">
        <f aca="false">IF(P41=1,A41-O40,"")</f>
        <v>11</v>
      </c>
    </row>
    <row r="42" customFormat="false" ht="15" hidden="false" customHeight="false" outlineLevel="0" collapsed="false">
      <c r="A42" s="25" t="n">
        <v>45929</v>
      </c>
      <c r="B42" s="26" t="s">
        <v>79</v>
      </c>
      <c r="C42" s="27" t="n">
        <v>-13404.59</v>
      </c>
      <c r="D42" s="28" t="n">
        <f aca="false">C42/$T$1*100</f>
        <v>-4.188934375</v>
      </c>
      <c r="E42" s="28" t="n">
        <f aca="false">E41+D42</f>
        <v>57.842825</v>
      </c>
      <c r="F42" s="28" t="n">
        <f aca="false">MAX(0,MAX($E$2:E42))</f>
        <v>62.031759375</v>
      </c>
      <c r="G42" s="28" t="n">
        <f aca="false">E42-F42</f>
        <v>-4.188934375</v>
      </c>
      <c r="H42" s="25" t="n">
        <f aca="false">IF(G42&gt;=-0.0000001,A42,H41)</f>
        <v>45926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-13404.59</v>
      </c>
      <c r="L42" s="28" t="n">
        <f aca="false">L41+K42/$T$1*100</f>
        <v>36.671646875</v>
      </c>
      <c r="M42" s="28" t="n">
        <f aca="false">MAX(0,MAX($L$2:L42))</f>
        <v>40.86058125</v>
      </c>
      <c r="N42" s="28" t="n">
        <f aca="false">L42-M42</f>
        <v>-4.188934375</v>
      </c>
      <c r="O42" s="25" t="n">
        <f aca="false">IF(N42&gt;=-0.0000001,A42,O41)</f>
        <v>45926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45930</v>
      </c>
      <c r="B43" s="26" t="s">
        <v>80</v>
      </c>
      <c r="C43" s="27" t="n">
        <v>27190.26</v>
      </c>
      <c r="D43" s="28" t="n">
        <f aca="false">C43/$T$1*100</f>
        <v>8.49695625</v>
      </c>
      <c r="E43" s="28" t="n">
        <f aca="false">E42+D43</f>
        <v>66.33978125</v>
      </c>
      <c r="F43" s="28" t="n">
        <f aca="false">MAX(0,MAX($E$2:E43))</f>
        <v>66.33978125</v>
      </c>
      <c r="G43" s="28" t="n">
        <f aca="false">E43-F43</f>
        <v>0</v>
      </c>
      <c r="H43" s="25" t="n">
        <f aca="false">IF(G43&gt;=-0.0000001,A43,H42)</f>
        <v>45930</v>
      </c>
      <c r="I43" s="29" t="n">
        <f aca="false">IF(AND(G43&gt;=-0.0000001,G42&lt;0),1,0)</f>
        <v>1</v>
      </c>
      <c r="J43" s="30" t="n">
        <f aca="false">IF(I43=1,A43-H42,"")</f>
        <v>4</v>
      </c>
      <c r="K43" s="27" t="n">
        <f aca="false">IF(B43="Wednesday",0,C43)</f>
        <v>27190.26</v>
      </c>
      <c r="L43" s="28" t="n">
        <f aca="false">L42+K43/$T$1*100</f>
        <v>45.168603125</v>
      </c>
      <c r="M43" s="28" t="n">
        <f aca="false">MAX(0,MAX($L$2:L43))</f>
        <v>45.168603125</v>
      </c>
      <c r="N43" s="28" t="n">
        <f aca="false">L43-M43</f>
        <v>0</v>
      </c>
      <c r="O43" s="25" t="n">
        <f aca="false">IF(N43&gt;=-0.0000001,A43,O42)</f>
        <v>45930</v>
      </c>
      <c r="P43" s="29" t="n">
        <f aca="false">IF(AND(N43&gt;=-0.0000001,N42&lt;0),1,0)</f>
        <v>1</v>
      </c>
      <c r="Q43" s="30" t="n">
        <f aca="false">IF(P43=1,A43-O42,"")</f>
        <v>4</v>
      </c>
    </row>
    <row r="44" customFormat="false" ht="15" hidden="false" customHeight="false" outlineLevel="0" collapsed="false">
      <c r="A44" s="25" t="n">
        <v>45931</v>
      </c>
      <c r="B44" s="26" t="s">
        <v>81</v>
      </c>
      <c r="C44" s="27" t="n">
        <v>-27900.5</v>
      </c>
      <c r="D44" s="28" t="n">
        <f aca="false">C44/$T$1*100</f>
        <v>-8.71890625</v>
      </c>
      <c r="E44" s="28" t="n">
        <f aca="false">E43+D44</f>
        <v>57.620875</v>
      </c>
      <c r="F44" s="28" t="n">
        <f aca="false">MAX(0,MAX($E$2:E44))</f>
        <v>66.33978125</v>
      </c>
      <c r="G44" s="28" t="n">
        <f aca="false">E44-F44</f>
        <v>-8.71890625</v>
      </c>
      <c r="H44" s="25" t="n">
        <f aca="false">IF(G44&gt;=-0.0000001,A44,H43)</f>
        <v>45930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0</v>
      </c>
      <c r="L44" s="28" t="n">
        <f aca="false">L43+K44/$T$1*100</f>
        <v>45.168603125</v>
      </c>
      <c r="M44" s="28" t="n">
        <f aca="false">MAX(0,MAX($L$2:L44))</f>
        <v>45.168603125</v>
      </c>
      <c r="N44" s="28" t="n">
        <f aca="false">L44-M44</f>
        <v>0</v>
      </c>
      <c r="O44" s="25" t="n">
        <f aca="false">IF(N44&gt;=-0.0000001,A44,O43)</f>
        <v>45931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45936</v>
      </c>
      <c r="B45" s="26" t="s">
        <v>79</v>
      </c>
      <c r="C45" s="27" t="n">
        <v>18781.78</v>
      </c>
      <c r="D45" s="28" t="n">
        <f aca="false">C45/$T$1*100</f>
        <v>5.86930625</v>
      </c>
      <c r="E45" s="28" t="n">
        <f aca="false">E44+D45</f>
        <v>63.49018125</v>
      </c>
      <c r="F45" s="28" t="n">
        <f aca="false">MAX(0,MAX($E$2:E45))</f>
        <v>66.33978125</v>
      </c>
      <c r="G45" s="28" t="n">
        <f aca="false">E45-F45</f>
        <v>-2.8496</v>
      </c>
      <c r="H45" s="25" t="n">
        <f aca="false">IF(G45&gt;=-0.0000001,A45,H44)</f>
        <v>45930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18781.78</v>
      </c>
      <c r="L45" s="28" t="n">
        <f aca="false">L44+K45/$T$1*100</f>
        <v>51.037909375</v>
      </c>
      <c r="M45" s="28" t="n">
        <f aca="false">MAX(0,MAX($L$2:L45))</f>
        <v>51.037909375</v>
      </c>
      <c r="N45" s="28" t="n">
        <f aca="false">L45-M45</f>
        <v>0</v>
      </c>
      <c r="O45" s="25" t="n">
        <f aca="false">IF(N45&gt;=-0.0000001,A45,O44)</f>
        <v>45936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45938</v>
      </c>
      <c r="B46" s="26" t="s">
        <v>81</v>
      </c>
      <c r="C46" s="27" t="n">
        <v>-13547.33</v>
      </c>
      <c r="D46" s="28" t="n">
        <f aca="false">C46/$T$1*100</f>
        <v>-4.233540625</v>
      </c>
      <c r="E46" s="28" t="n">
        <f aca="false">E45+D46</f>
        <v>59.256640625</v>
      </c>
      <c r="F46" s="28" t="n">
        <f aca="false">MAX(0,MAX($E$2:E46))</f>
        <v>66.33978125</v>
      </c>
      <c r="G46" s="28" t="n">
        <f aca="false">E46-F46</f>
        <v>-7.083140625</v>
      </c>
      <c r="H46" s="25" t="n">
        <f aca="false">IF(G46&gt;=-0.0000001,A46,H45)</f>
        <v>45930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0</v>
      </c>
      <c r="L46" s="28" t="n">
        <f aca="false">L45+K46/$T$1*100</f>
        <v>51.037909375</v>
      </c>
      <c r="M46" s="28" t="n">
        <f aca="false">MAX(0,MAX($L$2:L46))</f>
        <v>51.037909375</v>
      </c>
      <c r="N46" s="28" t="n">
        <f aca="false">L46-M46</f>
        <v>0</v>
      </c>
      <c r="O46" s="25" t="n">
        <f aca="false">IF(N46&gt;=-0.0000001,A46,O45)</f>
        <v>45938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45939</v>
      </c>
      <c r="B47" s="26" t="s">
        <v>82</v>
      </c>
      <c r="C47" s="27" t="n">
        <v>15929.5</v>
      </c>
      <c r="D47" s="28" t="n">
        <f aca="false">C47/$T$1*100</f>
        <v>4.97796875</v>
      </c>
      <c r="E47" s="28" t="n">
        <f aca="false">E46+D47</f>
        <v>64.234609375</v>
      </c>
      <c r="F47" s="28" t="n">
        <f aca="false">MAX(0,MAX($E$2:E47))</f>
        <v>66.33978125</v>
      </c>
      <c r="G47" s="28" t="n">
        <f aca="false">E47-F47</f>
        <v>-2.105171875</v>
      </c>
      <c r="H47" s="25" t="n">
        <f aca="false">IF(G47&gt;=-0.0000001,A47,H46)</f>
        <v>45930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15929.5</v>
      </c>
      <c r="L47" s="28" t="n">
        <f aca="false">L46+K47/$T$1*100</f>
        <v>56.015878125</v>
      </c>
      <c r="M47" s="28" t="n">
        <f aca="false">MAX(0,MAX($L$2:L47))</f>
        <v>56.015878125</v>
      </c>
      <c r="N47" s="28" t="n">
        <f aca="false">L47-M47</f>
        <v>0</v>
      </c>
      <c r="O47" s="25" t="n">
        <f aca="false">IF(N47&gt;=-0.0000001,A47,O46)</f>
        <v>45939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45943</v>
      </c>
      <c r="B48" s="26" t="s">
        <v>79</v>
      </c>
      <c r="C48" s="27" t="n">
        <v>-13004.89</v>
      </c>
      <c r="D48" s="28" t="n">
        <f aca="false">C48/$T$1*100</f>
        <v>-4.064028125</v>
      </c>
      <c r="E48" s="28" t="n">
        <f aca="false">E47+D48</f>
        <v>60.17058125</v>
      </c>
      <c r="F48" s="28" t="n">
        <f aca="false">MAX(0,MAX($E$2:E48))</f>
        <v>66.33978125</v>
      </c>
      <c r="G48" s="28" t="n">
        <f aca="false">E48-F48</f>
        <v>-6.1692</v>
      </c>
      <c r="H48" s="25" t="n">
        <f aca="false">IF(G48&gt;=-0.0000001,A48,H47)</f>
        <v>45930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-13004.89</v>
      </c>
      <c r="L48" s="28" t="n">
        <f aca="false">L47+K48/$T$1*100</f>
        <v>51.95185</v>
      </c>
      <c r="M48" s="28" t="n">
        <f aca="false">MAX(0,MAX($L$2:L48))</f>
        <v>56.015878125</v>
      </c>
      <c r="N48" s="28" t="n">
        <f aca="false">L48-M48</f>
        <v>-4.064028125</v>
      </c>
      <c r="O48" s="25" t="n">
        <f aca="false">IF(N48&gt;=-0.0000001,A48,O47)</f>
        <v>45939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45944</v>
      </c>
      <c r="B49" s="26" t="s">
        <v>80</v>
      </c>
      <c r="C49" s="27" t="n">
        <v>-15204.74</v>
      </c>
      <c r="D49" s="28" t="n">
        <f aca="false">C49/$T$1*100</f>
        <v>-4.75148125</v>
      </c>
      <c r="E49" s="28" t="n">
        <f aca="false">E48+D49</f>
        <v>55.4191</v>
      </c>
      <c r="F49" s="28" t="n">
        <f aca="false">MAX(0,MAX($E$2:E49))</f>
        <v>66.33978125</v>
      </c>
      <c r="G49" s="28" t="n">
        <f aca="false">E49-F49</f>
        <v>-10.92068125</v>
      </c>
      <c r="H49" s="25" t="n">
        <f aca="false">IF(G49&gt;=-0.0000001,A49,H48)</f>
        <v>45930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-15204.74</v>
      </c>
      <c r="L49" s="28" t="n">
        <f aca="false">L48+K49/$T$1*100</f>
        <v>47.20036875</v>
      </c>
      <c r="M49" s="28" t="n">
        <f aca="false">MAX(0,MAX($L$2:L49))</f>
        <v>56.015878125</v>
      </c>
      <c r="N49" s="28" t="n">
        <f aca="false">L49-M49</f>
        <v>-8.815509375</v>
      </c>
      <c r="O49" s="25" t="n">
        <f aca="false">IF(N49&gt;=-0.0000001,A49,O48)</f>
        <v>45939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45946</v>
      </c>
      <c r="B50" s="26" t="s">
        <v>82</v>
      </c>
      <c r="C50" s="27" t="n">
        <v>14061.61</v>
      </c>
      <c r="D50" s="28" t="n">
        <f aca="false">C50/$T$1*100</f>
        <v>4.394253125</v>
      </c>
      <c r="E50" s="28" t="n">
        <f aca="false">E49+D50</f>
        <v>59.813353125</v>
      </c>
      <c r="F50" s="28" t="n">
        <f aca="false">MAX(0,MAX($E$2:E50))</f>
        <v>66.33978125</v>
      </c>
      <c r="G50" s="28" t="n">
        <f aca="false">E50-F50</f>
        <v>-6.526428125</v>
      </c>
      <c r="H50" s="25" t="n">
        <f aca="false">IF(G50&gt;=-0.0000001,A50,H49)</f>
        <v>45930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14061.61</v>
      </c>
      <c r="L50" s="28" t="n">
        <f aca="false">L49+K50/$T$1*100</f>
        <v>51.594621875</v>
      </c>
      <c r="M50" s="28" t="n">
        <f aca="false">MAX(0,MAX($L$2:L50))</f>
        <v>56.015878125</v>
      </c>
      <c r="N50" s="28" t="n">
        <f aca="false">L50-M50</f>
        <v>-4.42125625</v>
      </c>
      <c r="O50" s="25" t="n">
        <f aca="false">IF(N50&gt;=-0.0000001,A50,O49)</f>
        <v>45939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45950</v>
      </c>
      <c r="B51" s="26" t="s">
        <v>79</v>
      </c>
      <c r="C51" s="27" t="n">
        <v>21693.76</v>
      </c>
      <c r="D51" s="28" t="n">
        <f aca="false">C51/$T$1*100</f>
        <v>6.7793</v>
      </c>
      <c r="E51" s="28" t="n">
        <f aca="false">E50+D51</f>
        <v>66.592653125</v>
      </c>
      <c r="F51" s="28" t="n">
        <f aca="false">MAX(0,MAX($E$2:E51))</f>
        <v>66.592653125</v>
      </c>
      <c r="G51" s="28" t="n">
        <f aca="false">E51-F51</f>
        <v>0</v>
      </c>
      <c r="H51" s="25" t="n">
        <f aca="false">IF(G51&gt;=-0.0000001,A51,H50)</f>
        <v>45950</v>
      </c>
      <c r="I51" s="29" t="n">
        <f aca="false">IF(AND(G51&gt;=-0.0000001,G50&lt;0),1,0)</f>
        <v>1</v>
      </c>
      <c r="J51" s="30" t="n">
        <f aca="false">IF(I51=1,A51-H50,"")</f>
        <v>20</v>
      </c>
      <c r="K51" s="27" t="n">
        <f aca="false">IF(B51="Wednesday",0,C51)</f>
        <v>21693.76</v>
      </c>
      <c r="L51" s="28" t="n">
        <f aca="false">L50+K51/$T$1*100</f>
        <v>58.373921875</v>
      </c>
      <c r="M51" s="28" t="n">
        <f aca="false">MAX(0,MAX($L$2:L51))</f>
        <v>58.373921875</v>
      </c>
      <c r="N51" s="28" t="n">
        <f aca="false">L51-M51</f>
        <v>0</v>
      </c>
      <c r="O51" s="25" t="n">
        <f aca="false">IF(N51&gt;=-0.0000001,A51,O50)</f>
        <v>45950</v>
      </c>
      <c r="P51" s="29" t="n">
        <f aca="false">IF(AND(N51&gt;=-0.0000001,N50&lt;0),1,0)</f>
        <v>1</v>
      </c>
      <c r="Q51" s="30" t="n">
        <f aca="false">IF(P51=1,A51-O50,"")</f>
        <v>11</v>
      </c>
    </row>
    <row r="52" customFormat="false" ht="15" hidden="false" customHeight="false" outlineLevel="0" collapsed="false">
      <c r="A52" s="25" t="n">
        <v>45953</v>
      </c>
      <c r="B52" s="26" t="s">
        <v>82</v>
      </c>
      <c r="C52" s="27" t="n">
        <v>-35589.96</v>
      </c>
      <c r="D52" s="28" t="n">
        <f aca="false">C52/$T$1*100</f>
        <v>-11.1218625</v>
      </c>
      <c r="E52" s="28" t="n">
        <f aca="false">E51+D52</f>
        <v>55.470790625</v>
      </c>
      <c r="F52" s="28" t="n">
        <f aca="false">MAX(0,MAX($E$2:E52))</f>
        <v>66.592653125</v>
      </c>
      <c r="G52" s="28" t="n">
        <f aca="false">E52-F52</f>
        <v>-11.1218625</v>
      </c>
      <c r="H52" s="25" t="n">
        <f aca="false">IF(G52&gt;=-0.0000001,A52,H51)</f>
        <v>45950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-35589.96</v>
      </c>
      <c r="L52" s="28" t="n">
        <f aca="false">L51+K52/$T$1*100</f>
        <v>47.252059375</v>
      </c>
      <c r="M52" s="28" t="n">
        <f aca="false">MAX(0,MAX($L$2:L52))</f>
        <v>58.373921875</v>
      </c>
      <c r="N52" s="28" t="n">
        <f aca="false">L52-M52</f>
        <v>-11.1218625</v>
      </c>
      <c r="O52" s="25" t="n">
        <f aca="false">IF(N52&gt;=-0.0000001,A52,O51)</f>
        <v>45950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45957</v>
      </c>
      <c r="B53" s="26" t="s">
        <v>79</v>
      </c>
      <c r="C53" s="27" t="n">
        <v>-14706.41</v>
      </c>
      <c r="D53" s="28" t="n">
        <f aca="false">C53/$T$1*100</f>
        <v>-4.595753125</v>
      </c>
      <c r="E53" s="28" t="n">
        <f aca="false">E52+D53</f>
        <v>50.8750375</v>
      </c>
      <c r="F53" s="28" t="n">
        <f aca="false">MAX(0,MAX($E$2:E53))</f>
        <v>66.592653125</v>
      </c>
      <c r="G53" s="28" t="n">
        <f aca="false">E53-F53</f>
        <v>-15.717615625</v>
      </c>
      <c r="H53" s="25" t="n">
        <f aca="false">IF(G53&gt;=-0.0000001,A53,H52)</f>
        <v>45950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-14706.41</v>
      </c>
      <c r="L53" s="28" t="n">
        <f aca="false">L52+K53/$T$1*100</f>
        <v>42.65630625</v>
      </c>
      <c r="M53" s="28" t="n">
        <f aca="false">MAX(0,MAX($L$2:L53))</f>
        <v>58.373921875</v>
      </c>
      <c r="N53" s="28" t="n">
        <f aca="false">L53-M53</f>
        <v>-15.717615625</v>
      </c>
      <c r="O53" s="25" t="n">
        <f aca="false">IF(N53&gt;=-0.0000001,A53,O52)</f>
        <v>45950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45958</v>
      </c>
      <c r="B54" s="26" t="s">
        <v>80</v>
      </c>
      <c r="C54" s="27" t="n">
        <v>-16991.26</v>
      </c>
      <c r="D54" s="28" t="n">
        <f aca="false">C54/$T$1*100</f>
        <v>-5.30976875</v>
      </c>
      <c r="E54" s="28" t="n">
        <f aca="false">E53+D54</f>
        <v>45.56526875</v>
      </c>
      <c r="F54" s="28" t="n">
        <f aca="false">MAX(0,MAX($E$2:E54))</f>
        <v>66.592653125</v>
      </c>
      <c r="G54" s="28" t="n">
        <f aca="false">E54-F54</f>
        <v>-21.027384375</v>
      </c>
      <c r="H54" s="25" t="n">
        <f aca="false">IF(G54&gt;=-0.0000001,A54,H53)</f>
        <v>45950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-16991.26</v>
      </c>
      <c r="L54" s="28" t="n">
        <f aca="false">L53+K54/$T$1*100</f>
        <v>37.3465375</v>
      </c>
      <c r="M54" s="28" t="n">
        <f aca="false">MAX(0,MAX($L$2:L54))</f>
        <v>58.373921875</v>
      </c>
      <c r="N54" s="28" t="n">
        <f aca="false">L54-M54</f>
        <v>-21.027384375</v>
      </c>
      <c r="O54" s="25" t="n">
        <f aca="false">IF(N54&gt;=-0.0000001,A54,O53)</f>
        <v>45950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45959</v>
      </c>
      <c r="B55" s="26" t="s">
        <v>81</v>
      </c>
      <c r="C55" s="27" t="n">
        <v>-14349.3</v>
      </c>
      <c r="D55" s="28" t="n">
        <f aca="false">C55/$T$1*100</f>
        <v>-4.48415625</v>
      </c>
      <c r="E55" s="28" t="n">
        <f aca="false">E54+D55</f>
        <v>41.0811125</v>
      </c>
      <c r="F55" s="28" t="n">
        <f aca="false">MAX(0,MAX($E$2:E55))</f>
        <v>66.592653125</v>
      </c>
      <c r="G55" s="28" t="n">
        <f aca="false">E55-F55</f>
        <v>-25.511540625</v>
      </c>
      <c r="H55" s="25" t="n">
        <f aca="false">IF(G55&gt;=-0.0000001,A55,H54)</f>
        <v>45950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0</v>
      </c>
      <c r="L55" s="28" t="n">
        <f aca="false">L54+K55/$T$1*100</f>
        <v>37.3465375</v>
      </c>
      <c r="M55" s="28" t="n">
        <f aca="false">MAX(0,MAX($L$2:L55))</f>
        <v>58.373921875</v>
      </c>
      <c r="N55" s="28" t="n">
        <f aca="false">L55-M55</f>
        <v>-21.027384375</v>
      </c>
      <c r="O55" s="25" t="n">
        <f aca="false">IF(N55&gt;=-0.0000001,A55,O54)</f>
        <v>45950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45960</v>
      </c>
      <c r="B56" s="26" t="s">
        <v>82</v>
      </c>
      <c r="C56" s="27" t="n">
        <v>28337.01</v>
      </c>
      <c r="D56" s="28" t="n">
        <f aca="false">C56/$T$1*100</f>
        <v>8.855315625</v>
      </c>
      <c r="E56" s="28" t="n">
        <f aca="false">E55+D56</f>
        <v>49.936428125</v>
      </c>
      <c r="F56" s="28" t="n">
        <f aca="false">MAX(0,MAX($E$2:E56))</f>
        <v>66.592653125</v>
      </c>
      <c r="G56" s="28" t="n">
        <f aca="false">E56-F56</f>
        <v>-16.656225</v>
      </c>
      <c r="H56" s="25" t="n">
        <f aca="false">IF(G56&gt;=-0.0000001,A56,H55)</f>
        <v>45950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28337.01</v>
      </c>
      <c r="L56" s="28" t="n">
        <f aca="false">L55+K56/$T$1*100</f>
        <v>46.201853125</v>
      </c>
      <c r="M56" s="28" t="n">
        <f aca="false">MAX(0,MAX($L$2:L56))</f>
        <v>58.373921875</v>
      </c>
      <c r="N56" s="28" t="n">
        <f aca="false">L56-M56</f>
        <v>-12.17206875</v>
      </c>
      <c r="O56" s="25" t="n">
        <f aca="false">IF(N56&gt;=-0.0000001,A56,O55)</f>
        <v>45950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45965</v>
      </c>
      <c r="B57" s="26" t="s">
        <v>80</v>
      </c>
      <c r="C57" s="27" t="n">
        <v>-962.21</v>
      </c>
      <c r="D57" s="28" t="n">
        <f aca="false">C57/$T$1*100</f>
        <v>-0.300690625</v>
      </c>
      <c r="E57" s="28" t="n">
        <f aca="false">E56+D57</f>
        <v>49.6357375</v>
      </c>
      <c r="F57" s="28" t="n">
        <f aca="false">MAX(0,MAX($E$2:E57))</f>
        <v>66.592653125</v>
      </c>
      <c r="G57" s="28" t="n">
        <f aca="false">E57-F57</f>
        <v>-16.956915625</v>
      </c>
      <c r="H57" s="25" t="n">
        <f aca="false">IF(G57&gt;=-0.0000001,A57,H56)</f>
        <v>45950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-962.21</v>
      </c>
      <c r="L57" s="28" t="n">
        <f aca="false">L56+K57/$T$1*100</f>
        <v>45.9011625</v>
      </c>
      <c r="M57" s="28" t="n">
        <f aca="false">MAX(0,MAX($L$2:L57))</f>
        <v>58.373921875</v>
      </c>
      <c r="N57" s="28" t="n">
        <f aca="false">L57-M57</f>
        <v>-12.472759375</v>
      </c>
      <c r="O57" s="25" t="n">
        <f aca="false">IF(N57&gt;=-0.0000001,A57,O56)</f>
        <v>45950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45968</v>
      </c>
      <c r="B58" s="26" t="s">
        <v>83</v>
      </c>
      <c r="C58" s="27" t="n">
        <v>-38242.07</v>
      </c>
      <c r="D58" s="28" t="n">
        <f aca="false">C58/$T$1*100</f>
        <v>-11.950646875</v>
      </c>
      <c r="E58" s="28" t="n">
        <f aca="false">E57+D58</f>
        <v>37.685090625</v>
      </c>
      <c r="F58" s="28" t="n">
        <f aca="false">MAX(0,MAX($E$2:E58))</f>
        <v>66.592653125</v>
      </c>
      <c r="G58" s="28" t="n">
        <f aca="false">E58-F58</f>
        <v>-28.9075625</v>
      </c>
      <c r="H58" s="25" t="n">
        <f aca="false">IF(G58&gt;=-0.0000001,A58,H57)</f>
        <v>45950</v>
      </c>
      <c r="I58" s="29" t="n">
        <f aca="false">IF(AND(G58&gt;=-0.0000001,G57&lt;0),1,0)</f>
        <v>0</v>
      </c>
      <c r="J58" s="30" t="str">
        <f aca="false">IF(I58=1,A58-H57,"")</f>
        <v/>
      </c>
      <c r="K58" s="27" t="n">
        <f aca="false">IF(B58="Wednesday",0,C58)</f>
        <v>-38242.07</v>
      </c>
      <c r="L58" s="28" t="n">
        <f aca="false">L57+K58/$T$1*100</f>
        <v>33.950515625</v>
      </c>
      <c r="M58" s="28" t="n">
        <f aca="false">MAX(0,MAX($L$2:L58))</f>
        <v>58.373921875</v>
      </c>
      <c r="N58" s="28" t="n">
        <f aca="false">L58-M58</f>
        <v>-24.42340625</v>
      </c>
      <c r="O58" s="25" t="n">
        <f aca="false">IF(N58&gt;=-0.0000001,A58,O57)</f>
        <v>45950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45971</v>
      </c>
      <c r="B59" s="26" t="s">
        <v>79</v>
      </c>
      <c r="C59" s="27" t="n">
        <v>21132.95</v>
      </c>
      <c r="D59" s="28" t="n">
        <f aca="false">C59/$T$1*100</f>
        <v>6.604046875</v>
      </c>
      <c r="E59" s="28" t="n">
        <f aca="false">E58+D59</f>
        <v>44.2891375</v>
      </c>
      <c r="F59" s="28" t="n">
        <f aca="false">MAX(0,MAX($E$2:E59))</f>
        <v>66.592653125</v>
      </c>
      <c r="G59" s="28" t="n">
        <f aca="false">E59-F59</f>
        <v>-22.303515625</v>
      </c>
      <c r="H59" s="25" t="n">
        <f aca="false">IF(G59&gt;=-0.0000001,A59,H58)</f>
        <v>45950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21132.95</v>
      </c>
      <c r="L59" s="28" t="n">
        <f aca="false">L58+K59/$T$1*100</f>
        <v>40.5545625</v>
      </c>
      <c r="M59" s="28" t="n">
        <f aca="false">MAX(0,MAX($L$2:L59))</f>
        <v>58.373921875</v>
      </c>
      <c r="N59" s="28" t="n">
        <f aca="false">L59-M59</f>
        <v>-17.819359375</v>
      </c>
      <c r="O59" s="25" t="n">
        <f aca="false">IF(N59&gt;=-0.0000001,A59,O58)</f>
        <v>45950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45974</v>
      </c>
      <c r="B60" s="26" t="s">
        <v>82</v>
      </c>
      <c r="C60" s="27" t="n">
        <v>-3780.84</v>
      </c>
      <c r="D60" s="28" t="n">
        <f aca="false">C60/$T$1*100</f>
        <v>-1.1815125</v>
      </c>
      <c r="E60" s="28" t="n">
        <f aca="false">E59+D60</f>
        <v>43.107625</v>
      </c>
      <c r="F60" s="28" t="n">
        <f aca="false">MAX(0,MAX($E$2:E60))</f>
        <v>66.592653125</v>
      </c>
      <c r="G60" s="28" t="n">
        <f aca="false">E60-F60</f>
        <v>-23.485028125</v>
      </c>
      <c r="H60" s="25" t="n">
        <f aca="false">IF(G60&gt;=-0.0000001,A60,H59)</f>
        <v>45950</v>
      </c>
      <c r="I60" s="29" t="n">
        <f aca="false">IF(AND(G60&gt;=-0.0000001,G59&lt;0),1,0)</f>
        <v>0</v>
      </c>
      <c r="J60" s="30" t="str">
        <f aca="false">IF(I60=1,A60-H59,"")</f>
        <v/>
      </c>
      <c r="K60" s="27" t="n">
        <f aca="false">IF(B60="Wednesday",0,C60)</f>
        <v>-3780.84</v>
      </c>
      <c r="L60" s="28" t="n">
        <f aca="false">L59+K60/$T$1*100</f>
        <v>39.37305</v>
      </c>
      <c r="M60" s="28" t="n">
        <f aca="false">MAX(0,MAX($L$2:L60))</f>
        <v>58.373921875</v>
      </c>
      <c r="N60" s="28" t="n">
        <f aca="false">L60-M60</f>
        <v>-19.000871875</v>
      </c>
      <c r="O60" s="25" t="n">
        <f aca="false">IF(N60&gt;=-0.0000001,A60,O59)</f>
        <v>45950</v>
      </c>
      <c r="P60" s="29" t="n">
        <f aca="false">IF(AND(N60&gt;=-0.0000001,N59&lt;0),1,0)</f>
        <v>0</v>
      </c>
      <c r="Q60" s="30" t="str">
        <f aca="false">IF(P60=1,A60-O59,"")</f>
        <v/>
      </c>
    </row>
    <row r="61" customFormat="false" ht="15" hidden="false" customHeight="false" outlineLevel="0" collapsed="false">
      <c r="A61" s="25" t="n">
        <v>45975</v>
      </c>
      <c r="B61" s="26" t="s">
        <v>83</v>
      </c>
      <c r="C61" s="27" t="n">
        <v>-14234.75</v>
      </c>
      <c r="D61" s="28" t="n">
        <f aca="false">C61/$T$1*100</f>
        <v>-4.448359375</v>
      </c>
      <c r="E61" s="28" t="n">
        <f aca="false">E60+D61</f>
        <v>38.659265625</v>
      </c>
      <c r="F61" s="28" t="n">
        <f aca="false">MAX(0,MAX($E$2:E61))</f>
        <v>66.592653125</v>
      </c>
      <c r="G61" s="28" t="n">
        <f aca="false">E61-F61</f>
        <v>-27.9333875</v>
      </c>
      <c r="H61" s="25" t="n">
        <f aca="false">IF(G61&gt;=-0.0000001,A61,H60)</f>
        <v>45950</v>
      </c>
      <c r="I61" s="29" t="n">
        <f aca="false">IF(AND(G61&gt;=-0.0000001,G60&lt;0),1,0)</f>
        <v>0</v>
      </c>
      <c r="J61" s="30" t="str">
        <f aca="false">IF(I61=1,A61-H60,"")</f>
        <v/>
      </c>
      <c r="K61" s="27" t="n">
        <f aca="false">IF(B61="Wednesday",0,C61)</f>
        <v>-14234.75</v>
      </c>
      <c r="L61" s="28" t="n">
        <f aca="false">L60+K61/$T$1*100</f>
        <v>34.924690625</v>
      </c>
      <c r="M61" s="28" t="n">
        <f aca="false">MAX(0,MAX($L$2:L61))</f>
        <v>58.373921875</v>
      </c>
      <c r="N61" s="28" t="n">
        <f aca="false">L61-M61</f>
        <v>-23.44923125</v>
      </c>
      <c r="O61" s="25" t="n">
        <f aca="false">IF(N61&gt;=-0.0000001,A61,O60)</f>
        <v>45950</v>
      </c>
      <c r="P61" s="29" t="n">
        <f aca="false">IF(AND(N61&gt;=-0.0000001,N60&lt;0),1,0)</f>
        <v>0</v>
      </c>
      <c r="Q61" s="30" t="str">
        <f aca="false">IF(P61=1,A61-O60,"")</f>
        <v/>
      </c>
    </row>
    <row r="62" customFormat="false" ht="15" hidden="false" customHeight="false" outlineLevel="0" collapsed="false">
      <c r="A62" s="25" t="n">
        <v>45979</v>
      </c>
      <c r="B62" s="26" t="s">
        <v>80</v>
      </c>
      <c r="C62" s="27" t="n">
        <v>22674.44</v>
      </c>
      <c r="D62" s="28" t="n">
        <f aca="false">C62/$T$1*100</f>
        <v>7.0857625</v>
      </c>
      <c r="E62" s="28" t="n">
        <f aca="false">E61+D62</f>
        <v>45.745028125</v>
      </c>
      <c r="F62" s="28" t="n">
        <f aca="false">MAX(0,MAX($E$2:E62))</f>
        <v>66.592653125</v>
      </c>
      <c r="G62" s="28" t="n">
        <f aca="false">E62-F62</f>
        <v>-20.847625</v>
      </c>
      <c r="H62" s="25" t="n">
        <f aca="false">IF(G62&gt;=-0.0000001,A62,H61)</f>
        <v>45950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22674.44</v>
      </c>
      <c r="L62" s="28" t="n">
        <f aca="false">L61+K62/$T$1*100</f>
        <v>42.010453125</v>
      </c>
      <c r="M62" s="28" t="n">
        <f aca="false">MAX(0,MAX($L$2:L62))</f>
        <v>58.373921875</v>
      </c>
      <c r="N62" s="28" t="n">
        <f aca="false">L62-M62</f>
        <v>-16.36346875</v>
      </c>
      <c r="O62" s="25" t="n">
        <f aca="false">IF(N62&gt;=-0.0000001,A62,O61)</f>
        <v>45950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45981</v>
      </c>
      <c r="B63" s="26" t="s">
        <v>82</v>
      </c>
      <c r="C63" s="27" t="n">
        <v>19276.76</v>
      </c>
      <c r="D63" s="28" t="n">
        <f aca="false">C63/$T$1*100</f>
        <v>6.0239875</v>
      </c>
      <c r="E63" s="28" t="n">
        <f aca="false">E62+D63</f>
        <v>51.769015625</v>
      </c>
      <c r="F63" s="28" t="n">
        <f aca="false">MAX(0,MAX($E$2:E63))</f>
        <v>66.592653125</v>
      </c>
      <c r="G63" s="28" t="n">
        <f aca="false">E63-F63</f>
        <v>-14.8236375</v>
      </c>
      <c r="H63" s="25" t="n">
        <f aca="false">IF(G63&gt;=-0.0000001,A63,H62)</f>
        <v>45950</v>
      </c>
      <c r="I63" s="29" t="n">
        <f aca="false">IF(AND(G63&gt;=-0.0000001,G62&lt;0),1,0)</f>
        <v>0</v>
      </c>
      <c r="J63" s="30" t="str">
        <f aca="false">IF(I63=1,A63-H62,"")</f>
        <v/>
      </c>
      <c r="K63" s="27" t="n">
        <f aca="false">IF(B63="Wednesday",0,C63)</f>
        <v>19276.76</v>
      </c>
      <c r="L63" s="28" t="n">
        <f aca="false">L62+K63/$T$1*100</f>
        <v>48.034440625</v>
      </c>
      <c r="M63" s="28" t="n">
        <f aca="false">MAX(0,MAX($L$2:L63))</f>
        <v>58.373921875</v>
      </c>
      <c r="N63" s="28" t="n">
        <f aca="false">L63-M63</f>
        <v>-10.33948125</v>
      </c>
      <c r="O63" s="25" t="n">
        <f aca="false">IF(N63&gt;=-0.0000001,A63,O62)</f>
        <v>45950</v>
      </c>
      <c r="P63" s="29" t="n">
        <f aca="false">IF(AND(N63&gt;=-0.0000001,N62&lt;0),1,0)</f>
        <v>0</v>
      </c>
      <c r="Q63" s="30" t="str">
        <f aca="false">IF(P63=1,A63-O62,"")</f>
        <v/>
      </c>
    </row>
    <row r="64" customFormat="false" ht="15" hidden="false" customHeight="false" outlineLevel="0" collapsed="false">
      <c r="A64" s="25" t="n">
        <v>45982</v>
      </c>
      <c r="B64" s="26" t="s">
        <v>83</v>
      </c>
      <c r="C64" s="27" t="n">
        <v>-28121.74</v>
      </c>
      <c r="D64" s="28" t="n">
        <f aca="false">C64/$T$1*100</f>
        <v>-8.78804375</v>
      </c>
      <c r="E64" s="28" t="n">
        <f aca="false">E63+D64</f>
        <v>42.980971875</v>
      </c>
      <c r="F64" s="28" t="n">
        <f aca="false">MAX(0,MAX($E$2:E64))</f>
        <v>66.592653125</v>
      </c>
      <c r="G64" s="28" t="n">
        <f aca="false">E64-F64</f>
        <v>-23.61168125</v>
      </c>
      <c r="H64" s="25" t="n">
        <f aca="false">IF(G64&gt;=-0.0000001,A64,H63)</f>
        <v>45950</v>
      </c>
      <c r="I64" s="29" t="n">
        <f aca="false">IF(AND(G64&gt;=-0.0000001,G63&lt;0),1,0)</f>
        <v>0</v>
      </c>
      <c r="J64" s="30" t="str">
        <f aca="false">IF(I64=1,A64-H63,"")</f>
        <v/>
      </c>
      <c r="K64" s="27" t="n">
        <f aca="false">IF(B64="Wednesday",0,C64)</f>
        <v>-28121.74</v>
      </c>
      <c r="L64" s="28" t="n">
        <f aca="false">L63+K64/$T$1*100</f>
        <v>39.246396875</v>
      </c>
      <c r="M64" s="28" t="n">
        <f aca="false">MAX(0,MAX($L$2:L64))</f>
        <v>58.373921875</v>
      </c>
      <c r="N64" s="28" t="n">
        <f aca="false">L64-M64</f>
        <v>-19.127525</v>
      </c>
      <c r="O64" s="25" t="n">
        <f aca="false">IF(N64&gt;=-0.0000001,A64,O63)</f>
        <v>45950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45985</v>
      </c>
      <c r="B65" s="26" t="s">
        <v>79</v>
      </c>
      <c r="C65" s="27" t="n">
        <v>-27984.32</v>
      </c>
      <c r="D65" s="28" t="n">
        <f aca="false">C65/$T$1*100</f>
        <v>-8.7451</v>
      </c>
      <c r="E65" s="28" t="n">
        <f aca="false">E64+D65</f>
        <v>34.235871875</v>
      </c>
      <c r="F65" s="28" t="n">
        <f aca="false">MAX(0,MAX($E$2:E65))</f>
        <v>66.592653125</v>
      </c>
      <c r="G65" s="28" t="n">
        <f aca="false">E65-F65</f>
        <v>-32.35678125</v>
      </c>
      <c r="H65" s="25" t="n">
        <f aca="false">IF(G65&gt;=-0.0000001,A65,H64)</f>
        <v>45950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-27984.32</v>
      </c>
      <c r="L65" s="28" t="n">
        <f aca="false">L64+K65/$T$1*100</f>
        <v>30.501296875</v>
      </c>
      <c r="M65" s="28" t="n">
        <f aca="false">MAX(0,MAX($L$2:L65))</f>
        <v>58.373921875</v>
      </c>
      <c r="N65" s="28" t="n">
        <f aca="false">L65-M65</f>
        <v>-27.872625</v>
      </c>
      <c r="O65" s="25" t="n">
        <f aca="false">IF(N65&gt;=-0.0000001,A65,O64)</f>
        <v>45950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45988</v>
      </c>
      <c r="B66" s="26" t="s">
        <v>82</v>
      </c>
      <c r="C66" s="27" t="n">
        <v>10247.53</v>
      </c>
      <c r="D66" s="28" t="n">
        <f aca="false">C66/$T$1*100</f>
        <v>3.202353125</v>
      </c>
      <c r="E66" s="28" t="n">
        <f aca="false">E65+D66</f>
        <v>37.438225</v>
      </c>
      <c r="F66" s="28" t="n">
        <f aca="false">MAX(0,MAX($E$2:E66))</f>
        <v>66.592653125</v>
      </c>
      <c r="G66" s="28" t="n">
        <f aca="false">E66-F66</f>
        <v>-29.154428125</v>
      </c>
      <c r="H66" s="25" t="n">
        <f aca="false">IF(G66&gt;=-0.0000001,A66,H65)</f>
        <v>45950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10247.53</v>
      </c>
      <c r="L66" s="28" t="n">
        <f aca="false">L65+K66/$T$1*100</f>
        <v>33.70365</v>
      </c>
      <c r="M66" s="28" t="n">
        <f aca="false">MAX(0,MAX($L$2:L66))</f>
        <v>58.373921875</v>
      </c>
      <c r="N66" s="28" t="n">
        <f aca="false">L66-M66</f>
        <v>-24.670271875</v>
      </c>
      <c r="O66" s="25" t="n">
        <f aca="false">IF(N66&gt;=-0.0000001,A66,O65)</f>
        <v>45950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45992</v>
      </c>
      <c r="B67" s="26" t="s">
        <v>79</v>
      </c>
      <c r="C67" s="27" t="n">
        <v>20629.73</v>
      </c>
      <c r="D67" s="28" t="n">
        <f aca="false">C67/$T$1*100</f>
        <v>6.446790625</v>
      </c>
      <c r="E67" s="28" t="n">
        <f aca="false">E66+D67</f>
        <v>43.885015625</v>
      </c>
      <c r="F67" s="28" t="n">
        <f aca="false">MAX(0,MAX($E$2:E67))</f>
        <v>66.592653125</v>
      </c>
      <c r="G67" s="28" t="n">
        <f aca="false">E67-F67</f>
        <v>-22.7076375</v>
      </c>
      <c r="H67" s="25" t="n">
        <f aca="false">IF(G67&gt;=-0.0000001,A67,H66)</f>
        <v>45950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20629.73</v>
      </c>
      <c r="L67" s="28" t="n">
        <f aca="false">L66+K67/$T$1*100</f>
        <v>40.150440625</v>
      </c>
      <c r="M67" s="28" t="n">
        <f aca="false">MAX(0,MAX($L$2:L67))</f>
        <v>58.373921875</v>
      </c>
      <c r="N67" s="28" t="n">
        <f aca="false">L67-M67</f>
        <v>-18.22348125</v>
      </c>
      <c r="O67" s="25" t="n">
        <f aca="false">IF(N67&gt;=-0.0000001,A67,O66)</f>
        <v>45950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45995</v>
      </c>
      <c r="B68" s="26" t="s">
        <v>82</v>
      </c>
      <c r="C68" s="27" t="n">
        <v>15302.55</v>
      </c>
      <c r="D68" s="28" t="n">
        <f aca="false">C68/$T$1*100</f>
        <v>4.782046875</v>
      </c>
      <c r="E68" s="28" t="n">
        <f aca="false">E67+D68</f>
        <v>48.6670625</v>
      </c>
      <c r="F68" s="28" t="n">
        <f aca="false">MAX(0,MAX($E$2:E68))</f>
        <v>66.592653125</v>
      </c>
      <c r="G68" s="28" t="n">
        <f aca="false">E68-F68</f>
        <v>-17.925590625</v>
      </c>
      <c r="H68" s="25" t="n">
        <f aca="false">IF(G68&gt;=-0.0000001,A68,H67)</f>
        <v>45950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15302.55</v>
      </c>
      <c r="L68" s="28" t="n">
        <f aca="false">L67+K68/$T$1*100</f>
        <v>44.9324875</v>
      </c>
      <c r="M68" s="28" t="n">
        <f aca="false">MAX(0,MAX($L$2:L68))</f>
        <v>58.373921875</v>
      </c>
      <c r="N68" s="28" t="n">
        <f aca="false">L68-M68</f>
        <v>-13.441434375</v>
      </c>
      <c r="O68" s="25" t="n">
        <f aca="false">IF(N68&gt;=-0.0000001,A68,O67)</f>
        <v>45950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45999</v>
      </c>
      <c r="B69" s="26" t="s">
        <v>79</v>
      </c>
      <c r="C69" s="27" t="n">
        <v>-26888.38</v>
      </c>
      <c r="D69" s="28" t="n">
        <f aca="false">C69/$T$1*100</f>
        <v>-8.40261875</v>
      </c>
      <c r="E69" s="28" t="n">
        <f aca="false">E68+D69</f>
        <v>40.26444375</v>
      </c>
      <c r="F69" s="28" t="n">
        <f aca="false">MAX(0,MAX($E$2:E69))</f>
        <v>66.592653125</v>
      </c>
      <c r="G69" s="28" t="n">
        <f aca="false">E69-F69</f>
        <v>-26.328209375</v>
      </c>
      <c r="H69" s="25" t="n">
        <f aca="false">IF(G69&gt;=-0.0000001,A69,H68)</f>
        <v>45950</v>
      </c>
      <c r="I69" s="29" t="n">
        <f aca="false">IF(AND(G69&gt;=-0.0000001,G68&lt;0),1,0)</f>
        <v>0</v>
      </c>
      <c r="J69" s="30" t="str">
        <f aca="false">IF(I69=1,A69-H68,"")</f>
        <v/>
      </c>
      <c r="K69" s="27" t="n">
        <f aca="false">IF(B69="Wednesday",0,C69)</f>
        <v>-26888.38</v>
      </c>
      <c r="L69" s="28" t="n">
        <f aca="false">L68+K69/$T$1*100</f>
        <v>36.52986875</v>
      </c>
      <c r="M69" s="28" t="n">
        <f aca="false">MAX(0,MAX($L$2:L69))</f>
        <v>58.373921875</v>
      </c>
      <c r="N69" s="28" t="n">
        <f aca="false">L69-M69</f>
        <v>-21.844053125</v>
      </c>
      <c r="O69" s="25" t="n">
        <f aca="false">IF(N69&gt;=-0.0000001,A69,O68)</f>
        <v>45950</v>
      </c>
      <c r="P69" s="29" t="n">
        <f aca="false">IF(AND(N69&gt;=-0.0000001,N68&lt;0),1,0)</f>
        <v>0</v>
      </c>
      <c r="Q69" s="30" t="str">
        <f aca="false">IF(P69=1,A69-O68,"")</f>
        <v/>
      </c>
    </row>
    <row r="70" customFormat="false" ht="15" hidden="false" customHeight="false" outlineLevel="0" collapsed="false">
      <c r="A70" s="25" t="n">
        <v>46000</v>
      </c>
      <c r="B70" s="26" t="s">
        <v>80</v>
      </c>
      <c r="C70" s="27" t="n">
        <v>21212.67</v>
      </c>
      <c r="D70" s="28" t="n">
        <f aca="false">C70/$T$1*100</f>
        <v>6.628959375</v>
      </c>
      <c r="E70" s="28" t="n">
        <f aca="false">E69+D70</f>
        <v>46.893403125</v>
      </c>
      <c r="F70" s="28" t="n">
        <f aca="false">MAX(0,MAX($E$2:E70))</f>
        <v>66.592653125</v>
      </c>
      <c r="G70" s="28" t="n">
        <f aca="false">E70-F70</f>
        <v>-19.69925</v>
      </c>
      <c r="H70" s="25" t="n">
        <f aca="false">IF(G70&gt;=-0.0000001,A70,H69)</f>
        <v>45950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21212.67</v>
      </c>
      <c r="L70" s="28" t="n">
        <f aca="false">L69+K70/$T$1*100</f>
        <v>43.158828125</v>
      </c>
      <c r="M70" s="28" t="n">
        <f aca="false">MAX(0,MAX($L$2:L70))</f>
        <v>58.373921875</v>
      </c>
      <c r="N70" s="28" t="n">
        <f aca="false">L70-M70</f>
        <v>-15.21509375</v>
      </c>
      <c r="O70" s="25" t="n">
        <f aca="false">IF(N70&gt;=-0.0000001,A70,O69)</f>
        <v>45950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46001</v>
      </c>
      <c r="B71" s="26" t="s">
        <v>81</v>
      </c>
      <c r="C71" s="27" t="n">
        <v>-13613.64</v>
      </c>
      <c r="D71" s="28" t="n">
        <f aca="false">C71/$T$1*100</f>
        <v>-4.2542625</v>
      </c>
      <c r="E71" s="28" t="n">
        <f aca="false">E70+D71</f>
        <v>42.639140625</v>
      </c>
      <c r="F71" s="28" t="n">
        <f aca="false">MAX(0,MAX($E$2:E71))</f>
        <v>66.592653125</v>
      </c>
      <c r="G71" s="28" t="n">
        <f aca="false">E71-F71</f>
        <v>-23.9535125</v>
      </c>
      <c r="H71" s="25" t="n">
        <f aca="false">IF(G71&gt;=-0.0000001,A71,H70)</f>
        <v>45950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0</v>
      </c>
      <c r="L71" s="28" t="n">
        <f aca="false">L70+K71/$T$1*100</f>
        <v>43.158828125</v>
      </c>
      <c r="M71" s="28" t="n">
        <f aca="false">MAX(0,MAX($L$2:L71))</f>
        <v>58.373921875</v>
      </c>
      <c r="N71" s="28" t="n">
        <f aca="false">L71-M71</f>
        <v>-15.21509375</v>
      </c>
      <c r="O71" s="25" t="n">
        <f aca="false">IF(N71&gt;=-0.0000001,A71,O70)</f>
        <v>45950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46002</v>
      </c>
      <c r="B72" s="26" t="s">
        <v>82</v>
      </c>
      <c r="C72" s="27" t="n">
        <v>13958.25</v>
      </c>
      <c r="D72" s="28" t="n">
        <f aca="false">C72/$T$1*100</f>
        <v>4.361953125</v>
      </c>
      <c r="E72" s="28" t="n">
        <f aca="false">E71+D72</f>
        <v>47.00109375</v>
      </c>
      <c r="F72" s="28" t="n">
        <f aca="false">MAX(0,MAX($E$2:E72))</f>
        <v>66.592653125</v>
      </c>
      <c r="G72" s="28" t="n">
        <f aca="false">E72-F72</f>
        <v>-19.591559375</v>
      </c>
      <c r="H72" s="25" t="n">
        <f aca="false">IF(G72&gt;=-0.0000001,A72,H71)</f>
        <v>45950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13958.25</v>
      </c>
      <c r="L72" s="28" t="n">
        <f aca="false">L71+K72/$T$1*100</f>
        <v>47.52078125</v>
      </c>
      <c r="M72" s="28" t="n">
        <f aca="false">MAX(0,MAX($L$2:L72))</f>
        <v>58.373921875</v>
      </c>
      <c r="N72" s="28" t="n">
        <f aca="false">L72-M72</f>
        <v>-10.853140625</v>
      </c>
      <c r="O72" s="25" t="n">
        <f aca="false">IF(N72&gt;=-0.0000001,A72,O71)</f>
        <v>45950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46006</v>
      </c>
      <c r="B73" s="26" t="s">
        <v>79</v>
      </c>
      <c r="C73" s="27" t="n">
        <v>7202.68</v>
      </c>
      <c r="D73" s="28" t="n">
        <f aca="false">C73/$T$1*100</f>
        <v>2.2508375</v>
      </c>
      <c r="E73" s="28" t="n">
        <f aca="false">E72+D73</f>
        <v>49.25193125</v>
      </c>
      <c r="F73" s="28" t="n">
        <f aca="false">MAX(0,MAX($E$2:E73))</f>
        <v>66.592653125</v>
      </c>
      <c r="G73" s="28" t="n">
        <f aca="false">E73-F73</f>
        <v>-17.340721875</v>
      </c>
      <c r="H73" s="25" t="n">
        <f aca="false">IF(G73&gt;=-0.0000001,A73,H72)</f>
        <v>45950</v>
      </c>
      <c r="I73" s="29" t="n">
        <f aca="false">IF(AND(G73&gt;=-0.0000001,G72&lt;0),1,0)</f>
        <v>0</v>
      </c>
      <c r="J73" s="30" t="str">
        <f aca="false">IF(I73=1,A73-H72,"")</f>
        <v/>
      </c>
      <c r="K73" s="27" t="n">
        <f aca="false">IF(B73="Wednesday",0,C73)</f>
        <v>7202.68</v>
      </c>
      <c r="L73" s="28" t="n">
        <f aca="false">L72+K73/$T$1*100</f>
        <v>49.77161875</v>
      </c>
      <c r="M73" s="28" t="n">
        <f aca="false">MAX(0,MAX($L$2:L73))</f>
        <v>58.373921875</v>
      </c>
      <c r="N73" s="28" t="n">
        <f aca="false">L73-M73</f>
        <v>-8.60230312500001</v>
      </c>
      <c r="O73" s="25" t="n">
        <f aca="false">IF(N73&gt;=-0.0000001,A73,O72)</f>
        <v>45950</v>
      </c>
      <c r="P73" s="29" t="n">
        <f aca="false">IF(AND(N73&gt;=-0.0000001,N72&lt;0),1,0)</f>
        <v>0</v>
      </c>
      <c r="Q73" s="30" t="str">
        <f aca="false">IF(P73=1,A73-O72,"")</f>
        <v/>
      </c>
    </row>
    <row r="74" customFormat="false" ht="15" hidden="false" customHeight="false" outlineLevel="0" collapsed="false">
      <c r="A74" s="25" t="n">
        <v>46009</v>
      </c>
      <c r="B74" s="26" t="s">
        <v>82</v>
      </c>
      <c r="C74" s="27" t="n">
        <v>8194.31</v>
      </c>
      <c r="D74" s="28" t="n">
        <f aca="false">C74/$T$1*100</f>
        <v>2.560721875</v>
      </c>
      <c r="E74" s="28" t="n">
        <f aca="false">E73+D74</f>
        <v>51.812653125</v>
      </c>
      <c r="F74" s="28" t="n">
        <f aca="false">MAX(0,MAX($E$2:E74))</f>
        <v>66.592653125</v>
      </c>
      <c r="G74" s="28" t="n">
        <f aca="false">E74-F74</f>
        <v>-14.78</v>
      </c>
      <c r="H74" s="25" t="n">
        <f aca="false">IF(G74&gt;=-0.0000001,A74,H73)</f>
        <v>45950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8194.31</v>
      </c>
      <c r="L74" s="28" t="n">
        <f aca="false">L73+K74/$T$1*100</f>
        <v>52.332340625</v>
      </c>
      <c r="M74" s="28" t="n">
        <f aca="false">MAX(0,MAX($L$2:L74))</f>
        <v>58.373921875</v>
      </c>
      <c r="N74" s="28" t="n">
        <f aca="false">L74-M74</f>
        <v>-6.04158125000001</v>
      </c>
      <c r="O74" s="25" t="n">
        <f aca="false">IF(N74&gt;=-0.0000001,A74,O73)</f>
        <v>45950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46013</v>
      </c>
      <c r="B75" s="26" t="s">
        <v>79</v>
      </c>
      <c r="C75" s="27" t="n">
        <v>20725.14</v>
      </c>
      <c r="D75" s="28" t="n">
        <f aca="false">C75/$T$1*100</f>
        <v>6.47660625</v>
      </c>
      <c r="E75" s="28" t="n">
        <f aca="false">E74+D75</f>
        <v>58.289259375</v>
      </c>
      <c r="F75" s="28" t="n">
        <f aca="false">MAX(0,MAX($E$2:E75))</f>
        <v>66.592653125</v>
      </c>
      <c r="G75" s="28" t="n">
        <f aca="false">E75-F75</f>
        <v>-8.30339375000001</v>
      </c>
      <c r="H75" s="25" t="n">
        <f aca="false">IF(G75&gt;=-0.0000001,A75,H74)</f>
        <v>45950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20725.14</v>
      </c>
      <c r="L75" s="28" t="n">
        <f aca="false">L74+K75/$T$1*100</f>
        <v>58.808946875</v>
      </c>
      <c r="M75" s="28" t="n">
        <f aca="false">MAX(0,MAX($L$2:L75))</f>
        <v>58.808946875</v>
      </c>
      <c r="N75" s="28" t="n">
        <f aca="false">L75-M75</f>
        <v>0</v>
      </c>
      <c r="O75" s="25" t="n">
        <f aca="false">IF(N75&gt;=-0.0000001,A75,O74)</f>
        <v>46013</v>
      </c>
      <c r="P75" s="29" t="n">
        <f aca="false">IF(AND(N75&gt;=-0.0000001,N74&lt;0),1,0)</f>
        <v>1</v>
      </c>
      <c r="Q75" s="30" t="n">
        <f aca="false">IF(P75=1,A75-O74,"")</f>
        <v>63</v>
      </c>
    </row>
    <row r="76" customFormat="false" ht="15" hidden="false" customHeight="false" outlineLevel="0" collapsed="false">
      <c r="A76" s="25" t="n">
        <v>46015</v>
      </c>
      <c r="B76" s="26" t="s">
        <v>81</v>
      </c>
      <c r="C76" s="27" t="n">
        <v>-13208.92</v>
      </c>
      <c r="D76" s="28" t="n">
        <f aca="false">C76/$T$1*100</f>
        <v>-4.1277875</v>
      </c>
      <c r="E76" s="28" t="n">
        <f aca="false">E75+D76</f>
        <v>54.161471875</v>
      </c>
      <c r="F76" s="28" t="n">
        <f aca="false">MAX(0,MAX($E$2:E76))</f>
        <v>66.592653125</v>
      </c>
      <c r="G76" s="28" t="n">
        <f aca="false">E76-F76</f>
        <v>-12.43118125</v>
      </c>
      <c r="H76" s="25" t="n">
        <f aca="false">IF(G76&gt;=-0.0000001,A76,H75)</f>
        <v>45950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0</v>
      </c>
      <c r="L76" s="28" t="n">
        <f aca="false">L75+K76/$T$1*100</f>
        <v>58.808946875</v>
      </c>
      <c r="M76" s="28" t="n">
        <f aca="false">MAX(0,MAX($L$2:L76))</f>
        <v>58.808946875</v>
      </c>
      <c r="N76" s="28" t="n">
        <f aca="false">L76-M76</f>
        <v>0</v>
      </c>
      <c r="O76" s="25" t="n">
        <f aca="false">IF(N76&gt;=-0.0000001,A76,O75)</f>
        <v>46015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46020</v>
      </c>
      <c r="B77" s="26" t="s">
        <v>79</v>
      </c>
      <c r="C77" s="27" t="n">
        <v>17382.58</v>
      </c>
      <c r="D77" s="28" t="n">
        <f aca="false">C77/$T$1*100</f>
        <v>5.43205625</v>
      </c>
      <c r="E77" s="28" t="n">
        <f aca="false">E76+D77</f>
        <v>59.593528125</v>
      </c>
      <c r="F77" s="28" t="n">
        <f aca="false">MAX(0,MAX($E$2:E77))</f>
        <v>66.592653125</v>
      </c>
      <c r="G77" s="28" t="n">
        <f aca="false">E77-F77</f>
        <v>-6.99912500000001</v>
      </c>
      <c r="H77" s="25" t="n">
        <f aca="false">IF(G77&gt;=-0.0000001,A77,H76)</f>
        <v>45950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17382.58</v>
      </c>
      <c r="L77" s="28" t="n">
        <f aca="false">L76+K77/$T$1*100</f>
        <v>64.241003125</v>
      </c>
      <c r="M77" s="28" t="n">
        <f aca="false">MAX(0,MAX($L$2:L77))</f>
        <v>64.241003125</v>
      </c>
      <c r="N77" s="28" t="n">
        <f aca="false">L77-M77</f>
        <v>0</v>
      </c>
      <c r="O77" s="25" t="n">
        <f aca="false">IF(N77&gt;=-0.0000001,A77,O76)</f>
        <v>46020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46023</v>
      </c>
      <c r="B78" s="26" t="s">
        <v>82</v>
      </c>
      <c r="C78" s="27" t="n">
        <v>10527.37</v>
      </c>
      <c r="D78" s="28" t="n">
        <f aca="false">C78/$T$1*100</f>
        <v>3.289803125</v>
      </c>
      <c r="E78" s="28" t="n">
        <f aca="false">E77+D78</f>
        <v>62.88333125</v>
      </c>
      <c r="F78" s="28" t="n">
        <f aca="false">MAX(0,MAX($E$2:E78))</f>
        <v>66.592653125</v>
      </c>
      <c r="G78" s="28" t="n">
        <f aca="false">E78-F78</f>
        <v>-3.70932187500001</v>
      </c>
      <c r="H78" s="25" t="n">
        <f aca="false">IF(G78&gt;=-0.0000001,A78,H77)</f>
        <v>45950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10527.37</v>
      </c>
      <c r="L78" s="28" t="n">
        <f aca="false">L77+K78/$T$1*100</f>
        <v>67.53080625</v>
      </c>
      <c r="M78" s="28" t="n">
        <f aca="false">MAX(0,MAX($L$2:L78))</f>
        <v>67.53080625</v>
      </c>
      <c r="N78" s="28" t="n">
        <f aca="false">L78-M78</f>
        <v>0</v>
      </c>
      <c r="O78" s="25" t="n">
        <f aca="false">IF(N78&gt;=-0.0000001,A78,O77)</f>
        <v>46023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46024</v>
      </c>
      <c r="B79" s="26" t="s">
        <v>83</v>
      </c>
      <c r="C79" s="27" t="n">
        <v>-13476.2</v>
      </c>
      <c r="D79" s="28" t="n">
        <f aca="false">C79/$T$1*100</f>
        <v>-4.2113125</v>
      </c>
      <c r="E79" s="28" t="n">
        <f aca="false">E78+D79</f>
        <v>58.67201875</v>
      </c>
      <c r="F79" s="28" t="n">
        <f aca="false">MAX(0,MAX($E$2:E79))</f>
        <v>66.592653125</v>
      </c>
      <c r="G79" s="28" t="n">
        <f aca="false">E79-F79</f>
        <v>-7.92063437500001</v>
      </c>
      <c r="H79" s="25" t="n">
        <f aca="false">IF(G79&gt;=-0.0000001,A79,H78)</f>
        <v>45950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-13476.2</v>
      </c>
      <c r="L79" s="28" t="n">
        <f aca="false">L78+K79/$T$1*100</f>
        <v>63.31949375</v>
      </c>
      <c r="M79" s="28" t="n">
        <f aca="false">MAX(0,MAX($L$2:L79))</f>
        <v>67.53080625</v>
      </c>
      <c r="N79" s="28" t="n">
        <f aca="false">L79-M79</f>
        <v>-4.2113125</v>
      </c>
      <c r="O79" s="25" t="n">
        <f aca="false">IF(N79&gt;=-0.0000001,A79,O78)</f>
        <v>46023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46028</v>
      </c>
      <c r="B80" s="26" t="s">
        <v>80</v>
      </c>
      <c r="C80" s="27" t="n">
        <v>17905.8</v>
      </c>
      <c r="D80" s="28" t="n">
        <f aca="false">C80/$T$1*100</f>
        <v>5.5955625</v>
      </c>
      <c r="E80" s="28" t="n">
        <f aca="false">E79+D80</f>
        <v>64.26758125</v>
      </c>
      <c r="F80" s="28" t="n">
        <f aca="false">MAX(0,MAX($E$2:E80))</f>
        <v>66.592653125</v>
      </c>
      <c r="G80" s="28" t="n">
        <f aca="false">E80-F80</f>
        <v>-2.32507187500001</v>
      </c>
      <c r="H80" s="25" t="n">
        <f aca="false">IF(G80&gt;=-0.0000001,A80,H79)</f>
        <v>45950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17905.8</v>
      </c>
      <c r="L80" s="28" t="n">
        <f aca="false">L79+K80/$T$1*100</f>
        <v>68.91505625</v>
      </c>
      <c r="M80" s="28" t="n">
        <f aca="false">MAX(0,MAX($L$2:L80))</f>
        <v>68.91505625</v>
      </c>
      <c r="N80" s="28" t="n">
        <f aca="false">L80-M80</f>
        <v>0</v>
      </c>
      <c r="O80" s="25" t="n">
        <f aca="false">IF(N80&gt;=-0.0000001,A80,O79)</f>
        <v>46028</v>
      </c>
      <c r="P80" s="29" t="n">
        <f aca="false">IF(AND(N80&gt;=-0.0000001,N79&lt;0),1,0)</f>
        <v>1</v>
      </c>
      <c r="Q80" s="30" t="n">
        <f aca="false">IF(P80=1,A80-O79,"")</f>
        <v>5</v>
      </c>
    </row>
    <row r="81" customFormat="false" ht="15" hidden="false" customHeight="false" outlineLevel="0" collapsed="false">
      <c r="A81" s="25" t="n">
        <v>46030</v>
      </c>
      <c r="B81" s="26" t="s">
        <v>82</v>
      </c>
      <c r="C81" s="27" t="n">
        <v>20431.26</v>
      </c>
      <c r="D81" s="28" t="n">
        <f aca="false">C81/$T$1*100</f>
        <v>6.38476875</v>
      </c>
      <c r="E81" s="28" t="n">
        <f aca="false">E80+D81</f>
        <v>70.65235</v>
      </c>
      <c r="F81" s="28" t="n">
        <f aca="false">MAX(0,MAX($E$2:E81))</f>
        <v>70.65235</v>
      </c>
      <c r="G81" s="28" t="n">
        <f aca="false">E81-F81</f>
        <v>0</v>
      </c>
      <c r="H81" s="25" t="n">
        <f aca="false">IF(G81&gt;=-0.0000001,A81,H80)</f>
        <v>46030</v>
      </c>
      <c r="I81" s="29" t="n">
        <f aca="false">IF(AND(G81&gt;=-0.0000001,G80&lt;0),1,0)</f>
        <v>1</v>
      </c>
      <c r="J81" s="30" t="n">
        <f aca="false">IF(I81=1,A81-H80,"")</f>
        <v>80</v>
      </c>
      <c r="K81" s="27" t="n">
        <f aca="false">IF(B81="Wednesday",0,C81)</f>
        <v>20431.26</v>
      </c>
      <c r="L81" s="28" t="n">
        <f aca="false">L80+K81/$T$1*100</f>
        <v>75.299825</v>
      </c>
      <c r="M81" s="28" t="n">
        <f aca="false">MAX(0,MAX($L$2:L81))</f>
        <v>75.299825</v>
      </c>
      <c r="N81" s="28" t="n">
        <f aca="false">L81-M81</f>
        <v>0</v>
      </c>
      <c r="O81" s="25" t="n">
        <f aca="false">IF(N81&gt;=-0.0000001,A81,O80)</f>
        <v>46030</v>
      </c>
      <c r="P81" s="29" t="n">
        <f aca="false">IF(AND(N81&gt;=-0.0000001,N80&lt;0),1,0)</f>
        <v>0</v>
      </c>
      <c r="Q81" s="30" t="str">
        <f aca="false">IF(P81=1,A81-O80,"")</f>
        <v/>
      </c>
    </row>
    <row r="82" customFormat="false" ht="15" hidden="false" customHeight="false" outlineLevel="0" collapsed="false">
      <c r="A82" s="25" t="n">
        <v>46034</v>
      </c>
      <c r="B82" s="26" t="s">
        <v>79</v>
      </c>
      <c r="C82" s="27" t="n">
        <v>6609.05</v>
      </c>
      <c r="D82" s="28" t="n">
        <f aca="false">C82/$T$1*100</f>
        <v>2.065328125</v>
      </c>
      <c r="E82" s="28" t="n">
        <f aca="false">E81+D82</f>
        <v>72.717678125</v>
      </c>
      <c r="F82" s="28" t="n">
        <f aca="false">MAX(0,MAX($E$2:E82))</f>
        <v>72.717678125</v>
      </c>
      <c r="G82" s="28" t="n">
        <f aca="false">E82-F82</f>
        <v>0</v>
      </c>
      <c r="H82" s="25" t="n">
        <f aca="false">IF(G82&gt;=-0.0000001,A82,H81)</f>
        <v>46034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6609.05</v>
      </c>
      <c r="L82" s="28" t="n">
        <f aca="false">L81+K82/$T$1*100</f>
        <v>77.365153125</v>
      </c>
      <c r="M82" s="28" t="n">
        <f aca="false">MAX(0,MAX($L$2:L82))</f>
        <v>77.365153125</v>
      </c>
      <c r="N82" s="28" t="n">
        <f aca="false">L82-M82</f>
        <v>0</v>
      </c>
      <c r="O82" s="25" t="n">
        <f aca="false">IF(N82&gt;=-0.0000001,A82,O81)</f>
        <v>46034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46038</v>
      </c>
      <c r="B83" s="26" t="s">
        <v>83</v>
      </c>
      <c r="C83" s="27" t="n">
        <v>5270.16</v>
      </c>
      <c r="D83" s="28" t="n">
        <f aca="false">C83/$T$1*100</f>
        <v>1.646925</v>
      </c>
      <c r="E83" s="28" t="n">
        <f aca="false">E82+D83</f>
        <v>74.364603125</v>
      </c>
      <c r="F83" s="28" t="n">
        <f aca="false">MAX(0,MAX($E$2:E83))</f>
        <v>74.364603125</v>
      </c>
      <c r="G83" s="28" t="n">
        <f aca="false">E83-F83</f>
        <v>0</v>
      </c>
      <c r="H83" s="25" t="n">
        <f aca="false">IF(G83&gt;=-0.0000001,A83,H82)</f>
        <v>46038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5270.16</v>
      </c>
      <c r="L83" s="28" t="n">
        <f aca="false">L82+K83/$T$1*100</f>
        <v>79.012078125</v>
      </c>
      <c r="M83" s="28" t="n">
        <f aca="false">MAX(0,MAX($L$2:L83))</f>
        <v>79.012078125</v>
      </c>
      <c r="N83" s="28" t="n">
        <f aca="false">L83-M83</f>
        <v>0</v>
      </c>
      <c r="O83" s="25" t="n">
        <f aca="false">IF(N83&gt;=-0.0000001,A83,O82)</f>
        <v>46038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46041</v>
      </c>
      <c r="B84" s="26" t="s">
        <v>79</v>
      </c>
      <c r="C84" s="27" t="n">
        <v>-13560.37</v>
      </c>
      <c r="D84" s="28" t="n">
        <f aca="false">C84/$T$1*100</f>
        <v>-4.237615625</v>
      </c>
      <c r="E84" s="28" t="n">
        <f aca="false">E83+D84</f>
        <v>70.1269875</v>
      </c>
      <c r="F84" s="28" t="n">
        <f aca="false">MAX(0,MAX($E$2:E84))</f>
        <v>74.364603125</v>
      </c>
      <c r="G84" s="28" t="n">
        <f aca="false">E84-F84</f>
        <v>-4.237615625</v>
      </c>
      <c r="H84" s="25" t="n">
        <f aca="false">IF(G84&gt;=-0.0000001,A84,H83)</f>
        <v>46038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-13560.37</v>
      </c>
      <c r="L84" s="28" t="n">
        <f aca="false">L83+K84/$T$1*100</f>
        <v>74.7744625</v>
      </c>
      <c r="M84" s="28" t="n">
        <f aca="false">MAX(0,MAX($L$2:L84))</f>
        <v>79.012078125</v>
      </c>
      <c r="N84" s="28" t="n">
        <f aca="false">L84-M84</f>
        <v>-4.237615625</v>
      </c>
      <c r="O84" s="25" t="n">
        <f aca="false">IF(N84&gt;=-0.0000001,A84,O83)</f>
        <v>46038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46042</v>
      </c>
      <c r="B85" s="26" t="s">
        <v>80</v>
      </c>
      <c r="C85" s="27" t="n">
        <v>19092.34</v>
      </c>
      <c r="D85" s="28" t="n">
        <f aca="false">C85/$T$1*100</f>
        <v>5.96635625</v>
      </c>
      <c r="E85" s="28" t="n">
        <f aca="false">E84+D85</f>
        <v>76.09334375</v>
      </c>
      <c r="F85" s="28" t="n">
        <f aca="false">MAX(0,MAX($E$2:E85))</f>
        <v>76.09334375</v>
      </c>
      <c r="G85" s="28" t="n">
        <f aca="false">E85-F85</f>
        <v>0</v>
      </c>
      <c r="H85" s="25" t="n">
        <f aca="false">IF(G85&gt;=-0.0000001,A85,H84)</f>
        <v>46042</v>
      </c>
      <c r="I85" s="29" t="n">
        <f aca="false">IF(AND(G85&gt;=-0.0000001,G84&lt;0),1,0)</f>
        <v>1</v>
      </c>
      <c r="J85" s="30" t="n">
        <f aca="false">IF(I85=1,A85-H84,"")</f>
        <v>4</v>
      </c>
      <c r="K85" s="27" t="n">
        <f aca="false">IF(B85="Wednesday",0,C85)</f>
        <v>19092.34</v>
      </c>
      <c r="L85" s="28" t="n">
        <f aca="false">L84+K85/$T$1*100</f>
        <v>80.74081875</v>
      </c>
      <c r="M85" s="28" t="n">
        <f aca="false">MAX(0,MAX($L$2:L85))</f>
        <v>80.74081875</v>
      </c>
      <c r="N85" s="28" t="n">
        <f aca="false">L85-M85</f>
        <v>0</v>
      </c>
      <c r="O85" s="25" t="n">
        <f aca="false">IF(N85&gt;=-0.0000001,A85,O84)</f>
        <v>46042</v>
      </c>
      <c r="P85" s="29" t="n">
        <f aca="false">IF(AND(N85&gt;=-0.0000001,N84&lt;0),1,0)</f>
        <v>1</v>
      </c>
      <c r="Q85" s="30" t="n">
        <f aca="false">IF(P85=1,A85-O84,"")</f>
        <v>4</v>
      </c>
    </row>
    <row r="86" customFormat="false" ht="15" hidden="false" customHeight="false" outlineLevel="0" collapsed="false">
      <c r="A86" s="25" t="n">
        <v>46043</v>
      </c>
      <c r="B86" s="26" t="s">
        <v>81</v>
      </c>
      <c r="C86" s="27" t="n">
        <v>-31294.95</v>
      </c>
      <c r="D86" s="28" t="n">
        <f aca="false">C86/$T$1*100</f>
        <v>-9.779671875</v>
      </c>
      <c r="E86" s="28" t="n">
        <f aca="false">E85+D86</f>
        <v>66.313671875</v>
      </c>
      <c r="F86" s="28" t="n">
        <f aca="false">MAX(0,MAX($E$2:E86))</f>
        <v>76.09334375</v>
      </c>
      <c r="G86" s="28" t="n">
        <f aca="false">E86-F86</f>
        <v>-9.77967187500001</v>
      </c>
      <c r="H86" s="25" t="n">
        <f aca="false">IF(G86&gt;=-0.0000001,A86,H85)</f>
        <v>46042</v>
      </c>
      <c r="I86" s="29" t="n">
        <f aca="false">IF(AND(G86&gt;=-0.0000001,G85&lt;0),1,0)</f>
        <v>0</v>
      </c>
      <c r="J86" s="30" t="str">
        <f aca="false">IF(I86=1,A86-H85,"")</f>
        <v/>
      </c>
      <c r="K86" s="27" t="n">
        <f aca="false">IF(B86="Wednesday",0,C86)</f>
        <v>0</v>
      </c>
      <c r="L86" s="28" t="n">
        <f aca="false">L85+K86/$T$1*100</f>
        <v>80.74081875</v>
      </c>
      <c r="M86" s="28" t="n">
        <f aca="false">MAX(0,MAX($L$2:L86))</f>
        <v>80.74081875</v>
      </c>
      <c r="N86" s="28" t="n">
        <f aca="false">L86-M86</f>
        <v>0</v>
      </c>
      <c r="O86" s="25" t="n">
        <f aca="false">IF(N86&gt;=-0.0000001,A86,O85)</f>
        <v>46043</v>
      </c>
      <c r="P86" s="29" t="n">
        <f aca="false">IF(AND(N86&gt;=-0.0000001,N85&lt;0),1,0)</f>
        <v>0</v>
      </c>
      <c r="Q86" s="30" t="str">
        <f aca="false">IF(P86=1,A86-O85,"")</f>
        <v/>
      </c>
    </row>
    <row r="87" customFormat="false" ht="15" hidden="false" customHeight="false" outlineLevel="0" collapsed="false">
      <c r="A87" s="25" t="n">
        <v>46045</v>
      </c>
      <c r="B87" s="26" t="s">
        <v>83</v>
      </c>
      <c r="C87" s="27" t="n">
        <v>27214.37</v>
      </c>
      <c r="D87" s="28" t="n">
        <f aca="false">C87/$T$1*100</f>
        <v>8.504490625</v>
      </c>
      <c r="E87" s="28" t="n">
        <f aca="false">E86+D87</f>
        <v>74.8181625</v>
      </c>
      <c r="F87" s="28" t="n">
        <f aca="false">MAX(0,MAX($E$2:E87))</f>
        <v>76.09334375</v>
      </c>
      <c r="G87" s="28" t="n">
        <f aca="false">E87-F87</f>
        <v>-1.27518125</v>
      </c>
      <c r="H87" s="25" t="n">
        <f aca="false">IF(G87&gt;=-0.0000001,A87,H86)</f>
        <v>46042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27214.37</v>
      </c>
      <c r="L87" s="28" t="n">
        <f aca="false">L86+K87/$T$1*100</f>
        <v>89.245309375</v>
      </c>
      <c r="M87" s="28" t="n">
        <f aca="false">MAX(0,MAX($L$2:L87))</f>
        <v>89.245309375</v>
      </c>
      <c r="N87" s="28" t="n">
        <f aca="false">L87-M87</f>
        <v>0</v>
      </c>
      <c r="O87" s="25" t="n">
        <f aca="false">IF(N87&gt;=-0.0000001,A87,O86)</f>
        <v>46045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46054</v>
      </c>
      <c r="B88" s="26" t="s">
        <v>116</v>
      </c>
      <c r="C88" s="27" t="n">
        <v>-56923.41</v>
      </c>
      <c r="D88" s="28" t="n">
        <f aca="false">C88/$T$1*100</f>
        <v>-17.788565625</v>
      </c>
      <c r="E88" s="28" t="n">
        <f aca="false">E87+D88</f>
        <v>57.029596875</v>
      </c>
      <c r="F88" s="28" t="n">
        <f aca="false">MAX(0,MAX($E$2:E88))</f>
        <v>76.09334375</v>
      </c>
      <c r="G88" s="28" t="n">
        <f aca="false">E88-F88</f>
        <v>-19.063746875</v>
      </c>
      <c r="H88" s="25" t="n">
        <f aca="false">IF(G88&gt;=-0.0000001,A88,H87)</f>
        <v>46042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-56923.41</v>
      </c>
      <c r="L88" s="28" t="n">
        <f aca="false">L87+K88/$T$1*100</f>
        <v>71.45674375</v>
      </c>
      <c r="M88" s="28" t="n">
        <f aca="false">MAX(0,MAX($L$2:L88))</f>
        <v>89.245309375</v>
      </c>
      <c r="N88" s="28" t="n">
        <f aca="false">L88-M88</f>
        <v>-17.788565625</v>
      </c>
      <c r="O88" s="25" t="n">
        <f aca="false">IF(N88&gt;=-0.0000001,A88,O87)</f>
        <v>46045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46062</v>
      </c>
      <c r="B89" s="26" t="s">
        <v>79</v>
      </c>
      <c r="C89" s="27" t="n">
        <v>25301.25</v>
      </c>
      <c r="D89" s="28" t="n">
        <f aca="false">C89/$T$1*100</f>
        <v>7.906640625</v>
      </c>
      <c r="E89" s="28" t="n">
        <f aca="false">E88+D89</f>
        <v>64.9362375</v>
      </c>
      <c r="F89" s="28" t="n">
        <f aca="false">MAX(0,MAX($E$2:E89))</f>
        <v>76.09334375</v>
      </c>
      <c r="G89" s="28" t="n">
        <f aca="false">E89-F89</f>
        <v>-11.15710625</v>
      </c>
      <c r="H89" s="25" t="n">
        <f aca="false">IF(G89&gt;=-0.0000001,A89,H88)</f>
        <v>46042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25301.25</v>
      </c>
      <c r="L89" s="28" t="n">
        <f aca="false">L88+K89/$T$1*100</f>
        <v>79.363384375</v>
      </c>
      <c r="M89" s="28" t="n">
        <f aca="false">MAX(0,MAX($L$2:L89))</f>
        <v>89.245309375</v>
      </c>
      <c r="N89" s="28" t="n">
        <f aca="false">L89-M89</f>
        <v>-9.88192500000001</v>
      </c>
      <c r="O89" s="25" t="n">
        <f aca="false">IF(N89&gt;=-0.0000001,A89,O88)</f>
        <v>46045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46063</v>
      </c>
      <c r="B90" s="26" t="s">
        <v>80</v>
      </c>
      <c r="C90" s="27" t="n">
        <v>-12350</v>
      </c>
      <c r="D90" s="28" t="n">
        <f aca="false">C90/$T$1*100</f>
        <v>-3.859375</v>
      </c>
      <c r="E90" s="28" t="n">
        <f aca="false">E89+D90</f>
        <v>61.0768625</v>
      </c>
      <c r="F90" s="28" t="n">
        <f aca="false">MAX(0,MAX($E$2:E90))</f>
        <v>76.09334375</v>
      </c>
      <c r="G90" s="28" t="n">
        <f aca="false">E90-F90</f>
        <v>-15.01648125</v>
      </c>
      <c r="H90" s="25" t="n">
        <f aca="false">IF(G90&gt;=-0.0000001,A90,H89)</f>
        <v>46042</v>
      </c>
      <c r="I90" s="29" t="n">
        <f aca="false">IF(AND(G90&gt;=-0.0000001,G89&lt;0),1,0)</f>
        <v>0</v>
      </c>
      <c r="J90" s="30" t="str">
        <f aca="false">IF(I90=1,A90-H89,"")</f>
        <v/>
      </c>
      <c r="K90" s="27" t="n">
        <f aca="false">IF(B90="Wednesday",0,C90)</f>
        <v>-12350</v>
      </c>
      <c r="L90" s="28" t="n">
        <f aca="false">L89+K90/$T$1*100</f>
        <v>75.504009375</v>
      </c>
      <c r="M90" s="28" t="n">
        <f aca="false">MAX(0,MAX($L$2:L90))</f>
        <v>89.245309375</v>
      </c>
      <c r="N90" s="28" t="n">
        <f aca="false">L90-M90</f>
        <v>-13.7413</v>
      </c>
      <c r="O90" s="25" t="n">
        <f aca="false">IF(N90&gt;=-0.0000001,A90,O89)</f>
        <v>46045</v>
      </c>
      <c r="P90" s="29" t="n">
        <f aca="false">IF(AND(N90&gt;=-0.0000001,N89&lt;0),1,0)</f>
        <v>0</v>
      </c>
      <c r="Q90" s="30" t="str">
        <f aca="false">IF(P90=1,A90-O89,"")</f>
        <v/>
      </c>
    </row>
    <row r="91" customFormat="false" ht="15" hidden="false" customHeight="false" outlineLevel="0" collapsed="false">
      <c r="A91" s="25" t="n">
        <v>46065</v>
      </c>
      <c r="B91" s="26" t="s">
        <v>82</v>
      </c>
      <c r="C91" s="27" t="n">
        <v>-13373.75</v>
      </c>
      <c r="D91" s="28" t="n">
        <f aca="false">C91/$T$1*100</f>
        <v>-4.179296875</v>
      </c>
      <c r="E91" s="28" t="n">
        <f aca="false">E90+D91</f>
        <v>56.897565625</v>
      </c>
      <c r="F91" s="28" t="n">
        <f aca="false">MAX(0,MAX($E$2:E91))</f>
        <v>76.09334375</v>
      </c>
      <c r="G91" s="28" t="n">
        <f aca="false">E91-F91</f>
        <v>-19.195778125</v>
      </c>
      <c r="H91" s="25" t="n">
        <f aca="false">IF(G91&gt;=-0.0000001,A91,H90)</f>
        <v>46042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-13373.75</v>
      </c>
      <c r="L91" s="28" t="n">
        <f aca="false">L90+K91/$T$1*100</f>
        <v>71.3247125</v>
      </c>
      <c r="M91" s="28" t="n">
        <f aca="false">MAX(0,MAX($L$2:L91))</f>
        <v>89.245309375</v>
      </c>
      <c r="N91" s="28" t="n">
        <f aca="false">L91-M91</f>
        <v>-17.920596875</v>
      </c>
      <c r="O91" s="25" t="n">
        <f aca="false">IF(N91&gt;=-0.0000001,A91,O90)</f>
        <v>46045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46066</v>
      </c>
      <c r="B92" s="26" t="s">
        <v>83</v>
      </c>
      <c r="C92" s="27" t="n">
        <v>28161.25</v>
      </c>
      <c r="D92" s="28" t="n">
        <f aca="false">C92/$T$1*100</f>
        <v>8.800390625</v>
      </c>
      <c r="E92" s="28" t="n">
        <f aca="false">E91+D92</f>
        <v>65.69795625</v>
      </c>
      <c r="F92" s="28" t="n">
        <f aca="false">MAX(0,MAX($E$2:E92))</f>
        <v>76.09334375</v>
      </c>
      <c r="G92" s="28" t="n">
        <f aca="false">E92-F92</f>
        <v>-10.3953875</v>
      </c>
      <c r="H92" s="25" t="n">
        <f aca="false">IF(G92&gt;=-0.0000001,A92,H91)</f>
        <v>46042</v>
      </c>
      <c r="I92" s="29" t="n">
        <f aca="false">IF(AND(G92&gt;=-0.0000001,G91&lt;0),1,0)</f>
        <v>0</v>
      </c>
      <c r="J92" s="30" t="str">
        <f aca="false">IF(I92=1,A92-H91,"")</f>
        <v/>
      </c>
      <c r="K92" s="27" t="n">
        <f aca="false">IF(B92="Wednesday",0,C92)</f>
        <v>28161.25</v>
      </c>
      <c r="L92" s="28" t="n">
        <f aca="false">L91+K92/$T$1*100</f>
        <v>80.125103125</v>
      </c>
      <c r="M92" s="28" t="n">
        <f aca="false">MAX(0,MAX($L$2:L92))</f>
        <v>89.245309375</v>
      </c>
      <c r="N92" s="28" t="n">
        <f aca="false">L92-M92</f>
        <v>-9.12020625000001</v>
      </c>
      <c r="O92" s="25" t="n">
        <f aca="false">IF(N92&gt;=-0.0000001,A92,O91)</f>
        <v>46045</v>
      </c>
      <c r="P92" s="29" t="n">
        <f aca="false">IF(AND(N92&gt;=-0.0000001,N91&lt;0),1,0)</f>
        <v>0</v>
      </c>
      <c r="Q92" s="30" t="str">
        <f aca="false">IF(P92=1,A92-O91,"")</f>
        <v/>
      </c>
    </row>
    <row r="93" customFormat="false" ht="15" hidden="false" customHeight="false" outlineLevel="0" collapsed="false">
      <c r="A93" s="25" t="n">
        <v>46069</v>
      </c>
      <c r="B93" s="26" t="s">
        <v>79</v>
      </c>
      <c r="C93" s="27" t="n">
        <v>-10777</v>
      </c>
      <c r="D93" s="28" t="n">
        <f aca="false">C93/$T$1*100</f>
        <v>-3.3678125</v>
      </c>
      <c r="E93" s="28" t="n">
        <f aca="false">E92+D93</f>
        <v>62.33014375</v>
      </c>
      <c r="F93" s="28" t="n">
        <f aca="false">MAX(0,MAX($E$2:E93))</f>
        <v>76.09334375</v>
      </c>
      <c r="G93" s="28" t="n">
        <f aca="false">E93-F93</f>
        <v>-13.7632</v>
      </c>
      <c r="H93" s="25" t="n">
        <f aca="false">IF(G93&gt;=-0.0000001,A93,H92)</f>
        <v>46042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-10777</v>
      </c>
      <c r="L93" s="28" t="n">
        <f aca="false">L92+K93/$T$1*100</f>
        <v>76.757290625</v>
      </c>
      <c r="M93" s="28" t="n">
        <f aca="false">MAX(0,MAX($L$2:L93))</f>
        <v>89.245309375</v>
      </c>
      <c r="N93" s="28" t="n">
        <f aca="false">L93-M93</f>
        <v>-12.48801875</v>
      </c>
      <c r="O93" s="25" t="n">
        <f aca="false">IF(N93&gt;=-0.0000001,A93,O92)</f>
        <v>46045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46072</v>
      </c>
      <c r="B94" s="26" t="s">
        <v>82</v>
      </c>
      <c r="C94" s="27" t="n">
        <v>-13455</v>
      </c>
      <c r="D94" s="28" t="n">
        <f aca="false">C94/$T$1*100</f>
        <v>-4.2046875</v>
      </c>
      <c r="E94" s="28" t="n">
        <f aca="false">E93+D94</f>
        <v>58.12545625</v>
      </c>
      <c r="F94" s="28" t="n">
        <f aca="false">MAX(0,MAX($E$2:E94))</f>
        <v>76.09334375</v>
      </c>
      <c r="G94" s="28" t="n">
        <f aca="false">E94-F94</f>
        <v>-17.9678875</v>
      </c>
      <c r="H94" s="25" t="n">
        <f aca="false">IF(G94&gt;=-0.0000001,A94,H93)</f>
        <v>46042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-13455</v>
      </c>
      <c r="L94" s="28" t="n">
        <f aca="false">L93+K94/$T$1*100</f>
        <v>72.552603125</v>
      </c>
      <c r="M94" s="28" t="n">
        <f aca="false">MAX(0,MAX($L$2:L94))</f>
        <v>89.245309375</v>
      </c>
      <c r="N94" s="28" t="n">
        <f aca="false">L94-M94</f>
        <v>-16.69270625</v>
      </c>
      <c r="O94" s="25" t="n">
        <f aca="false">IF(N94&gt;=-0.0000001,A94,O93)</f>
        <v>46045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46073</v>
      </c>
      <c r="B95" s="26" t="s">
        <v>83</v>
      </c>
      <c r="C95" s="27" t="n">
        <v>227.5</v>
      </c>
      <c r="D95" s="28" t="n">
        <f aca="false">C95/$T$1*100</f>
        <v>0.07109375</v>
      </c>
      <c r="E95" s="28" t="n">
        <f aca="false">E94+D95</f>
        <v>58.19655</v>
      </c>
      <c r="F95" s="28" t="n">
        <f aca="false">MAX(0,MAX($E$2:E95))</f>
        <v>76.09334375</v>
      </c>
      <c r="G95" s="28" t="n">
        <f aca="false">E95-F95</f>
        <v>-17.89679375</v>
      </c>
      <c r="H95" s="25" t="n">
        <f aca="false">IF(G95&gt;=-0.0000001,A95,H94)</f>
        <v>46042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227.5</v>
      </c>
      <c r="L95" s="28" t="n">
        <f aca="false">L94+K95/$T$1*100</f>
        <v>72.623696875</v>
      </c>
      <c r="M95" s="28" t="n">
        <f aca="false">MAX(0,MAX($L$2:L95))</f>
        <v>89.245309375</v>
      </c>
      <c r="N95" s="28" t="n">
        <f aca="false">L95-M95</f>
        <v>-16.6216125</v>
      </c>
      <c r="O95" s="25" t="n">
        <f aca="false">IF(N95&gt;=-0.0000001,A95,O94)</f>
        <v>46045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46077</v>
      </c>
      <c r="B96" s="26" t="s">
        <v>80</v>
      </c>
      <c r="C96" s="27" t="n">
        <v>29276</v>
      </c>
      <c r="D96" s="28" t="n">
        <f aca="false">C96/$T$1*100</f>
        <v>9.14875</v>
      </c>
      <c r="E96" s="28" t="n">
        <f aca="false">E95+D96</f>
        <v>67.3453</v>
      </c>
      <c r="F96" s="28" t="n">
        <f aca="false">MAX(0,MAX($E$2:E96))</f>
        <v>76.09334375</v>
      </c>
      <c r="G96" s="28" t="n">
        <f aca="false">E96-F96</f>
        <v>-8.74804375000001</v>
      </c>
      <c r="H96" s="25" t="n">
        <f aca="false">IF(G96&gt;=-0.0000001,A96,H95)</f>
        <v>46042</v>
      </c>
      <c r="I96" s="29" t="n">
        <f aca="false">IF(AND(G96&gt;=-0.0000001,G95&lt;0),1,0)</f>
        <v>0</v>
      </c>
      <c r="J96" s="30" t="str">
        <f aca="false">IF(I96=1,A96-H95,"")</f>
        <v/>
      </c>
      <c r="K96" s="27" t="n">
        <f aca="false">IF(B96="Wednesday",0,C96)</f>
        <v>29276</v>
      </c>
      <c r="L96" s="28" t="n">
        <f aca="false">L95+K96/$T$1*100</f>
        <v>81.772446875</v>
      </c>
      <c r="M96" s="28" t="n">
        <f aca="false">MAX(0,MAX($L$2:L96))</f>
        <v>89.245309375</v>
      </c>
      <c r="N96" s="28" t="n">
        <f aca="false">L96-M96</f>
        <v>-7.47286250000001</v>
      </c>
      <c r="O96" s="25" t="n">
        <f aca="false">IF(N96&gt;=-0.0000001,A96,O95)</f>
        <v>46045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46079</v>
      </c>
      <c r="B97" s="26" t="s">
        <v>82</v>
      </c>
      <c r="C97" s="27" t="n">
        <v>26455</v>
      </c>
      <c r="D97" s="28" t="n">
        <f aca="false">C97/$T$1*100</f>
        <v>8.2671875</v>
      </c>
      <c r="E97" s="28" t="n">
        <f aca="false">E96+D97</f>
        <v>75.6124875</v>
      </c>
      <c r="F97" s="28" t="n">
        <f aca="false">MAX(0,MAX($E$2:E97))</f>
        <v>76.09334375</v>
      </c>
      <c r="G97" s="28" t="n">
        <f aca="false">E97-F97</f>
        <v>-0.480856250000002</v>
      </c>
      <c r="H97" s="25" t="n">
        <f aca="false">IF(G97&gt;=-0.0000001,A97,H96)</f>
        <v>46042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26455</v>
      </c>
      <c r="L97" s="28" t="n">
        <f aca="false">L96+K97/$T$1*100</f>
        <v>90.039634375</v>
      </c>
      <c r="M97" s="28" t="n">
        <f aca="false">MAX(0,MAX($L$2:L97))</f>
        <v>90.039634375</v>
      </c>
      <c r="N97" s="28" t="n">
        <f aca="false">L97-M97</f>
        <v>0</v>
      </c>
      <c r="O97" s="25" t="n">
        <f aca="false">IF(N97&gt;=-0.0000001,A97,O96)</f>
        <v>46079</v>
      </c>
      <c r="P97" s="29" t="n">
        <f aca="false">IF(AND(N97&gt;=-0.0000001,N96&lt;0),1,0)</f>
        <v>1</v>
      </c>
      <c r="Q97" s="30" t="n">
        <f aca="false">IF(P97=1,A97-O96,"")</f>
        <v>34</v>
      </c>
    </row>
    <row r="98" customFormat="false" ht="15" hidden="false" customHeight="false" outlineLevel="0" collapsed="false">
      <c r="A98" s="25" t="n">
        <v>46080</v>
      </c>
      <c r="B98" s="26" t="s">
        <v>83</v>
      </c>
      <c r="C98" s="27" t="n">
        <v>-12967.5</v>
      </c>
      <c r="D98" s="28" t="n">
        <f aca="false">C98/$T$1*100</f>
        <v>-4.05234375</v>
      </c>
      <c r="E98" s="28" t="n">
        <f aca="false">E97+D98</f>
        <v>71.56014375</v>
      </c>
      <c r="F98" s="28" t="n">
        <f aca="false">MAX(0,MAX($E$2:E98))</f>
        <v>76.09334375</v>
      </c>
      <c r="G98" s="28" t="n">
        <f aca="false">E98-F98</f>
        <v>-4.53320000000001</v>
      </c>
      <c r="H98" s="25" t="n">
        <f aca="false">IF(G98&gt;=-0.0000001,A98,H97)</f>
        <v>46042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-12967.5</v>
      </c>
      <c r="L98" s="28" t="n">
        <f aca="false">L97+K98/$T$1*100</f>
        <v>85.987290625</v>
      </c>
      <c r="M98" s="28" t="n">
        <f aca="false">MAX(0,MAX($L$2:L98))</f>
        <v>90.039634375</v>
      </c>
      <c r="N98" s="28" t="n">
        <f aca="false">L98-M98</f>
        <v>-4.05234375000001</v>
      </c>
      <c r="O98" s="25" t="n">
        <f aca="false">IF(N98&gt;=-0.0000001,A98,O97)</f>
        <v>46079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46086</v>
      </c>
      <c r="B99" s="26" t="s">
        <v>82</v>
      </c>
      <c r="C99" s="27" t="n">
        <v>9997</v>
      </c>
      <c r="D99" s="28" t="n">
        <f aca="false">C99/$T$1*100</f>
        <v>3.1240625</v>
      </c>
      <c r="E99" s="28" t="n">
        <f aca="false">E98+D99</f>
        <v>74.68420625</v>
      </c>
      <c r="F99" s="28" t="n">
        <f aca="false">MAX(0,MAX($E$2:E99))</f>
        <v>76.09334375</v>
      </c>
      <c r="G99" s="28" t="n">
        <f aca="false">E99-F99</f>
        <v>-1.40913750000001</v>
      </c>
      <c r="H99" s="25" t="n">
        <f aca="false">IF(G99&gt;=-0.0000001,A99,H98)</f>
        <v>46042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9997</v>
      </c>
      <c r="L99" s="28" t="n">
        <f aca="false">L98+K99/$T$1*100</f>
        <v>89.111353125</v>
      </c>
      <c r="M99" s="28" t="n">
        <f aca="false">MAX(0,MAX($L$2:L99))</f>
        <v>90.039634375</v>
      </c>
      <c r="N99" s="28" t="n">
        <f aca="false">L99-M99</f>
        <v>-0.928281250000012</v>
      </c>
      <c r="O99" s="25" t="n">
        <f aca="false">IF(N99&gt;=-0.0000001,A99,O98)</f>
        <v>46079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46087</v>
      </c>
      <c r="B100" s="26" t="s">
        <v>83</v>
      </c>
      <c r="C100" s="27" t="n">
        <v>-12051</v>
      </c>
      <c r="D100" s="28" t="n">
        <f aca="false">C100/$T$1*100</f>
        <v>-3.7659375</v>
      </c>
      <c r="E100" s="28" t="n">
        <f aca="false">E99+D100</f>
        <v>70.91826875</v>
      </c>
      <c r="F100" s="28" t="n">
        <f aca="false">MAX(0,MAX($E$2:E100))</f>
        <v>76.09334375</v>
      </c>
      <c r="G100" s="28" t="n">
        <f aca="false">E100-F100</f>
        <v>-5.17507500000002</v>
      </c>
      <c r="H100" s="25" t="n">
        <f aca="false">IF(G100&gt;=-0.0000001,A100,H99)</f>
        <v>46042</v>
      </c>
      <c r="I100" s="29" t="n">
        <f aca="false">IF(AND(G100&gt;=-0.0000001,G99&lt;0),1,0)</f>
        <v>0</v>
      </c>
      <c r="J100" s="30" t="str">
        <f aca="false">IF(I100=1,A100-H99,"")</f>
        <v/>
      </c>
      <c r="K100" s="27" t="n">
        <f aca="false">IF(B100="Wednesday",0,C100)</f>
        <v>-12051</v>
      </c>
      <c r="L100" s="28" t="n">
        <f aca="false">L99+K100/$T$1*100</f>
        <v>85.345415625</v>
      </c>
      <c r="M100" s="28" t="n">
        <f aca="false">MAX(0,MAX($L$2:L100))</f>
        <v>90.039634375</v>
      </c>
      <c r="N100" s="28" t="n">
        <f aca="false">L100-M100</f>
        <v>-4.69421875000002</v>
      </c>
      <c r="O100" s="25" t="n">
        <f aca="false">IF(N100&gt;=-0.0000001,A100,O99)</f>
        <v>46079</v>
      </c>
      <c r="P100" s="29" t="n">
        <f aca="false">IF(AND(N100&gt;=-0.0000001,N99&lt;0),1,0)</f>
        <v>0</v>
      </c>
      <c r="Q100" s="30" t="str">
        <f aca="false">IF(P100=1,A100-O99,"")</f>
        <v/>
      </c>
    </row>
    <row r="101" customFormat="false" ht="15" hidden="false" customHeight="false" outlineLevel="0" collapsed="false">
      <c r="A101" s="25" t="n">
        <v>46090</v>
      </c>
      <c r="B101" s="26" t="s">
        <v>79</v>
      </c>
      <c r="C101" s="27" t="n">
        <v>-23075</v>
      </c>
      <c r="D101" s="28" t="n">
        <f aca="false">C101/$T$1*100</f>
        <v>-7.2109375</v>
      </c>
      <c r="E101" s="28" t="n">
        <f aca="false">E100+D101</f>
        <v>63.70733125</v>
      </c>
      <c r="F101" s="28" t="n">
        <f aca="false">MAX(0,MAX($E$2:E101))</f>
        <v>76.09334375</v>
      </c>
      <c r="G101" s="28" t="n">
        <f aca="false">E101-F101</f>
        <v>-12.3860125</v>
      </c>
      <c r="H101" s="25" t="n">
        <f aca="false">IF(G101&gt;=-0.0000001,A101,H100)</f>
        <v>46042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-23075</v>
      </c>
      <c r="L101" s="28" t="n">
        <f aca="false">L100+K101/$T$1*100</f>
        <v>78.134478125</v>
      </c>
      <c r="M101" s="28" t="n">
        <f aca="false">MAX(0,MAX($L$2:L101))</f>
        <v>90.039634375</v>
      </c>
      <c r="N101" s="28" t="n">
        <f aca="false">L101-M101</f>
        <v>-11.90515625</v>
      </c>
      <c r="O101" s="25" t="n">
        <f aca="false">IF(N101&gt;=-0.0000001,A101,O100)</f>
        <v>46079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46092</v>
      </c>
      <c r="B102" s="26" t="s">
        <v>81</v>
      </c>
      <c r="C102" s="27" t="n">
        <v>-11362</v>
      </c>
      <c r="D102" s="28" t="n">
        <f aca="false">C102/$T$1*100</f>
        <v>-3.550625</v>
      </c>
      <c r="E102" s="28" t="n">
        <f aca="false">E101+D102</f>
        <v>60.15670625</v>
      </c>
      <c r="F102" s="28" t="n">
        <f aca="false">MAX(0,MAX($E$2:E102))</f>
        <v>76.09334375</v>
      </c>
      <c r="G102" s="28" t="n">
        <f aca="false">E102-F102</f>
        <v>-15.9366375</v>
      </c>
      <c r="H102" s="25" t="n">
        <f aca="false">IF(G102&gt;=-0.0000001,A102,H101)</f>
        <v>46042</v>
      </c>
      <c r="I102" s="29" t="n">
        <f aca="false">IF(AND(G102&gt;=-0.0000001,G101&lt;0),1,0)</f>
        <v>0</v>
      </c>
      <c r="J102" s="30" t="str">
        <f aca="false">IF(I102=1,A102-H101,"")</f>
        <v/>
      </c>
      <c r="K102" s="27" t="n">
        <f aca="false">IF(B102="Wednesday",0,C102)</f>
        <v>0</v>
      </c>
      <c r="L102" s="28" t="n">
        <f aca="false">L101+K102/$T$1*100</f>
        <v>78.134478125</v>
      </c>
      <c r="M102" s="28" t="n">
        <f aca="false">MAX(0,MAX($L$2:L102))</f>
        <v>90.039634375</v>
      </c>
      <c r="N102" s="28" t="n">
        <f aca="false">L102-M102</f>
        <v>-11.90515625</v>
      </c>
      <c r="O102" s="25" t="n">
        <f aca="false">IF(N102&gt;=-0.0000001,A102,O101)</f>
        <v>46079</v>
      </c>
      <c r="P102" s="29" t="n">
        <f aca="false">IF(AND(N102&gt;=-0.0000001,N101&lt;0),1,0)</f>
        <v>0</v>
      </c>
      <c r="Q102" s="30" t="str">
        <f aca="false">IF(P102=1,A102-O101,"")</f>
        <v/>
      </c>
    </row>
    <row r="103" customFormat="false" ht="15" hidden="false" customHeight="false" outlineLevel="0" collapsed="false">
      <c r="A103" s="25" t="n">
        <v>46094</v>
      </c>
      <c r="B103" s="26" t="s">
        <v>83</v>
      </c>
      <c r="C103" s="27" t="n">
        <v>-12025</v>
      </c>
      <c r="D103" s="28" t="n">
        <f aca="false">C103/$T$1*100</f>
        <v>-3.7578125</v>
      </c>
      <c r="E103" s="28" t="n">
        <f aca="false">E102+D103</f>
        <v>56.39889375</v>
      </c>
      <c r="F103" s="28" t="n">
        <f aca="false">MAX(0,MAX($E$2:E103))</f>
        <v>76.09334375</v>
      </c>
      <c r="G103" s="28" t="n">
        <f aca="false">E103-F103</f>
        <v>-19.69445</v>
      </c>
      <c r="H103" s="25" t="n">
        <f aca="false">IF(G103&gt;=-0.0000001,A103,H102)</f>
        <v>46042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-12025</v>
      </c>
      <c r="L103" s="28" t="n">
        <f aca="false">L102+K103/$T$1*100</f>
        <v>74.376665625</v>
      </c>
      <c r="M103" s="28" t="n">
        <f aca="false">MAX(0,MAX($L$2:L103))</f>
        <v>90.039634375</v>
      </c>
      <c r="N103" s="28" t="n">
        <f aca="false">L103-M103</f>
        <v>-15.66296875</v>
      </c>
      <c r="O103" s="25" t="n">
        <f aca="false">IF(N103&gt;=-0.0000001,A103,O102)</f>
        <v>46079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46097</v>
      </c>
      <c r="B104" s="26" t="s">
        <v>79</v>
      </c>
      <c r="C104" s="27" t="n">
        <v>25821.25</v>
      </c>
      <c r="D104" s="28" t="n">
        <f aca="false">C104/$T$1*100</f>
        <v>8.069140625</v>
      </c>
      <c r="E104" s="28" t="n">
        <f aca="false">E103+D104</f>
        <v>64.468034375</v>
      </c>
      <c r="F104" s="28" t="n">
        <f aca="false">MAX(0,MAX($E$2:E104))</f>
        <v>76.09334375</v>
      </c>
      <c r="G104" s="28" t="n">
        <f aca="false">E104-F104</f>
        <v>-11.625309375</v>
      </c>
      <c r="H104" s="25" t="n">
        <f aca="false">IF(G104&gt;=-0.0000001,A104,H103)</f>
        <v>46042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25821.25</v>
      </c>
      <c r="L104" s="28" t="n">
        <f aca="false">L103+K104/$T$1*100</f>
        <v>82.44580625</v>
      </c>
      <c r="M104" s="28" t="n">
        <f aca="false">MAX(0,MAX($L$2:L104))</f>
        <v>90.039634375</v>
      </c>
      <c r="N104" s="28" t="n">
        <f aca="false">L104-M104</f>
        <v>-7.59382812500002</v>
      </c>
      <c r="O104" s="25" t="n">
        <f aca="false">IF(N104&gt;=-0.0000001,A104,O103)</f>
        <v>46079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46098</v>
      </c>
      <c r="B105" s="26" t="s">
        <v>80</v>
      </c>
      <c r="C105" s="27" t="n">
        <v>31122</v>
      </c>
      <c r="D105" s="28" t="n">
        <f aca="false">C105/$T$1*100</f>
        <v>9.725625</v>
      </c>
      <c r="E105" s="28" t="n">
        <f aca="false">E104+D105</f>
        <v>74.193659375</v>
      </c>
      <c r="F105" s="28" t="n">
        <f aca="false">MAX(0,MAX($E$2:E105))</f>
        <v>76.09334375</v>
      </c>
      <c r="G105" s="28" t="n">
        <f aca="false">E105-F105</f>
        <v>-1.89968437500001</v>
      </c>
      <c r="H105" s="25" t="n">
        <f aca="false">IF(G105&gt;=-0.0000001,A105,H104)</f>
        <v>46042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31122</v>
      </c>
      <c r="L105" s="28" t="n">
        <f aca="false">L104+K105/$T$1*100</f>
        <v>92.17143125</v>
      </c>
      <c r="M105" s="28" t="n">
        <f aca="false">MAX(0,MAX($L$2:L105))</f>
        <v>92.17143125</v>
      </c>
      <c r="N105" s="28" t="n">
        <f aca="false">L105-M105</f>
        <v>0</v>
      </c>
      <c r="O105" s="25" t="n">
        <f aca="false">IF(N105&gt;=-0.0000001,A105,O104)</f>
        <v>46098</v>
      </c>
      <c r="P105" s="29" t="n">
        <f aca="false">IF(AND(N105&gt;=-0.0000001,N104&lt;0),1,0)</f>
        <v>1</v>
      </c>
      <c r="Q105" s="30" t="n">
        <f aca="false">IF(P105=1,A105-O104,"")</f>
        <v>19</v>
      </c>
    </row>
    <row r="106" customFormat="false" ht="15" hidden="false" customHeight="false" outlineLevel="0" collapsed="false">
      <c r="A106" s="25" t="n">
        <v>46100</v>
      </c>
      <c r="B106" s="26" t="s">
        <v>82</v>
      </c>
      <c r="C106" s="27" t="n">
        <v>33751.25</v>
      </c>
      <c r="D106" s="28" t="n">
        <f aca="false">C106/$T$1*100</f>
        <v>10.547265625</v>
      </c>
      <c r="E106" s="28" t="n">
        <f aca="false">E105+D106</f>
        <v>84.740925</v>
      </c>
      <c r="F106" s="28" t="n">
        <f aca="false">MAX(0,MAX($E$2:E106))</f>
        <v>84.740925</v>
      </c>
      <c r="G106" s="28" t="n">
        <f aca="false">E106-F106</f>
        <v>0</v>
      </c>
      <c r="H106" s="25" t="n">
        <f aca="false">IF(G106&gt;=-0.0000001,A106,H105)</f>
        <v>46100</v>
      </c>
      <c r="I106" s="29" t="n">
        <f aca="false">IF(AND(G106&gt;=-0.0000001,G105&lt;0),1,0)</f>
        <v>1</v>
      </c>
      <c r="J106" s="30" t="n">
        <f aca="false">IF(I106=1,A106-H105,"")</f>
        <v>58</v>
      </c>
      <c r="K106" s="27" t="n">
        <f aca="false">IF(B106="Wednesday",0,C106)</f>
        <v>33751.25</v>
      </c>
      <c r="L106" s="28" t="n">
        <f aca="false">L105+K106/$T$1*100</f>
        <v>102.718696875</v>
      </c>
      <c r="M106" s="28" t="n">
        <f aca="false">MAX(0,MAX($L$2:L106))</f>
        <v>102.718696875</v>
      </c>
      <c r="N106" s="28" t="n">
        <f aca="false">L106-M106</f>
        <v>0</v>
      </c>
      <c r="O106" s="25" t="n">
        <f aca="false">IF(N106&gt;=-0.0000001,A106,O105)</f>
        <v>46100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46101</v>
      </c>
      <c r="B107" s="26" t="s">
        <v>83</v>
      </c>
      <c r="C107" s="27" t="n">
        <v>-14283.75</v>
      </c>
      <c r="D107" s="28" t="n">
        <f aca="false">C107/$T$1*100</f>
        <v>-4.463671875</v>
      </c>
      <c r="E107" s="28" t="n">
        <f aca="false">E106+D107</f>
        <v>80.277253125</v>
      </c>
      <c r="F107" s="28" t="n">
        <f aca="false">MAX(0,MAX($E$2:E107))</f>
        <v>84.740925</v>
      </c>
      <c r="G107" s="28" t="n">
        <f aca="false">E107-F107</f>
        <v>-4.463671875</v>
      </c>
      <c r="H107" s="25" t="n">
        <f aca="false">IF(G107&gt;=-0.0000001,A107,H106)</f>
        <v>46100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-14283.75</v>
      </c>
      <c r="L107" s="28" t="n">
        <f aca="false">L106+K107/$T$1*100</f>
        <v>98.255025</v>
      </c>
      <c r="M107" s="28" t="n">
        <f aca="false">MAX(0,MAX($L$2:L107))</f>
        <v>102.718696875</v>
      </c>
      <c r="N107" s="28" t="n">
        <f aca="false">L107-M107</f>
        <v>-4.463671875</v>
      </c>
      <c r="O107" s="25" t="n">
        <f aca="false">IF(N107&gt;=-0.0000001,A107,O106)</f>
        <v>46100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46104</v>
      </c>
      <c r="B108" s="26" t="s">
        <v>79</v>
      </c>
      <c r="C108" s="27" t="n">
        <v>36387</v>
      </c>
      <c r="D108" s="28" t="n">
        <f aca="false">C108/$T$1*100</f>
        <v>11.3709375</v>
      </c>
      <c r="E108" s="28" t="n">
        <f aca="false">E107+D108</f>
        <v>91.648190625</v>
      </c>
      <c r="F108" s="28" t="n">
        <f aca="false">MAX(0,MAX($E$2:E108))</f>
        <v>91.648190625</v>
      </c>
      <c r="G108" s="28" t="n">
        <f aca="false">E108-F108</f>
        <v>0</v>
      </c>
      <c r="H108" s="25" t="n">
        <f aca="false">IF(G108&gt;=-0.0000001,A108,H107)</f>
        <v>46104</v>
      </c>
      <c r="I108" s="29" t="n">
        <f aca="false">IF(AND(G108&gt;=-0.0000001,G107&lt;0),1,0)</f>
        <v>1</v>
      </c>
      <c r="J108" s="30" t="n">
        <f aca="false">IF(I108=1,A108-H107,"")</f>
        <v>4</v>
      </c>
      <c r="K108" s="27" t="n">
        <f aca="false">IF(B108="Wednesday",0,C108)</f>
        <v>36387</v>
      </c>
      <c r="L108" s="28" t="n">
        <f aca="false">L107+K108/$T$1*100</f>
        <v>109.6259625</v>
      </c>
      <c r="M108" s="28" t="n">
        <f aca="false">MAX(0,MAX($L$2:L108))</f>
        <v>109.6259625</v>
      </c>
      <c r="N108" s="28" t="n">
        <f aca="false">L108-M108</f>
        <v>0</v>
      </c>
      <c r="O108" s="25" t="n">
        <f aca="false">IF(N108&gt;=-0.0000001,A108,O107)</f>
        <v>46104</v>
      </c>
      <c r="P108" s="29" t="n">
        <f aca="false">IF(AND(N108&gt;=-0.0000001,N107&lt;0),1,0)</f>
        <v>1</v>
      </c>
      <c r="Q108" s="30" t="n">
        <f aca="false">IF(P108=1,A108-O107,"")</f>
        <v>4</v>
      </c>
    </row>
    <row r="109" customFormat="false" ht="15" hidden="false" customHeight="false" outlineLevel="0" collapsed="false">
      <c r="A109" s="25" t="n">
        <v>46105</v>
      </c>
      <c r="B109" s="26" t="s">
        <v>80</v>
      </c>
      <c r="C109" s="27" t="n">
        <v>-20462</v>
      </c>
      <c r="D109" s="28" t="n">
        <f aca="false">C109/$T$1*100</f>
        <v>-6.394375</v>
      </c>
      <c r="E109" s="28" t="n">
        <f aca="false">E108+D109</f>
        <v>85.253815625</v>
      </c>
      <c r="F109" s="28" t="n">
        <f aca="false">MAX(0,MAX($E$2:E109))</f>
        <v>91.648190625</v>
      </c>
      <c r="G109" s="28" t="n">
        <f aca="false">E109-F109</f>
        <v>-6.394375</v>
      </c>
      <c r="H109" s="25" t="n">
        <f aca="false">IF(G109&gt;=-0.0000001,A109,H108)</f>
        <v>46104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-20462</v>
      </c>
      <c r="L109" s="28" t="n">
        <f aca="false">L108+K109/$T$1*100</f>
        <v>103.2315875</v>
      </c>
      <c r="M109" s="28" t="n">
        <f aca="false">MAX(0,MAX($L$2:L109))</f>
        <v>109.6259625</v>
      </c>
      <c r="N109" s="28" t="n">
        <f aca="false">L109-M109</f>
        <v>-6.394375</v>
      </c>
      <c r="O109" s="25" t="n">
        <f aca="false">IF(N109&gt;=-0.0000001,A109,O108)</f>
        <v>46104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46106</v>
      </c>
      <c r="B110" s="26" t="s">
        <v>81</v>
      </c>
      <c r="C110" s="27" t="n">
        <v>-19526</v>
      </c>
      <c r="D110" s="28" t="n">
        <f aca="false">C110/$T$1*100</f>
        <v>-6.101875</v>
      </c>
      <c r="E110" s="28" t="n">
        <f aca="false">E109+D110</f>
        <v>79.151940625</v>
      </c>
      <c r="F110" s="28" t="n">
        <f aca="false">MAX(0,MAX($E$2:E110))</f>
        <v>91.648190625</v>
      </c>
      <c r="G110" s="28" t="n">
        <f aca="false">E110-F110</f>
        <v>-12.49625</v>
      </c>
      <c r="H110" s="25" t="n">
        <f aca="false">IF(G110&gt;=-0.0000001,A110,H109)</f>
        <v>46104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0</v>
      </c>
      <c r="L110" s="28" t="n">
        <f aca="false">L109+K110/$T$1*100</f>
        <v>103.2315875</v>
      </c>
      <c r="M110" s="28" t="n">
        <f aca="false">MAX(0,MAX($L$2:L110))</f>
        <v>109.6259625</v>
      </c>
      <c r="N110" s="28" t="n">
        <f aca="false">L110-M110</f>
        <v>-6.394375</v>
      </c>
      <c r="O110" s="25" t="n">
        <f aca="false">IF(N110&gt;=-0.0000001,A110,O109)</f>
        <v>46104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46111</v>
      </c>
      <c r="B111" s="26" t="s">
        <v>79</v>
      </c>
      <c r="C111" s="27" t="n">
        <v>50066.25</v>
      </c>
      <c r="D111" s="28" t="n">
        <f aca="false">C111/$T$1*100</f>
        <v>15.645703125</v>
      </c>
      <c r="E111" s="28" t="n">
        <f aca="false">E110+D111</f>
        <v>94.79764375</v>
      </c>
      <c r="F111" s="28" t="n">
        <f aca="false">MAX(0,MAX($E$2:E111))</f>
        <v>94.79764375</v>
      </c>
      <c r="G111" s="28" t="n">
        <f aca="false">E111-F111</f>
        <v>0</v>
      </c>
      <c r="H111" s="25" t="n">
        <f aca="false">IF(G111&gt;=-0.0000001,A111,H110)</f>
        <v>46111</v>
      </c>
      <c r="I111" s="29" t="n">
        <f aca="false">IF(AND(G111&gt;=-0.0000001,G110&lt;0),1,0)</f>
        <v>1</v>
      </c>
      <c r="J111" s="30" t="n">
        <f aca="false">IF(I111=1,A111-H110,"")</f>
        <v>7</v>
      </c>
      <c r="K111" s="27" t="n">
        <f aca="false">IF(B111="Wednesday",0,C111)</f>
        <v>50066.25</v>
      </c>
      <c r="L111" s="28" t="n">
        <f aca="false">L110+K111/$T$1*100</f>
        <v>118.877290625</v>
      </c>
      <c r="M111" s="28" t="n">
        <f aca="false">MAX(0,MAX($L$2:L111))</f>
        <v>118.877290625</v>
      </c>
      <c r="N111" s="28" t="n">
        <f aca="false">L111-M111</f>
        <v>0</v>
      </c>
      <c r="O111" s="25" t="n">
        <f aca="false">IF(N111&gt;=-0.0000001,A111,O110)</f>
        <v>46111</v>
      </c>
      <c r="P111" s="29" t="n">
        <f aca="false">IF(AND(N111&gt;=-0.0000001,N110&lt;0),1,0)</f>
        <v>1</v>
      </c>
      <c r="Q111" s="30" t="n">
        <f aca="false">IF(P111=1,A111-O110,"")</f>
        <v>7</v>
      </c>
    </row>
    <row r="112" customFormat="false" ht="15" hidden="false" customHeight="false" outlineLevel="0" collapsed="false">
      <c r="A112" s="25" t="n">
        <v>46114</v>
      </c>
      <c r="B112" s="26" t="s">
        <v>82</v>
      </c>
      <c r="C112" s="27" t="n">
        <v>31876</v>
      </c>
      <c r="D112" s="28" t="n">
        <f aca="false">C112/$T$1*100</f>
        <v>9.96125</v>
      </c>
      <c r="E112" s="28" t="n">
        <f aca="false">E111+D112</f>
        <v>104.75889375</v>
      </c>
      <c r="F112" s="28" t="n">
        <f aca="false">MAX(0,MAX($E$2:E112))</f>
        <v>104.75889375</v>
      </c>
      <c r="G112" s="28" t="n">
        <f aca="false">E112-F112</f>
        <v>0</v>
      </c>
      <c r="H112" s="25" t="n">
        <f aca="false">IF(G112&gt;=-0.0000001,A112,H111)</f>
        <v>46114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31876</v>
      </c>
      <c r="L112" s="28" t="n">
        <f aca="false">L111+K112/$T$1*100</f>
        <v>128.838540625</v>
      </c>
      <c r="M112" s="28" t="n">
        <f aca="false">MAX(0,MAX($L$2:L112))</f>
        <v>128.838540625</v>
      </c>
      <c r="N112" s="28" t="n">
        <f aca="false">L112-M112</f>
        <v>0</v>
      </c>
      <c r="O112" s="25" t="n">
        <f aca="false">IF(N112&gt;=-0.0000001,A112,O111)</f>
        <v>46114</v>
      </c>
      <c r="P112" s="29" t="n">
        <f aca="false">IF(AND(N112&gt;=-0.0000001,N111&lt;0),1,0)</f>
        <v>0</v>
      </c>
      <c r="Q112" s="30" t="str">
        <f aca="false">IF(P112=1,A112-O111,"")</f>
        <v/>
      </c>
    </row>
    <row r="113" customFormat="false" ht="15" hidden="false" customHeight="false" outlineLevel="0" collapsed="false">
      <c r="A113" s="25" t="n">
        <v>46118</v>
      </c>
      <c r="B113" s="26" t="s">
        <v>79</v>
      </c>
      <c r="C113" s="27" t="n">
        <v>3133</v>
      </c>
      <c r="D113" s="28" t="n">
        <f aca="false">C113/$T$1*100</f>
        <v>0.9790625</v>
      </c>
      <c r="E113" s="28" t="n">
        <f aca="false">E112+D113</f>
        <v>105.73795625</v>
      </c>
      <c r="F113" s="28" t="n">
        <f aca="false">MAX(0,MAX($E$2:E113))</f>
        <v>105.73795625</v>
      </c>
      <c r="G113" s="28" t="n">
        <f aca="false">E113-F113</f>
        <v>0</v>
      </c>
      <c r="H113" s="25" t="n">
        <f aca="false">IF(G113&gt;=-0.0000001,A113,H112)</f>
        <v>46118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3133</v>
      </c>
      <c r="L113" s="28" t="n">
        <f aca="false">L112+K113/$T$1*100</f>
        <v>129.817603125</v>
      </c>
      <c r="M113" s="28" t="n">
        <f aca="false">MAX(0,MAX($L$2:L113))</f>
        <v>129.817603125</v>
      </c>
      <c r="N113" s="28" t="n">
        <f aca="false">L113-M113</f>
        <v>0</v>
      </c>
      <c r="O113" s="25" t="n">
        <f aca="false">IF(N113&gt;=-0.0000001,A113,O112)</f>
        <v>46118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46125</v>
      </c>
      <c r="B114" s="26" t="s">
        <v>79</v>
      </c>
      <c r="C114" s="27" t="n">
        <v>37505</v>
      </c>
      <c r="D114" s="28" t="n">
        <f aca="false">C114/$T$1*100</f>
        <v>11.7203125</v>
      </c>
      <c r="E114" s="28" t="n">
        <f aca="false">E113+D114</f>
        <v>117.45826875</v>
      </c>
      <c r="F114" s="28" t="n">
        <f aca="false">MAX(0,MAX($E$2:E114))</f>
        <v>117.45826875</v>
      </c>
      <c r="G114" s="28" t="n">
        <f aca="false">E114-F114</f>
        <v>0</v>
      </c>
      <c r="H114" s="25" t="n">
        <f aca="false">IF(G114&gt;=-0.0000001,A114,H113)</f>
        <v>46125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37505</v>
      </c>
      <c r="L114" s="28" t="n">
        <f aca="false">L113+K114/$T$1*100</f>
        <v>141.537915625</v>
      </c>
      <c r="M114" s="28" t="n">
        <f aca="false">MAX(0,MAX($L$2:L114))</f>
        <v>141.537915625</v>
      </c>
      <c r="N114" s="28" t="n">
        <f aca="false">L114-M114</f>
        <v>0</v>
      </c>
      <c r="O114" s="25" t="n">
        <f aca="false">IF(N114&gt;=-0.0000001,A114,O113)</f>
        <v>46125</v>
      </c>
      <c r="P114" s="29" t="n">
        <f aca="false">IF(AND(N114&gt;=-0.0000001,N113&lt;0),1,0)</f>
        <v>0</v>
      </c>
      <c r="Q114" s="30" t="str">
        <f aca="false">IF(P114=1,A114-O113,"")</f>
        <v/>
      </c>
    </row>
    <row r="115" customFormat="false" ht="15" hidden="false" customHeight="false" outlineLevel="0" collapsed="false">
      <c r="A115" s="25" t="n">
        <v>46129</v>
      </c>
      <c r="B115" s="26" t="s">
        <v>83</v>
      </c>
      <c r="C115" s="27" t="n">
        <v>-536.25</v>
      </c>
      <c r="D115" s="28" t="n">
        <f aca="false">C115/$T$1*100</f>
        <v>-0.167578125</v>
      </c>
      <c r="E115" s="28" t="n">
        <f aca="false">E114+D115</f>
        <v>117.290690625</v>
      </c>
      <c r="F115" s="28" t="n">
        <f aca="false">MAX(0,MAX($E$2:E115))</f>
        <v>117.45826875</v>
      </c>
      <c r="G115" s="28" t="n">
        <f aca="false">E115-F115</f>
        <v>-0.167578125000006</v>
      </c>
      <c r="H115" s="25" t="n">
        <f aca="false">IF(G115&gt;=-0.0000001,A115,H114)</f>
        <v>46125</v>
      </c>
      <c r="I115" s="29" t="n">
        <f aca="false">IF(AND(G115&gt;=-0.0000001,G114&lt;0),1,0)</f>
        <v>0</v>
      </c>
      <c r="J115" s="30" t="str">
        <f aca="false">IF(I115=1,A115-H114,"")</f>
        <v/>
      </c>
      <c r="K115" s="27" t="n">
        <f aca="false">IF(B115="Wednesday",0,C115)</f>
        <v>-536.25</v>
      </c>
      <c r="L115" s="28" t="n">
        <f aca="false">L114+K115/$T$1*100</f>
        <v>141.3703375</v>
      </c>
      <c r="M115" s="28" t="n">
        <f aca="false">MAX(0,MAX($L$2:L115))</f>
        <v>141.537915625</v>
      </c>
      <c r="N115" s="28" t="n">
        <f aca="false">L115-M115</f>
        <v>-0.167578125000006</v>
      </c>
      <c r="O115" s="25" t="n">
        <f aca="false">IF(N115&gt;=-0.0000001,A115,O114)</f>
        <v>46125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46133</v>
      </c>
      <c r="B116" s="26" t="s">
        <v>80</v>
      </c>
      <c r="C116" s="27" t="n">
        <v>-20046</v>
      </c>
      <c r="D116" s="28" t="n">
        <f aca="false">C116/$T$1*100</f>
        <v>-6.264375</v>
      </c>
      <c r="E116" s="28" t="n">
        <f aca="false">E115+D116</f>
        <v>111.026315625</v>
      </c>
      <c r="F116" s="28" t="n">
        <f aca="false">MAX(0,MAX($E$2:E116))</f>
        <v>117.45826875</v>
      </c>
      <c r="G116" s="28" t="n">
        <f aca="false">E116-F116</f>
        <v>-6.43195312500001</v>
      </c>
      <c r="H116" s="25" t="n">
        <f aca="false">IF(G116&gt;=-0.0000001,A116,H115)</f>
        <v>46125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-20046</v>
      </c>
      <c r="L116" s="28" t="n">
        <f aca="false">L115+K116/$T$1*100</f>
        <v>135.1059625</v>
      </c>
      <c r="M116" s="28" t="n">
        <f aca="false">MAX(0,MAX($L$2:L116))</f>
        <v>141.537915625</v>
      </c>
      <c r="N116" s="28" t="n">
        <f aca="false">L116-M116</f>
        <v>-6.43195312500001</v>
      </c>
      <c r="O116" s="25" t="n">
        <f aca="false">IF(N116&gt;=-0.0000001,A116,O115)</f>
        <v>46125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46135</v>
      </c>
      <c r="B117" s="26" t="s">
        <v>82</v>
      </c>
      <c r="C117" s="27" t="n">
        <v>26000</v>
      </c>
      <c r="D117" s="28" t="n">
        <f aca="false">C117/$T$1*100</f>
        <v>8.125</v>
      </c>
      <c r="E117" s="28" t="n">
        <f aca="false">E116+D117</f>
        <v>119.151315625</v>
      </c>
      <c r="F117" s="28" t="n">
        <f aca="false">MAX(0,MAX($E$2:E117))</f>
        <v>119.151315625</v>
      </c>
      <c r="G117" s="28" t="n">
        <f aca="false">E117-F117</f>
        <v>0</v>
      </c>
      <c r="H117" s="25" t="n">
        <f aca="false">IF(G117&gt;=-0.0000001,A117,H116)</f>
        <v>46135</v>
      </c>
      <c r="I117" s="29" t="n">
        <f aca="false">IF(AND(G117&gt;=-0.0000001,G116&lt;0),1,0)</f>
        <v>1</v>
      </c>
      <c r="J117" s="30" t="n">
        <f aca="false">IF(I117=1,A117-H116,"")</f>
        <v>10</v>
      </c>
      <c r="K117" s="27" t="n">
        <f aca="false">IF(B117="Wednesday",0,C117)</f>
        <v>26000</v>
      </c>
      <c r="L117" s="28" t="n">
        <f aca="false">L116+K117/$T$1*100</f>
        <v>143.2309625</v>
      </c>
      <c r="M117" s="28" t="n">
        <f aca="false">MAX(0,MAX($L$2:L117))</f>
        <v>143.2309625</v>
      </c>
      <c r="N117" s="28" t="n">
        <f aca="false">L117-M117</f>
        <v>0</v>
      </c>
      <c r="O117" s="25" t="n">
        <f aca="false">IF(N117&gt;=-0.0000001,A117,O116)</f>
        <v>46135</v>
      </c>
      <c r="P117" s="29" t="n">
        <f aca="false">IF(AND(N117&gt;=-0.0000001,N116&lt;0),1,0)</f>
        <v>1</v>
      </c>
      <c r="Q117" s="30" t="n">
        <f aca="false">IF(P117=1,A117-O116,"")</f>
        <v>10</v>
      </c>
    </row>
    <row r="118" customFormat="false" ht="15" hidden="false" customHeight="false" outlineLevel="0" collapsed="false">
      <c r="A118" s="25" t="n">
        <v>46136</v>
      </c>
      <c r="B118" s="26" t="s">
        <v>83</v>
      </c>
      <c r="C118" s="27" t="n">
        <v>6321.25</v>
      </c>
      <c r="D118" s="28" t="n">
        <f aca="false">C118/$T$1*100</f>
        <v>1.975390625</v>
      </c>
      <c r="E118" s="28" t="n">
        <f aca="false">E117+D118</f>
        <v>121.12670625</v>
      </c>
      <c r="F118" s="28" t="n">
        <f aca="false">MAX(0,MAX($E$2:E118))</f>
        <v>121.12670625</v>
      </c>
      <c r="G118" s="28" t="n">
        <f aca="false">E118-F118</f>
        <v>0</v>
      </c>
      <c r="H118" s="25" t="n">
        <f aca="false">IF(G118&gt;=-0.0000001,A118,H117)</f>
        <v>46136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6321.25</v>
      </c>
      <c r="L118" s="28" t="n">
        <f aca="false">L117+K118/$T$1*100</f>
        <v>145.206353125</v>
      </c>
      <c r="M118" s="28" t="n">
        <f aca="false">MAX(0,MAX($L$2:L118))</f>
        <v>145.206353125</v>
      </c>
      <c r="N118" s="28" t="n">
        <f aca="false">L118-M118</f>
        <v>0</v>
      </c>
      <c r="O118" s="25" t="n">
        <f aca="false">IF(N118&gt;=-0.0000001,A118,O117)</f>
        <v>46136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46140</v>
      </c>
      <c r="B119" s="26" t="s">
        <v>80</v>
      </c>
      <c r="C119" s="27" t="n">
        <v>32344</v>
      </c>
      <c r="D119" s="28" t="n">
        <f aca="false">C119/$T$1*100</f>
        <v>10.1075</v>
      </c>
      <c r="E119" s="28" t="n">
        <f aca="false">E118+D119</f>
        <v>131.23420625</v>
      </c>
      <c r="F119" s="28" t="n">
        <f aca="false">MAX(0,MAX($E$2:E119))</f>
        <v>131.23420625</v>
      </c>
      <c r="G119" s="28" t="n">
        <f aca="false">E119-F119</f>
        <v>0</v>
      </c>
      <c r="H119" s="25" t="n">
        <f aca="false">IF(G119&gt;=-0.0000001,A119,H118)</f>
        <v>46140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32344</v>
      </c>
      <c r="L119" s="28" t="n">
        <f aca="false">L118+K119/$T$1*100</f>
        <v>155.313853125</v>
      </c>
      <c r="M119" s="28" t="n">
        <f aca="false">MAX(0,MAX($L$2:L119))</f>
        <v>155.313853125</v>
      </c>
      <c r="N119" s="28" t="n">
        <f aca="false">L119-M119</f>
        <v>0</v>
      </c>
      <c r="O119" s="25" t="n">
        <f aca="false">IF(N119&gt;=-0.0000001,A119,O118)</f>
        <v>46140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46142</v>
      </c>
      <c r="B120" s="26" t="s">
        <v>82</v>
      </c>
      <c r="C120" s="27" t="n">
        <v>26682.5</v>
      </c>
      <c r="D120" s="28" t="n">
        <f aca="false">C120/$T$1*100</f>
        <v>8.33828125</v>
      </c>
      <c r="E120" s="28" t="n">
        <f aca="false">E119+D120</f>
        <v>139.5724875</v>
      </c>
      <c r="F120" s="28" t="n">
        <f aca="false">MAX(0,MAX($E$2:E120))</f>
        <v>139.5724875</v>
      </c>
      <c r="G120" s="28" t="n">
        <f aca="false">E120-F120</f>
        <v>0</v>
      </c>
      <c r="H120" s="25" t="n">
        <f aca="false">IF(G120&gt;=-0.0000001,A120,H119)</f>
        <v>46142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26682.5</v>
      </c>
      <c r="L120" s="28" t="n">
        <f aca="false">L119+K120/$T$1*100</f>
        <v>163.652134375</v>
      </c>
      <c r="M120" s="28" t="n">
        <f aca="false">MAX(0,MAX($L$2:L120))</f>
        <v>163.652134375</v>
      </c>
      <c r="N120" s="28" t="n">
        <f aca="false">L120-M120</f>
        <v>0</v>
      </c>
      <c r="O120" s="25" t="n">
        <f aca="false">IF(N120&gt;=-0.0000001,A120,O119)</f>
        <v>46142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46147</v>
      </c>
      <c r="B121" s="26" t="s">
        <v>80</v>
      </c>
      <c r="C121" s="27" t="n">
        <v>25012</v>
      </c>
      <c r="D121" s="28" t="n">
        <f aca="false">C121/$T$1*100</f>
        <v>7.81625</v>
      </c>
      <c r="E121" s="28" t="n">
        <f aca="false">E120+D121</f>
        <v>147.3887375</v>
      </c>
      <c r="F121" s="28" t="n">
        <f aca="false">MAX(0,MAX($E$2:E121))</f>
        <v>147.3887375</v>
      </c>
      <c r="G121" s="28" t="n">
        <f aca="false">E121-F121</f>
        <v>0</v>
      </c>
      <c r="H121" s="25" t="n">
        <f aca="false">IF(G121&gt;=-0.0000001,A121,H120)</f>
        <v>46147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25012</v>
      </c>
      <c r="L121" s="28" t="n">
        <f aca="false">L120+K121/$T$1*100</f>
        <v>171.468384375</v>
      </c>
      <c r="M121" s="28" t="n">
        <f aca="false">MAX(0,MAX($L$2:L121))</f>
        <v>171.468384375</v>
      </c>
      <c r="N121" s="28" t="n">
        <f aca="false">L121-M121</f>
        <v>0</v>
      </c>
      <c r="O121" s="25" t="n">
        <f aca="false">IF(N121&gt;=-0.0000001,A121,O120)</f>
        <v>46147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46148</v>
      </c>
      <c r="B122" s="26" t="s">
        <v>81</v>
      </c>
      <c r="C122" s="27" t="n">
        <v>-13357.5</v>
      </c>
      <c r="D122" s="28" t="n">
        <f aca="false">C122/$T$1*100</f>
        <v>-4.17421875</v>
      </c>
      <c r="E122" s="28" t="n">
        <f aca="false">E121+D122</f>
        <v>143.21451875</v>
      </c>
      <c r="F122" s="28" t="n">
        <f aca="false">MAX(0,MAX($E$2:E122))</f>
        <v>147.3887375</v>
      </c>
      <c r="G122" s="28" t="n">
        <f aca="false">E122-F122</f>
        <v>-4.17421874999999</v>
      </c>
      <c r="H122" s="25" t="n">
        <f aca="false">IF(G122&gt;=-0.0000001,A122,H121)</f>
        <v>46147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0</v>
      </c>
      <c r="L122" s="28" t="n">
        <f aca="false">L121+K122/$T$1*100</f>
        <v>171.468384375</v>
      </c>
      <c r="M122" s="28" t="n">
        <f aca="false">MAX(0,MAX($L$2:L122))</f>
        <v>171.468384375</v>
      </c>
      <c r="N122" s="28" t="n">
        <f aca="false">L122-M122</f>
        <v>0</v>
      </c>
      <c r="O122" s="25" t="n">
        <f aca="false">IF(N122&gt;=-0.0000001,A122,O121)</f>
        <v>46148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46149</v>
      </c>
      <c r="B123" s="26" t="s">
        <v>82</v>
      </c>
      <c r="C123" s="27" t="n">
        <v>28665</v>
      </c>
      <c r="D123" s="28" t="n">
        <f aca="false">C123/$T$1*100</f>
        <v>8.9578125</v>
      </c>
      <c r="E123" s="28" t="n">
        <f aca="false">E122+D123</f>
        <v>152.17233125</v>
      </c>
      <c r="F123" s="28" t="n">
        <f aca="false">MAX(0,MAX($E$2:E123))</f>
        <v>152.17233125</v>
      </c>
      <c r="G123" s="28" t="n">
        <f aca="false">E123-F123</f>
        <v>0</v>
      </c>
      <c r="H123" s="25" t="n">
        <f aca="false">IF(G123&gt;=-0.0000001,A123,H122)</f>
        <v>46149</v>
      </c>
      <c r="I123" s="29" t="n">
        <f aca="false">IF(AND(G123&gt;=-0.0000001,G122&lt;0),1,0)</f>
        <v>1</v>
      </c>
      <c r="J123" s="30" t="n">
        <f aca="false">IF(I123=1,A123-H122,"")</f>
        <v>2</v>
      </c>
      <c r="K123" s="27" t="n">
        <f aca="false">IF(B123="Wednesday",0,C123)</f>
        <v>28665</v>
      </c>
      <c r="L123" s="28" t="n">
        <f aca="false">L122+K123/$T$1*100</f>
        <v>180.426196875</v>
      </c>
      <c r="M123" s="28" t="n">
        <f aca="false">MAX(0,MAX($L$2:L123))</f>
        <v>180.426196875</v>
      </c>
      <c r="N123" s="28" t="n">
        <f aca="false">L123-M123</f>
        <v>0</v>
      </c>
      <c r="O123" s="25" t="n">
        <f aca="false">IF(N123&gt;=-0.0000001,A123,O122)</f>
        <v>46149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46150</v>
      </c>
      <c r="B124" s="26" t="s">
        <v>83</v>
      </c>
      <c r="C124" s="27" t="n">
        <v>-14820</v>
      </c>
      <c r="D124" s="28" t="n">
        <f aca="false">C124/$T$1*100</f>
        <v>-4.63125</v>
      </c>
      <c r="E124" s="28" t="n">
        <f aca="false">E123+D124</f>
        <v>147.54108125</v>
      </c>
      <c r="F124" s="28" t="n">
        <f aca="false">MAX(0,MAX($E$2:E124))</f>
        <v>152.17233125</v>
      </c>
      <c r="G124" s="28" t="n">
        <f aca="false">E124-F124</f>
        <v>-4.63124999999999</v>
      </c>
      <c r="H124" s="25" t="n">
        <f aca="false">IF(G124&gt;=-0.0000001,A124,H123)</f>
        <v>46149</v>
      </c>
      <c r="I124" s="29" t="n">
        <f aca="false">IF(AND(G124&gt;=-0.0000001,G123&lt;0),1,0)</f>
        <v>0</v>
      </c>
      <c r="J124" s="30" t="str">
        <f aca="false">IF(I124=1,A124-H123,"")</f>
        <v/>
      </c>
      <c r="K124" s="27" t="n">
        <f aca="false">IF(B124="Wednesday",0,C124)</f>
        <v>-14820</v>
      </c>
      <c r="L124" s="28" t="n">
        <f aca="false">L123+K124/$T$1*100</f>
        <v>175.794946875</v>
      </c>
      <c r="M124" s="28" t="n">
        <f aca="false">MAX(0,MAX($L$2:L124))</f>
        <v>180.426196875</v>
      </c>
      <c r="N124" s="28" t="n">
        <f aca="false">L124-M124</f>
        <v>-4.63124999999999</v>
      </c>
      <c r="O124" s="25" t="n">
        <f aca="false">IF(N124&gt;=-0.0000001,A124,O123)</f>
        <v>46149</v>
      </c>
      <c r="P124" s="29" t="n">
        <f aca="false">IF(AND(N124&gt;=-0.0000001,N123&lt;0),1,0)</f>
        <v>0</v>
      </c>
      <c r="Q124" s="30" t="str">
        <f aca="false">IF(P124=1,A124-O123,"")</f>
        <v/>
      </c>
    </row>
    <row r="125" customFormat="false" ht="15" hidden="false" customHeight="false" outlineLevel="0" collapsed="false">
      <c r="A125" s="25" t="n">
        <v>46153</v>
      </c>
      <c r="B125" s="26" t="s">
        <v>79</v>
      </c>
      <c r="C125" s="27" t="n">
        <v>-32516.25</v>
      </c>
      <c r="D125" s="28" t="n">
        <f aca="false">C125/$T$1*100</f>
        <v>-10.161328125</v>
      </c>
      <c r="E125" s="28" t="n">
        <f aca="false">E124+D125</f>
        <v>137.379753125</v>
      </c>
      <c r="F125" s="28" t="n">
        <f aca="false">MAX(0,MAX($E$2:E125))</f>
        <v>152.17233125</v>
      </c>
      <c r="G125" s="28" t="n">
        <f aca="false">E125-F125</f>
        <v>-14.792578125</v>
      </c>
      <c r="H125" s="25" t="n">
        <f aca="false">IF(G125&gt;=-0.0000001,A125,H124)</f>
        <v>46149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-32516.25</v>
      </c>
      <c r="L125" s="28" t="n">
        <f aca="false">L124+K125/$T$1*100</f>
        <v>165.63361875</v>
      </c>
      <c r="M125" s="28" t="n">
        <f aca="false">MAX(0,MAX($L$2:L125))</f>
        <v>180.426196875</v>
      </c>
      <c r="N125" s="28" t="n">
        <f aca="false">L125-M125</f>
        <v>-14.792578125</v>
      </c>
      <c r="O125" s="25" t="n">
        <f aca="false">IF(N125&gt;=-0.0000001,A125,O124)</f>
        <v>46149</v>
      </c>
      <c r="P125" s="29" t="n">
        <f aca="false">IF(AND(N125&gt;=-0.0000001,N124&lt;0),1,0)</f>
        <v>0</v>
      </c>
      <c r="Q125" s="30" t="str">
        <f aca="false">IF(P125=1,A125-O124,"")</f>
        <v/>
      </c>
    </row>
    <row r="126" customFormat="false" ht="15" hidden="false" customHeight="false" outlineLevel="0" collapsed="false">
      <c r="A126" s="25" t="n">
        <v>46154</v>
      </c>
      <c r="B126" s="26" t="s">
        <v>80</v>
      </c>
      <c r="C126" s="27" t="n">
        <v>-19942</v>
      </c>
      <c r="D126" s="28" t="n">
        <f aca="false">C126/$T$1*100</f>
        <v>-6.231875</v>
      </c>
      <c r="E126" s="28" t="n">
        <f aca="false">E125+D126</f>
        <v>131.147878125</v>
      </c>
      <c r="F126" s="28" t="n">
        <f aca="false">MAX(0,MAX($E$2:E126))</f>
        <v>152.17233125</v>
      </c>
      <c r="G126" s="28" t="n">
        <f aca="false">E126-F126</f>
        <v>-21.024453125</v>
      </c>
      <c r="H126" s="25" t="n">
        <f aca="false">IF(G126&gt;=-0.0000001,A126,H125)</f>
        <v>46149</v>
      </c>
      <c r="I126" s="29" t="n">
        <f aca="false">IF(AND(G126&gt;=-0.0000001,G125&lt;0),1,0)</f>
        <v>0</v>
      </c>
      <c r="J126" s="30" t="str">
        <f aca="false">IF(I126=1,A126-H125,"")</f>
        <v/>
      </c>
      <c r="K126" s="27" t="n">
        <f aca="false">IF(B126="Wednesday",0,C126)</f>
        <v>-19942</v>
      </c>
      <c r="L126" s="28" t="n">
        <f aca="false">L125+K126/$T$1*100</f>
        <v>159.40174375</v>
      </c>
      <c r="M126" s="28" t="n">
        <f aca="false">MAX(0,MAX($L$2:L126))</f>
        <v>180.426196875</v>
      </c>
      <c r="N126" s="28" t="n">
        <f aca="false">L126-M126</f>
        <v>-21.024453125</v>
      </c>
      <c r="O126" s="25" t="n">
        <f aca="false">IF(N126&gt;=-0.0000001,A126,O125)</f>
        <v>46149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46157</v>
      </c>
      <c r="B127" s="26" t="s">
        <v>83</v>
      </c>
      <c r="C127" s="27" t="n">
        <v>12350</v>
      </c>
      <c r="D127" s="28" t="n">
        <f aca="false">C127/$T$1*100</f>
        <v>3.859375</v>
      </c>
      <c r="E127" s="28" t="n">
        <f aca="false">E126+D127</f>
        <v>135.007253125</v>
      </c>
      <c r="F127" s="28" t="n">
        <f aca="false">MAX(0,MAX($E$2:E127))</f>
        <v>152.17233125</v>
      </c>
      <c r="G127" s="28" t="n">
        <f aca="false">E127-F127</f>
        <v>-17.165078125</v>
      </c>
      <c r="H127" s="25" t="n">
        <f aca="false">IF(G127&gt;=-0.0000001,A127,H126)</f>
        <v>46149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12350</v>
      </c>
      <c r="L127" s="28" t="n">
        <f aca="false">L126+K127/$T$1*100</f>
        <v>163.26111875</v>
      </c>
      <c r="M127" s="28" t="n">
        <f aca="false">MAX(0,MAX($L$2:L127))</f>
        <v>180.426196875</v>
      </c>
      <c r="N127" s="28" t="n">
        <f aca="false">L127-M127</f>
        <v>-17.165078125</v>
      </c>
      <c r="O127" s="25" t="n">
        <f aca="false">IF(N127&gt;=-0.0000001,A127,O126)</f>
        <v>46149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46161</v>
      </c>
      <c r="B128" s="26" t="s">
        <v>80</v>
      </c>
      <c r="C128" s="27" t="n">
        <v>27170</v>
      </c>
      <c r="D128" s="28" t="n">
        <f aca="false">C128/$T$1*100</f>
        <v>8.490625</v>
      </c>
      <c r="E128" s="28" t="n">
        <f aca="false">E127+D128</f>
        <v>143.497878125</v>
      </c>
      <c r="F128" s="28" t="n">
        <f aca="false">MAX(0,MAX($E$2:E128))</f>
        <v>152.17233125</v>
      </c>
      <c r="G128" s="28" t="n">
        <f aca="false">E128-F128</f>
        <v>-8.67445312500001</v>
      </c>
      <c r="H128" s="25" t="n">
        <f aca="false">IF(G128&gt;=-0.0000001,A128,H127)</f>
        <v>46149</v>
      </c>
      <c r="I128" s="29" t="n">
        <f aca="false">IF(AND(G128&gt;=-0.0000001,G127&lt;0),1,0)</f>
        <v>0</v>
      </c>
      <c r="J128" s="30" t="str">
        <f aca="false">IF(I128=1,A128-H127,"")</f>
        <v/>
      </c>
      <c r="K128" s="27" t="n">
        <f aca="false">IF(B128="Wednesday",0,C128)</f>
        <v>27170</v>
      </c>
      <c r="L128" s="28" t="n">
        <f aca="false">L127+K128/$T$1*100</f>
        <v>171.75174375</v>
      </c>
      <c r="M128" s="28" t="n">
        <f aca="false">MAX(0,MAX($L$2:L128))</f>
        <v>180.426196875</v>
      </c>
      <c r="N128" s="28" t="n">
        <f aca="false">L128-M128</f>
        <v>-8.67445312500001</v>
      </c>
      <c r="O128" s="25" t="n">
        <f aca="false">IF(N128&gt;=-0.0000001,A128,O127)</f>
        <v>46149</v>
      </c>
      <c r="P128" s="29" t="n">
        <f aca="false">IF(AND(N128&gt;=-0.0000001,N127&lt;0),1,0)</f>
        <v>0</v>
      </c>
      <c r="Q128" s="30" t="str">
        <f aca="false">IF(P128=1,A128-O127,"")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320000</v>
      </c>
    </row>
    <row r="2" customFormat="false" ht="15" hidden="false" customHeight="false" outlineLevel="0" collapsed="false">
      <c r="A2" s="25" t="n">
        <v>45814</v>
      </c>
      <c r="B2" s="26" t="s">
        <v>83</v>
      </c>
      <c r="C2" s="27" t="n">
        <v>-15253.72</v>
      </c>
      <c r="D2" s="28" t="n">
        <f aca="false">C2/$T$1*100</f>
        <v>-4.7667875</v>
      </c>
      <c r="E2" s="28" t="n">
        <f aca="false">D2</f>
        <v>-4.7667875</v>
      </c>
      <c r="F2" s="28" t="n">
        <f aca="false">MAX(0,MAX($E$2:E2))</f>
        <v>0</v>
      </c>
      <c r="G2" s="28" t="n">
        <f aca="false">E2-F2</f>
        <v>-4.7667875</v>
      </c>
      <c r="H2" s="25" t="n">
        <f aca="false">IF(G2&gt;=-0.0000001,A2,A2)</f>
        <v>45814</v>
      </c>
      <c r="I2" s="29" t="n">
        <v>0</v>
      </c>
      <c r="J2" s="30"/>
      <c r="K2" s="27" t="n">
        <f aca="false">IF(B2="Wednesday",0,C2)</f>
        <v>-15253.72</v>
      </c>
      <c r="L2" s="28" t="n">
        <f aca="false">K2/$T$1*100</f>
        <v>-4.7667875</v>
      </c>
      <c r="M2" s="28" t="n">
        <f aca="false">MAX(0,MAX($L$2:L2))</f>
        <v>0</v>
      </c>
      <c r="N2" s="28" t="n">
        <f aca="false">L2-M2</f>
        <v>-4.7667875</v>
      </c>
      <c r="O2" s="25" t="n">
        <f aca="false">IF(N2&gt;=-0.0000001,A2,A2)</f>
        <v>45814</v>
      </c>
      <c r="P2" s="29" t="n">
        <v>0</v>
      </c>
      <c r="Q2" s="30"/>
      <c r="S2" s="23" t="s">
        <v>108</v>
      </c>
      <c r="T2" s="31" t="n">
        <f aca="false">MAX(A2:A122)</f>
        <v>46171</v>
      </c>
    </row>
    <row r="3" customFormat="false" ht="15" hidden="false" customHeight="false" outlineLevel="0" collapsed="false">
      <c r="A3" s="25" t="n">
        <v>45817</v>
      </c>
      <c r="B3" s="26" t="s">
        <v>79</v>
      </c>
      <c r="C3" s="27" t="n">
        <v>14259.93</v>
      </c>
      <c r="D3" s="28" t="n">
        <f aca="false">C3/$T$1*100</f>
        <v>4.456228125</v>
      </c>
      <c r="E3" s="28" t="n">
        <f aca="false">E2+D3</f>
        <v>-0.310559375</v>
      </c>
      <c r="F3" s="28" t="n">
        <f aca="false">MAX(0,MAX($E$2:E3))</f>
        <v>0</v>
      </c>
      <c r="G3" s="28" t="n">
        <f aca="false">E3-F3</f>
        <v>-0.310559375</v>
      </c>
      <c r="H3" s="25" t="n">
        <f aca="false">IF(G3&gt;=-0.0000001,A3,H2)</f>
        <v>45814</v>
      </c>
      <c r="I3" s="29" t="n">
        <f aca="false">IF(AND(G3&gt;=-0.0000001,G2&lt;0),1,0)</f>
        <v>0</v>
      </c>
      <c r="J3" s="30" t="str">
        <f aca="false">IF(I3=1,A3-H2,"")</f>
        <v/>
      </c>
      <c r="K3" s="27" t="n">
        <f aca="false">IF(B3="Wednesday",0,C3)</f>
        <v>14259.93</v>
      </c>
      <c r="L3" s="28" t="n">
        <f aca="false">L2+K3/$T$1*100</f>
        <v>-0.310559375</v>
      </c>
      <c r="M3" s="28" t="n">
        <f aca="false">MAX(0,MAX($L$2:L3))</f>
        <v>0</v>
      </c>
      <c r="N3" s="28" t="n">
        <f aca="false">L3-M3</f>
        <v>-0.310559375</v>
      </c>
      <c r="O3" s="25" t="n">
        <f aca="false">IF(N3&gt;=-0.0000001,A3,O2)</f>
        <v>45814</v>
      </c>
      <c r="P3" s="29" t="n">
        <f aca="false">IF(AND(N3&gt;=-0.0000001,N2&lt;0),1,0)</f>
        <v>0</v>
      </c>
      <c r="Q3" s="30" t="str">
        <f aca="false">IF(P3=1,A3-O2,"")</f>
        <v/>
      </c>
      <c r="S3" s="23" t="s">
        <v>109</v>
      </c>
      <c r="T3" s="31" t="n">
        <f aca="false">EDATE($T$2,-1)</f>
        <v>46141</v>
      </c>
    </row>
    <row r="4" customFormat="false" ht="15" hidden="false" customHeight="false" outlineLevel="0" collapsed="false">
      <c r="A4" s="25" t="n">
        <v>45820</v>
      </c>
      <c r="B4" s="26" t="s">
        <v>82</v>
      </c>
      <c r="C4" s="27" t="n">
        <v>17909.47</v>
      </c>
      <c r="D4" s="28" t="n">
        <f aca="false">C4/$T$1*100</f>
        <v>5.596709375</v>
      </c>
      <c r="E4" s="28" t="n">
        <f aca="false">E3+D4</f>
        <v>5.28615</v>
      </c>
      <c r="F4" s="28" t="n">
        <f aca="false">MAX(0,MAX($E$2:E4))</f>
        <v>5.28615</v>
      </c>
      <c r="G4" s="28" t="n">
        <f aca="false">E4-F4</f>
        <v>0</v>
      </c>
      <c r="H4" s="25" t="n">
        <f aca="false">IF(G4&gt;=-0.0000001,A4,H3)</f>
        <v>45820</v>
      </c>
      <c r="I4" s="29" t="n">
        <f aca="false">IF(AND(G4&gt;=-0.0000001,G3&lt;0),1,0)</f>
        <v>1</v>
      </c>
      <c r="J4" s="30" t="n">
        <f aca="false">IF(I4=1,A4-H3,"")</f>
        <v>6</v>
      </c>
      <c r="K4" s="27" t="n">
        <f aca="false">IF(B4="Wednesday",0,C4)</f>
        <v>17909.47</v>
      </c>
      <c r="L4" s="28" t="n">
        <f aca="false">L3+K4/$T$1*100</f>
        <v>5.28615</v>
      </c>
      <c r="M4" s="28" t="n">
        <f aca="false">MAX(0,MAX($L$2:L4))</f>
        <v>5.28615</v>
      </c>
      <c r="N4" s="28" t="n">
        <f aca="false">L4-M4</f>
        <v>0</v>
      </c>
      <c r="O4" s="25" t="n">
        <f aca="false">IF(N4&gt;=-0.0000001,A4,O3)</f>
        <v>45820</v>
      </c>
      <c r="P4" s="29" t="n">
        <f aca="false">IF(AND(N4&gt;=-0.0000001,N3&lt;0),1,0)</f>
        <v>1</v>
      </c>
      <c r="Q4" s="30" t="n">
        <f aca="false">IF(P4=1,A4-O3,"")</f>
        <v>6</v>
      </c>
      <c r="S4" s="23" t="s">
        <v>110</v>
      </c>
      <c r="T4" s="31" t="n">
        <f aca="false">EDATE($T$2,-3)</f>
        <v>46081</v>
      </c>
    </row>
    <row r="5" customFormat="false" ht="15" hidden="false" customHeight="false" outlineLevel="0" collapsed="false">
      <c r="A5" s="25" t="n">
        <v>45824</v>
      </c>
      <c r="B5" s="26" t="s">
        <v>79</v>
      </c>
      <c r="C5" s="27" t="n">
        <v>-17031.61</v>
      </c>
      <c r="D5" s="28" t="n">
        <f aca="false">C5/$T$1*100</f>
        <v>-5.322378125</v>
      </c>
      <c r="E5" s="28" t="n">
        <f aca="false">E4+D5</f>
        <v>-0.0362281249999992</v>
      </c>
      <c r="F5" s="28" t="n">
        <f aca="false">MAX(0,MAX($E$2:E5))</f>
        <v>5.28615</v>
      </c>
      <c r="G5" s="28" t="n">
        <f aca="false">E5-F5</f>
        <v>-5.322378125</v>
      </c>
      <c r="H5" s="25" t="n">
        <f aca="false">IF(G5&gt;=-0.0000001,A5,H4)</f>
        <v>45820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-17031.61</v>
      </c>
      <c r="L5" s="28" t="n">
        <f aca="false">L4+K5/$T$1*100</f>
        <v>-0.0362281249999992</v>
      </c>
      <c r="M5" s="28" t="n">
        <f aca="false">MAX(0,MAX($L$2:L5))</f>
        <v>5.28615</v>
      </c>
      <c r="N5" s="28" t="n">
        <f aca="false">L5-M5</f>
        <v>-5.322378125</v>
      </c>
      <c r="O5" s="25" t="n">
        <f aca="false">IF(N5&gt;=-0.0000001,A5,O4)</f>
        <v>45820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45990</v>
      </c>
    </row>
    <row r="6" customFormat="false" ht="15" hidden="false" customHeight="false" outlineLevel="0" collapsed="false">
      <c r="A6" s="25" t="n">
        <v>45826</v>
      </c>
      <c r="B6" s="26" t="s">
        <v>81</v>
      </c>
      <c r="C6" s="27" t="n">
        <v>-13788.47</v>
      </c>
      <c r="D6" s="28" t="n">
        <f aca="false">C6/$T$1*100</f>
        <v>-4.308896875</v>
      </c>
      <c r="E6" s="28" t="n">
        <f aca="false">E5+D6</f>
        <v>-4.345125</v>
      </c>
      <c r="F6" s="28" t="n">
        <f aca="false">MAX(0,MAX($E$2:E6))</f>
        <v>5.28615</v>
      </c>
      <c r="G6" s="28" t="n">
        <f aca="false">E6-F6</f>
        <v>-9.631275</v>
      </c>
      <c r="H6" s="25" t="n">
        <f aca="false">IF(G6&gt;=-0.0000001,A6,H5)</f>
        <v>45820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0</v>
      </c>
      <c r="L6" s="28" t="n">
        <f aca="false">L5+K6/$T$1*100</f>
        <v>-0.0362281249999992</v>
      </c>
      <c r="M6" s="28" t="n">
        <f aca="false">MAX(0,MAX($L$2:L6))</f>
        <v>5.28615</v>
      </c>
      <c r="N6" s="28" t="n">
        <f aca="false">L6-M6</f>
        <v>-5.322378125</v>
      </c>
      <c r="O6" s="25" t="n">
        <f aca="false">IF(N6&gt;=-0.0000001,A6,O5)</f>
        <v>45820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45806</v>
      </c>
    </row>
    <row r="7" customFormat="false" ht="15" hidden="false" customHeight="false" outlineLevel="0" collapsed="false">
      <c r="A7" s="25" t="n">
        <v>45827</v>
      </c>
      <c r="B7" s="26" t="s">
        <v>82</v>
      </c>
      <c r="C7" s="27" t="n">
        <v>6476.73</v>
      </c>
      <c r="D7" s="28" t="n">
        <f aca="false">C7/$T$1*100</f>
        <v>2.023978125</v>
      </c>
      <c r="E7" s="28" t="n">
        <f aca="false">E6+D7</f>
        <v>-2.321146875</v>
      </c>
      <c r="F7" s="28" t="n">
        <f aca="false">MAX(0,MAX($E$2:E7))</f>
        <v>5.28615</v>
      </c>
      <c r="G7" s="28" t="n">
        <f aca="false">E7-F7</f>
        <v>-7.607296875</v>
      </c>
      <c r="H7" s="25" t="n">
        <f aca="false">IF(G7&gt;=-0.0000001,A7,H6)</f>
        <v>45820</v>
      </c>
      <c r="I7" s="29" t="n">
        <f aca="false">IF(AND(G7&gt;=-0.0000001,G6&lt;0),1,0)</f>
        <v>0</v>
      </c>
      <c r="J7" s="30" t="str">
        <f aca="false">IF(I7=1,A7-H6,"")</f>
        <v/>
      </c>
      <c r="K7" s="27" t="n">
        <f aca="false">IF(B7="Wednesday",0,C7)</f>
        <v>6476.73</v>
      </c>
      <c r="L7" s="28" t="n">
        <f aca="false">L6+K7/$T$1*100</f>
        <v>1.98775</v>
      </c>
      <c r="M7" s="28" t="n">
        <f aca="false">MAX(0,MAX($L$2:L7))</f>
        <v>5.28615</v>
      </c>
      <c r="N7" s="28" t="n">
        <f aca="false">L7-M7</f>
        <v>-3.2984</v>
      </c>
      <c r="O7" s="25" t="n">
        <f aca="false">IF(N7&gt;=-0.0000001,A7,O6)</f>
        <v>45820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IF(G122&lt;-0.0000001,$T$2-H122,0)</f>
        <v>10</v>
      </c>
    </row>
    <row r="8" customFormat="false" ht="15" hidden="false" customHeight="false" outlineLevel="0" collapsed="false">
      <c r="A8" s="25" t="n">
        <v>45834</v>
      </c>
      <c r="B8" s="26" t="s">
        <v>82</v>
      </c>
      <c r="C8" s="27" t="n">
        <v>26066.85</v>
      </c>
      <c r="D8" s="28" t="n">
        <f aca="false">C8/$T$1*100</f>
        <v>8.145890625</v>
      </c>
      <c r="E8" s="28" t="n">
        <f aca="false">E7+D8</f>
        <v>5.82474375</v>
      </c>
      <c r="F8" s="28" t="n">
        <f aca="false">MAX(0,MAX($E$2:E8))</f>
        <v>5.82474375</v>
      </c>
      <c r="G8" s="28" t="n">
        <f aca="false">E8-F8</f>
        <v>0</v>
      </c>
      <c r="H8" s="25" t="n">
        <f aca="false">IF(G8&gt;=-0.0000001,A8,H7)</f>
        <v>45834</v>
      </c>
      <c r="I8" s="29" t="n">
        <f aca="false">IF(AND(G8&gt;=-0.0000001,G7&lt;0),1,0)</f>
        <v>1</v>
      </c>
      <c r="J8" s="30" t="n">
        <f aca="false">IF(I8=1,A8-H7,"")</f>
        <v>14</v>
      </c>
      <c r="K8" s="27" t="n">
        <f aca="false">IF(B8="Wednesday",0,C8)</f>
        <v>26066.85</v>
      </c>
      <c r="L8" s="28" t="n">
        <f aca="false">L7+K8/$T$1*100</f>
        <v>10.133640625</v>
      </c>
      <c r="M8" s="28" t="n">
        <f aca="false">MAX(0,MAX($L$2:L8))</f>
        <v>10.133640625</v>
      </c>
      <c r="N8" s="28" t="n">
        <f aca="false">L8-M8</f>
        <v>0</v>
      </c>
      <c r="O8" s="25" t="n">
        <f aca="false">IF(N8&gt;=-0.0000001,A8,O7)</f>
        <v>45834</v>
      </c>
      <c r="P8" s="29" t="n">
        <f aca="false">IF(AND(N8&gt;=-0.0000001,N7&lt;0),1,0)</f>
        <v>1</v>
      </c>
      <c r="Q8" s="30" t="n">
        <f aca="false">IF(P8=1,A8-O7,"")</f>
        <v>14</v>
      </c>
      <c r="S8" s="23" t="s">
        <v>114</v>
      </c>
      <c r="T8" s="32" t="n">
        <f aca="false">IF(N122&lt;-0.0000001,$T$2-O122,0)</f>
        <v>10</v>
      </c>
    </row>
    <row r="9" customFormat="false" ht="15" hidden="false" customHeight="false" outlineLevel="0" collapsed="false">
      <c r="A9" s="25" t="n">
        <v>45838</v>
      </c>
      <c r="B9" s="26" t="s">
        <v>79</v>
      </c>
      <c r="C9" s="27" t="n">
        <v>-14015.31</v>
      </c>
      <c r="D9" s="28" t="n">
        <f aca="false">C9/$T$1*100</f>
        <v>-4.379784375</v>
      </c>
      <c r="E9" s="28" t="n">
        <f aca="false">E8+D9</f>
        <v>1.444959375</v>
      </c>
      <c r="F9" s="28" t="n">
        <f aca="false">MAX(0,MAX($E$2:E9))</f>
        <v>5.82474375</v>
      </c>
      <c r="G9" s="28" t="n">
        <f aca="false">E9-F9</f>
        <v>-4.379784375</v>
      </c>
      <c r="H9" s="25" t="n">
        <f aca="false">IF(G9&gt;=-0.0000001,A9,H8)</f>
        <v>45834</v>
      </c>
      <c r="I9" s="29" t="n">
        <f aca="false">IF(AND(G9&gt;=-0.0000001,G8&lt;0),1,0)</f>
        <v>0</v>
      </c>
      <c r="J9" s="30" t="str">
        <f aca="false">IF(I9=1,A9-H8,"")</f>
        <v/>
      </c>
      <c r="K9" s="27" t="n">
        <f aca="false">IF(B9="Wednesday",0,C9)</f>
        <v>-14015.31</v>
      </c>
      <c r="L9" s="28" t="n">
        <f aca="false">L8+K9/$T$1*100</f>
        <v>5.75385625</v>
      </c>
      <c r="M9" s="28" t="n">
        <f aca="false">MAX(0,MAX($L$2:L9))</f>
        <v>10.133640625</v>
      </c>
      <c r="N9" s="28" t="n">
        <f aca="false">L9-M9</f>
        <v>-4.379784375</v>
      </c>
      <c r="O9" s="25" t="n">
        <f aca="false">IF(N9&gt;=-0.0000001,A9,O8)</f>
        <v>45834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MIN(A2:A122)</f>
        <v>45814</v>
      </c>
    </row>
    <row r="10" customFormat="false" ht="15" hidden="false" customHeight="false" outlineLevel="0" collapsed="false">
      <c r="A10" s="25" t="n">
        <v>45841</v>
      </c>
      <c r="B10" s="26" t="s">
        <v>82</v>
      </c>
      <c r="C10" s="27" t="n">
        <v>29144.05</v>
      </c>
      <c r="D10" s="28" t="n">
        <f aca="false">C10/$T$1*100</f>
        <v>9.107515625</v>
      </c>
      <c r="E10" s="28" t="n">
        <f aca="false">E9+D10</f>
        <v>10.552475</v>
      </c>
      <c r="F10" s="28" t="n">
        <f aca="false">MAX(0,MAX($E$2:E10))</f>
        <v>10.552475</v>
      </c>
      <c r="G10" s="28" t="n">
        <f aca="false">E10-F10</f>
        <v>0</v>
      </c>
      <c r="H10" s="25" t="n">
        <f aca="false">IF(G10&gt;=-0.0000001,A10,H9)</f>
        <v>45841</v>
      </c>
      <c r="I10" s="29" t="n">
        <f aca="false">IF(AND(G10&gt;=-0.0000001,G9&lt;0),1,0)</f>
        <v>1</v>
      </c>
      <c r="J10" s="30" t="n">
        <f aca="false">IF(I10=1,A10-H9,"")</f>
        <v>7</v>
      </c>
      <c r="K10" s="27" t="n">
        <f aca="false">IF(B10="Wednesday",0,C10)</f>
        <v>29144.05</v>
      </c>
      <c r="L10" s="28" t="n">
        <f aca="false">L9+K10/$T$1*100</f>
        <v>14.861371875</v>
      </c>
      <c r="M10" s="28" t="n">
        <f aca="false">MAX(0,MAX($L$2:L10))</f>
        <v>14.861371875</v>
      </c>
      <c r="N10" s="28" t="n">
        <f aca="false">L10-M10</f>
        <v>0</v>
      </c>
      <c r="O10" s="25" t="n">
        <f aca="false">IF(N10&gt;=-0.0000001,A10,O9)</f>
        <v>45841</v>
      </c>
      <c r="P10" s="29" t="n">
        <f aca="false">IF(AND(N10&gt;=-0.0000001,N9&lt;0),1,0)</f>
        <v>1</v>
      </c>
      <c r="Q10" s="30" t="n">
        <f aca="false">IF(P10=1,A10-O9,"")</f>
        <v>7</v>
      </c>
    </row>
    <row r="11" customFormat="false" ht="15" hidden="false" customHeight="false" outlineLevel="0" collapsed="false">
      <c r="A11" s="25" t="n">
        <v>45848</v>
      </c>
      <c r="B11" s="26" t="s">
        <v>82</v>
      </c>
      <c r="C11" s="27" t="n">
        <v>15501.95</v>
      </c>
      <c r="D11" s="28" t="n">
        <f aca="false">C11/$T$1*100</f>
        <v>4.844359375</v>
      </c>
      <c r="E11" s="28" t="n">
        <f aca="false">E10+D11</f>
        <v>15.396834375</v>
      </c>
      <c r="F11" s="28" t="n">
        <f aca="false">MAX(0,MAX($E$2:E11))</f>
        <v>15.396834375</v>
      </c>
      <c r="G11" s="28" t="n">
        <f aca="false">E11-F11</f>
        <v>0</v>
      </c>
      <c r="H11" s="25" t="n">
        <f aca="false">IF(G11&gt;=-0.0000001,A11,H10)</f>
        <v>45848</v>
      </c>
      <c r="I11" s="29" t="n">
        <f aca="false">IF(AND(G11&gt;=-0.0000001,G10&lt;0),1,0)</f>
        <v>0</v>
      </c>
      <c r="J11" s="30" t="str">
        <f aca="false">IF(I11=1,A11-H10,"")</f>
        <v/>
      </c>
      <c r="K11" s="27" t="n">
        <f aca="false">IF(B11="Wednesday",0,C11)</f>
        <v>15501.95</v>
      </c>
      <c r="L11" s="28" t="n">
        <f aca="false">L10+K11/$T$1*100</f>
        <v>19.70573125</v>
      </c>
      <c r="M11" s="28" t="n">
        <f aca="false">MAX(0,MAX($L$2:L11))</f>
        <v>19.70573125</v>
      </c>
      <c r="N11" s="28" t="n">
        <f aca="false">L11-M11</f>
        <v>0</v>
      </c>
      <c r="O11" s="25" t="n">
        <f aca="false">IF(N11&gt;=-0.0000001,A11,O10)</f>
        <v>45848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45852</v>
      </c>
      <c r="B12" s="26" t="s">
        <v>79</v>
      </c>
      <c r="C12" s="27" t="n">
        <v>-14151.53</v>
      </c>
      <c r="D12" s="28" t="n">
        <f aca="false">C12/$T$1*100</f>
        <v>-4.422353125</v>
      </c>
      <c r="E12" s="28" t="n">
        <f aca="false">E11+D12</f>
        <v>10.97448125</v>
      </c>
      <c r="F12" s="28" t="n">
        <f aca="false">MAX(0,MAX($E$2:E12))</f>
        <v>15.396834375</v>
      </c>
      <c r="G12" s="28" t="n">
        <f aca="false">E12-F12</f>
        <v>-4.422353125</v>
      </c>
      <c r="H12" s="25" t="n">
        <f aca="false">IF(G12&gt;=-0.0000001,A12,H11)</f>
        <v>45848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-14151.53</v>
      </c>
      <c r="L12" s="28" t="n">
        <f aca="false">L11+K12/$T$1*100</f>
        <v>15.283378125</v>
      </c>
      <c r="M12" s="28" t="n">
        <f aca="false">MAX(0,MAX($L$2:L12))</f>
        <v>19.70573125</v>
      </c>
      <c r="N12" s="28" t="n">
        <f aca="false">L12-M12</f>
        <v>-4.422353125</v>
      </c>
      <c r="O12" s="25" t="n">
        <f aca="false">IF(N12&gt;=-0.0000001,A12,O11)</f>
        <v>45848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45853</v>
      </c>
      <c r="B13" s="26" t="s">
        <v>80</v>
      </c>
      <c r="C13" s="27" t="n">
        <v>-13568.7</v>
      </c>
      <c r="D13" s="28" t="n">
        <f aca="false">C13/$T$1*100</f>
        <v>-4.24021875</v>
      </c>
      <c r="E13" s="28" t="n">
        <f aca="false">E12+D13</f>
        <v>6.7342625</v>
      </c>
      <c r="F13" s="28" t="n">
        <f aca="false">MAX(0,MAX($E$2:E13))</f>
        <v>15.396834375</v>
      </c>
      <c r="G13" s="28" t="n">
        <f aca="false">E13-F13</f>
        <v>-8.662571875</v>
      </c>
      <c r="H13" s="25" t="n">
        <f aca="false">IF(G13&gt;=-0.0000001,A13,H12)</f>
        <v>45848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-13568.7</v>
      </c>
      <c r="L13" s="28" t="n">
        <f aca="false">L12+K13/$T$1*100</f>
        <v>11.043159375</v>
      </c>
      <c r="M13" s="28" t="n">
        <f aca="false">MAX(0,MAX($L$2:L13))</f>
        <v>19.70573125</v>
      </c>
      <c r="N13" s="28" t="n">
        <f aca="false">L13-M13</f>
        <v>-8.662571875</v>
      </c>
      <c r="O13" s="25" t="n">
        <f aca="false">IF(N13&gt;=-0.0000001,A13,O12)</f>
        <v>45848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45854</v>
      </c>
      <c r="B14" s="26" t="s">
        <v>81</v>
      </c>
      <c r="C14" s="27" t="n">
        <v>-13159.78</v>
      </c>
      <c r="D14" s="28" t="n">
        <f aca="false">C14/$T$1*100</f>
        <v>-4.11243125</v>
      </c>
      <c r="E14" s="28" t="n">
        <f aca="false">E13+D14</f>
        <v>2.62183125</v>
      </c>
      <c r="F14" s="28" t="n">
        <f aca="false">MAX(0,MAX($E$2:E14))</f>
        <v>15.396834375</v>
      </c>
      <c r="G14" s="28" t="n">
        <f aca="false">E14-F14</f>
        <v>-12.775003125</v>
      </c>
      <c r="H14" s="25" t="n">
        <f aca="false">IF(G14&gt;=-0.0000001,A14,H13)</f>
        <v>45848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0</v>
      </c>
      <c r="L14" s="28" t="n">
        <f aca="false">L13+K14/$T$1*100</f>
        <v>11.043159375</v>
      </c>
      <c r="M14" s="28" t="n">
        <f aca="false">MAX(0,MAX($L$2:L14))</f>
        <v>19.70573125</v>
      </c>
      <c r="N14" s="28" t="n">
        <f aca="false">L14-M14</f>
        <v>-8.662571875</v>
      </c>
      <c r="O14" s="25" t="n">
        <f aca="false">IF(N14&gt;=-0.0000001,A14,O13)</f>
        <v>45848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45855</v>
      </c>
      <c r="B15" s="26" t="s">
        <v>82</v>
      </c>
      <c r="C15" s="27" t="n">
        <v>-14708.18</v>
      </c>
      <c r="D15" s="28" t="n">
        <f aca="false">C15/$T$1*100</f>
        <v>-4.59630625</v>
      </c>
      <c r="E15" s="28" t="n">
        <f aca="false">E14+D15</f>
        <v>-1.974475</v>
      </c>
      <c r="F15" s="28" t="n">
        <f aca="false">MAX(0,MAX($E$2:E15))</f>
        <v>15.396834375</v>
      </c>
      <c r="G15" s="28" t="n">
        <f aca="false">E15-F15</f>
        <v>-17.371309375</v>
      </c>
      <c r="H15" s="25" t="n">
        <f aca="false">IF(G15&gt;=-0.0000001,A15,H14)</f>
        <v>45848</v>
      </c>
      <c r="I15" s="29" t="n">
        <f aca="false">IF(AND(G15&gt;=-0.0000001,G14&lt;0),1,0)</f>
        <v>0</v>
      </c>
      <c r="J15" s="30" t="str">
        <f aca="false">IF(I15=1,A15-H14,"")</f>
        <v/>
      </c>
      <c r="K15" s="27" t="n">
        <f aca="false">IF(B15="Wednesday",0,C15)</f>
        <v>-14708.18</v>
      </c>
      <c r="L15" s="28" t="n">
        <f aca="false">L14+K15/$T$1*100</f>
        <v>6.446853125</v>
      </c>
      <c r="M15" s="28" t="n">
        <f aca="false">MAX(0,MAX($L$2:L15))</f>
        <v>19.70573125</v>
      </c>
      <c r="N15" s="28" t="n">
        <f aca="false">L15-M15</f>
        <v>-13.258878125</v>
      </c>
      <c r="O15" s="25" t="n">
        <f aca="false">IF(N15&gt;=-0.0000001,A15,O14)</f>
        <v>45848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45859</v>
      </c>
      <c r="B16" s="26" t="s">
        <v>79</v>
      </c>
      <c r="C16" s="27" t="n">
        <v>-14792.28</v>
      </c>
      <c r="D16" s="28" t="n">
        <f aca="false">C16/$T$1*100</f>
        <v>-4.6225875</v>
      </c>
      <c r="E16" s="28" t="n">
        <f aca="false">E15+D16</f>
        <v>-6.5970625</v>
      </c>
      <c r="F16" s="28" t="n">
        <f aca="false">MAX(0,MAX($E$2:E16))</f>
        <v>15.396834375</v>
      </c>
      <c r="G16" s="28" t="n">
        <f aca="false">E16-F16</f>
        <v>-21.993896875</v>
      </c>
      <c r="H16" s="25" t="n">
        <f aca="false">IF(G16&gt;=-0.0000001,A16,H15)</f>
        <v>45848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-14792.28</v>
      </c>
      <c r="L16" s="28" t="n">
        <f aca="false">L15+K16/$T$1*100</f>
        <v>1.824265625</v>
      </c>
      <c r="M16" s="28" t="n">
        <f aca="false">MAX(0,MAX($L$2:L16))</f>
        <v>19.70573125</v>
      </c>
      <c r="N16" s="28" t="n">
        <f aca="false">L16-M16</f>
        <v>-17.881465625</v>
      </c>
      <c r="O16" s="25" t="n">
        <f aca="false">IF(N16&gt;=-0.0000001,A16,O15)</f>
        <v>45848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45861</v>
      </c>
      <c r="B17" s="26" t="s">
        <v>81</v>
      </c>
      <c r="C17" s="27" t="n">
        <v>-13714.91</v>
      </c>
      <c r="D17" s="28" t="n">
        <f aca="false">C17/$T$1*100</f>
        <v>-4.285909375</v>
      </c>
      <c r="E17" s="28" t="n">
        <f aca="false">E16+D17</f>
        <v>-10.882971875</v>
      </c>
      <c r="F17" s="28" t="n">
        <f aca="false">MAX(0,MAX($E$2:E17))</f>
        <v>15.396834375</v>
      </c>
      <c r="G17" s="28" t="n">
        <f aca="false">E17-F17</f>
        <v>-26.27980625</v>
      </c>
      <c r="H17" s="25" t="n">
        <f aca="false">IF(G17&gt;=-0.0000001,A17,H16)</f>
        <v>45848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0</v>
      </c>
      <c r="L17" s="28" t="n">
        <f aca="false">L16+K17/$T$1*100</f>
        <v>1.824265625</v>
      </c>
      <c r="M17" s="28" t="n">
        <f aca="false">MAX(0,MAX($L$2:L17))</f>
        <v>19.70573125</v>
      </c>
      <c r="N17" s="28" t="n">
        <f aca="false">L17-M17</f>
        <v>-17.881465625</v>
      </c>
      <c r="O17" s="25" t="n">
        <f aca="false">IF(N17&gt;=-0.0000001,A17,O16)</f>
        <v>45848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45862</v>
      </c>
      <c r="B18" s="26" t="s">
        <v>82</v>
      </c>
      <c r="C18" s="27" t="n">
        <v>6801.59</v>
      </c>
      <c r="D18" s="28" t="n">
        <f aca="false">C18/$T$1*100</f>
        <v>2.125496875</v>
      </c>
      <c r="E18" s="28" t="n">
        <f aca="false">E17+D18</f>
        <v>-8.757475</v>
      </c>
      <c r="F18" s="28" t="n">
        <f aca="false">MAX(0,MAX($E$2:E18))</f>
        <v>15.396834375</v>
      </c>
      <c r="G18" s="28" t="n">
        <f aca="false">E18-F18</f>
        <v>-24.154309375</v>
      </c>
      <c r="H18" s="25" t="n">
        <f aca="false">IF(G18&gt;=-0.0000001,A18,H17)</f>
        <v>45848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6801.59</v>
      </c>
      <c r="L18" s="28" t="n">
        <f aca="false">L17+K18/$T$1*100</f>
        <v>3.9497625</v>
      </c>
      <c r="M18" s="28" t="n">
        <f aca="false">MAX(0,MAX($L$2:L18))</f>
        <v>19.70573125</v>
      </c>
      <c r="N18" s="28" t="n">
        <f aca="false">L18-M18</f>
        <v>-15.75596875</v>
      </c>
      <c r="O18" s="25" t="n">
        <f aca="false">IF(N18&gt;=-0.0000001,A18,O17)</f>
        <v>45848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45866</v>
      </c>
      <c r="B19" s="26" t="s">
        <v>79</v>
      </c>
      <c r="C19" s="27" t="n">
        <v>14948.78</v>
      </c>
      <c r="D19" s="28" t="n">
        <f aca="false">C19/$T$1*100</f>
        <v>4.67149375</v>
      </c>
      <c r="E19" s="28" t="n">
        <f aca="false">E18+D19</f>
        <v>-4.08598125</v>
      </c>
      <c r="F19" s="28" t="n">
        <f aca="false">MAX(0,MAX($E$2:E19))</f>
        <v>15.396834375</v>
      </c>
      <c r="G19" s="28" t="n">
        <f aca="false">E19-F19</f>
        <v>-19.482815625</v>
      </c>
      <c r="H19" s="25" t="n">
        <f aca="false">IF(G19&gt;=-0.0000001,A19,H18)</f>
        <v>45848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14948.78</v>
      </c>
      <c r="L19" s="28" t="n">
        <f aca="false">L18+K19/$T$1*100</f>
        <v>8.62125625</v>
      </c>
      <c r="M19" s="28" t="n">
        <f aca="false">MAX(0,MAX($L$2:L19))</f>
        <v>19.70573125</v>
      </c>
      <c r="N19" s="28" t="n">
        <f aca="false">L19-M19</f>
        <v>-11.084475</v>
      </c>
      <c r="O19" s="25" t="n">
        <f aca="false">IF(N19&gt;=-0.0000001,A19,O18)</f>
        <v>45848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45869</v>
      </c>
      <c r="B20" s="26" t="s">
        <v>82</v>
      </c>
      <c r="C20" s="27" t="n">
        <v>-36879.95</v>
      </c>
      <c r="D20" s="28" t="n">
        <f aca="false">C20/$T$1*100</f>
        <v>-11.524984375</v>
      </c>
      <c r="E20" s="28" t="n">
        <f aca="false">E19+D20</f>
        <v>-15.610965625</v>
      </c>
      <c r="F20" s="28" t="n">
        <f aca="false">MAX(0,MAX($E$2:E20))</f>
        <v>15.396834375</v>
      </c>
      <c r="G20" s="28" t="n">
        <f aca="false">E20-F20</f>
        <v>-31.0078</v>
      </c>
      <c r="H20" s="25" t="n">
        <f aca="false">IF(G20&gt;=-0.0000001,A20,H19)</f>
        <v>45848</v>
      </c>
      <c r="I20" s="29" t="n">
        <f aca="false">IF(AND(G20&gt;=-0.0000001,G19&lt;0),1,0)</f>
        <v>0</v>
      </c>
      <c r="J20" s="30" t="str">
        <f aca="false">IF(I20=1,A20-H19,"")</f>
        <v/>
      </c>
      <c r="K20" s="27" t="n">
        <f aca="false">IF(B20="Wednesday",0,C20)</f>
        <v>-36879.95</v>
      </c>
      <c r="L20" s="28" t="n">
        <f aca="false">L19+K20/$T$1*100</f>
        <v>-2.903728125</v>
      </c>
      <c r="M20" s="28" t="n">
        <f aca="false">MAX(0,MAX($L$2:L20))</f>
        <v>19.70573125</v>
      </c>
      <c r="N20" s="28" t="n">
        <f aca="false">L20-M20</f>
        <v>-22.609459375</v>
      </c>
      <c r="O20" s="25" t="n">
        <f aca="false">IF(N20&gt;=-0.0000001,A20,O19)</f>
        <v>45848</v>
      </c>
      <c r="P20" s="29" t="n">
        <f aca="false">IF(AND(N20&gt;=-0.0000001,N19&lt;0),1,0)</f>
        <v>0</v>
      </c>
      <c r="Q20" s="30" t="str">
        <f aca="false">IF(P20=1,A20-O19,"")</f>
        <v/>
      </c>
    </row>
    <row r="21" customFormat="false" ht="15" hidden="false" customHeight="false" outlineLevel="0" collapsed="false">
      <c r="A21" s="25" t="n">
        <v>45870</v>
      </c>
      <c r="B21" s="26" t="s">
        <v>83</v>
      </c>
      <c r="C21" s="27" t="n">
        <v>-14978.86</v>
      </c>
      <c r="D21" s="28" t="n">
        <f aca="false">C21/$T$1*100</f>
        <v>-4.68089375</v>
      </c>
      <c r="E21" s="28" t="n">
        <f aca="false">E20+D21</f>
        <v>-20.291859375</v>
      </c>
      <c r="F21" s="28" t="n">
        <f aca="false">MAX(0,MAX($E$2:E21))</f>
        <v>15.396834375</v>
      </c>
      <c r="G21" s="28" t="n">
        <f aca="false">E21-F21</f>
        <v>-35.68869375</v>
      </c>
      <c r="H21" s="25" t="n">
        <f aca="false">IF(G21&gt;=-0.0000001,A21,H20)</f>
        <v>45848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-14978.86</v>
      </c>
      <c r="L21" s="28" t="n">
        <f aca="false">L20+K21/$T$1*100</f>
        <v>-7.584621875</v>
      </c>
      <c r="M21" s="28" t="n">
        <f aca="false">MAX(0,MAX($L$2:L21))</f>
        <v>19.70573125</v>
      </c>
      <c r="N21" s="28" t="n">
        <f aca="false">L21-M21</f>
        <v>-27.290353125</v>
      </c>
      <c r="O21" s="25" t="n">
        <f aca="false">IF(N21&gt;=-0.0000001,A21,O20)</f>
        <v>45848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45876</v>
      </c>
      <c r="B22" s="26" t="s">
        <v>82</v>
      </c>
      <c r="C22" s="27" t="n">
        <v>31472.52</v>
      </c>
      <c r="D22" s="28" t="n">
        <f aca="false">C22/$T$1*100</f>
        <v>9.8351625</v>
      </c>
      <c r="E22" s="28" t="n">
        <f aca="false">E21+D22</f>
        <v>-10.456696875</v>
      </c>
      <c r="F22" s="28" t="n">
        <f aca="false">MAX(0,MAX($E$2:E22))</f>
        <v>15.396834375</v>
      </c>
      <c r="G22" s="28" t="n">
        <f aca="false">E22-F22</f>
        <v>-25.85353125</v>
      </c>
      <c r="H22" s="25" t="n">
        <f aca="false">IF(G22&gt;=-0.0000001,A22,H21)</f>
        <v>45848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31472.52</v>
      </c>
      <c r="L22" s="28" t="n">
        <f aca="false">L21+K22/$T$1*100</f>
        <v>2.250540625</v>
      </c>
      <c r="M22" s="28" t="n">
        <f aca="false">MAX(0,MAX($L$2:L22))</f>
        <v>19.70573125</v>
      </c>
      <c r="N22" s="28" t="n">
        <f aca="false">L22-M22</f>
        <v>-17.455190625</v>
      </c>
      <c r="O22" s="25" t="n">
        <f aca="false">IF(N22&gt;=-0.0000001,A22,O21)</f>
        <v>45848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45880</v>
      </c>
      <c r="B23" s="26" t="s">
        <v>79</v>
      </c>
      <c r="C23" s="27" t="n">
        <v>-13826.97</v>
      </c>
      <c r="D23" s="28" t="n">
        <f aca="false">C23/$T$1*100</f>
        <v>-4.320928125</v>
      </c>
      <c r="E23" s="28" t="n">
        <f aca="false">E22+D23</f>
        <v>-14.777625</v>
      </c>
      <c r="F23" s="28" t="n">
        <f aca="false">MAX(0,MAX($E$2:E23))</f>
        <v>15.396834375</v>
      </c>
      <c r="G23" s="28" t="n">
        <f aca="false">E23-F23</f>
        <v>-30.174459375</v>
      </c>
      <c r="H23" s="25" t="n">
        <f aca="false">IF(G23&gt;=-0.0000001,A23,H22)</f>
        <v>45848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-13826.97</v>
      </c>
      <c r="L23" s="28" t="n">
        <f aca="false">L22+K23/$T$1*100</f>
        <v>-2.0703875</v>
      </c>
      <c r="M23" s="28" t="n">
        <f aca="false">MAX(0,MAX($L$2:L23))</f>
        <v>19.70573125</v>
      </c>
      <c r="N23" s="28" t="n">
        <f aca="false">L23-M23</f>
        <v>-21.77611875</v>
      </c>
      <c r="O23" s="25" t="n">
        <f aca="false">IF(N23&gt;=-0.0000001,A23,O22)</f>
        <v>45848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45881</v>
      </c>
      <c r="B24" s="26" t="s">
        <v>80</v>
      </c>
      <c r="C24" s="27" t="n">
        <v>-13433.17</v>
      </c>
      <c r="D24" s="28" t="n">
        <f aca="false">C24/$T$1*100</f>
        <v>-4.197865625</v>
      </c>
      <c r="E24" s="28" t="n">
        <f aca="false">E23+D24</f>
        <v>-18.975490625</v>
      </c>
      <c r="F24" s="28" t="n">
        <f aca="false">MAX(0,MAX($E$2:E24))</f>
        <v>15.396834375</v>
      </c>
      <c r="G24" s="28" t="n">
        <f aca="false">E24-F24</f>
        <v>-34.372325</v>
      </c>
      <c r="H24" s="25" t="n">
        <f aca="false">IF(G24&gt;=-0.0000001,A24,H23)</f>
        <v>45848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-13433.17</v>
      </c>
      <c r="L24" s="28" t="n">
        <f aca="false">L23+K24/$T$1*100</f>
        <v>-6.268253125</v>
      </c>
      <c r="M24" s="28" t="n">
        <f aca="false">MAX(0,MAX($L$2:L24))</f>
        <v>19.70573125</v>
      </c>
      <c r="N24" s="28" t="n">
        <f aca="false">L24-M24</f>
        <v>-25.973984375</v>
      </c>
      <c r="O24" s="25" t="n">
        <f aca="false">IF(N24&gt;=-0.0000001,A24,O23)</f>
        <v>45848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45883</v>
      </c>
      <c r="B25" s="26" t="s">
        <v>82</v>
      </c>
      <c r="C25" s="27" t="n">
        <v>12293.63</v>
      </c>
      <c r="D25" s="28" t="n">
        <f aca="false">C25/$T$1*100</f>
        <v>3.841759375</v>
      </c>
      <c r="E25" s="28" t="n">
        <f aca="false">E24+D25</f>
        <v>-15.13373125</v>
      </c>
      <c r="F25" s="28" t="n">
        <f aca="false">MAX(0,MAX($E$2:E25))</f>
        <v>15.396834375</v>
      </c>
      <c r="G25" s="28" t="n">
        <f aca="false">E25-F25</f>
        <v>-30.530565625</v>
      </c>
      <c r="H25" s="25" t="n">
        <f aca="false">IF(G25&gt;=-0.0000001,A25,H24)</f>
        <v>45848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12293.63</v>
      </c>
      <c r="L25" s="28" t="n">
        <f aca="false">L24+K25/$T$1*100</f>
        <v>-2.42649375</v>
      </c>
      <c r="M25" s="28" t="n">
        <f aca="false">MAX(0,MAX($L$2:L25))</f>
        <v>19.70573125</v>
      </c>
      <c r="N25" s="28" t="n">
        <f aca="false">L25-M25</f>
        <v>-22.132225</v>
      </c>
      <c r="O25" s="25" t="n">
        <f aca="false">IF(N25&gt;=-0.0000001,A25,O24)</f>
        <v>45848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45887</v>
      </c>
      <c r="B26" s="26" t="s">
        <v>79</v>
      </c>
      <c r="C26" s="27" t="n">
        <v>-14119.53</v>
      </c>
      <c r="D26" s="28" t="n">
        <f aca="false">C26/$T$1*100</f>
        <v>-4.412353125</v>
      </c>
      <c r="E26" s="28" t="n">
        <f aca="false">E25+D26</f>
        <v>-19.546084375</v>
      </c>
      <c r="F26" s="28" t="n">
        <f aca="false">MAX(0,MAX($E$2:E26))</f>
        <v>15.396834375</v>
      </c>
      <c r="G26" s="28" t="n">
        <f aca="false">E26-F26</f>
        <v>-34.94291875</v>
      </c>
      <c r="H26" s="25" t="n">
        <f aca="false">IF(G26&gt;=-0.0000001,A26,H25)</f>
        <v>45848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-14119.53</v>
      </c>
      <c r="L26" s="28" t="n">
        <f aca="false">L25+K26/$T$1*100</f>
        <v>-6.838846875</v>
      </c>
      <c r="M26" s="28" t="n">
        <f aca="false">MAX(0,MAX($L$2:L26))</f>
        <v>19.70573125</v>
      </c>
      <c r="N26" s="28" t="n">
        <f aca="false">L26-M26</f>
        <v>-26.544578125</v>
      </c>
      <c r="O26" s="25" t="n">
        <f aca="false">IF(N26&gt;=-0.0000001,A26,O25)</f>
        <v>45848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45889</v>
      </c>
      <c r="B27" s="26" t="s">
        <v>81</v>
      </c>
      <c r="C27" s="27" t="n">
        <v>8385.36</v>
      </c>
      <c r="D27" s="28" t="n">
        <f aca="false">C27/$T$1*100</f>
        <v>2.620425</v>
      </c>
      <c r="E27" s="28" t="n">
        <f aca="false">E26+D27</f>
        <v>-16.925659375</v>
      </c>
      <c r="F27" s="28" t="n">
        <f aca="false">MAX(0,MAX($E$2:E27))</f>
        <v>15.396834375</v>
      </c>
      <c r="G27" s="28" t="n">
        <f aca="false">E27-F27</f>
        <v>-32.32249375</v>
      </c>
      <c r="H27" s="25" t="n">
        <f aca="false">IF(G27&gt;=-0.0000001,A27,H26)</f>
        <v>45848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0</v>
      </c>
      <c r="L27" s="28" t="n">
        <f aca="false">L26+K27/$T$1*100</f>
        <v>-6.838846875</v>
      </c>
      <c r="M27" s="28" t="n">
        <f aca="false">MAX(0,MAX($L$2:L27))</f>
        <v>19.70573125</v>
      </c>
      <c r="N27" s="28" t="n">
        <f aca="false">L27-M27</f>
        <v>-26.544578125</v>
      </c>
      <c r="O27" s="25" t="n">
        <f aca="false">IF(N27&gt;=-0.0000001,A27,O26)</f>
        <v>45848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45897</v>
      </c>
      <c r="B28" s="26" t="s">
        <v>82</v>
      </c>
      <c r="C28" s="27" t="n">
        <v>26968.91</v>
      </c>
      <c r="D28" s="28" t="n">
        <f aca="false">C28/$T$1*100</f>
        <v>8.427784375</v>
      </c>
      <c r="E28" s="28" t="n">
        <f aca="false">E27+D28</f>
        <v>-8.497875</v>
      </c>
      <c r="F28" s="28" t="n">
        <f aca="false">MAX(0,MAX($E$2:E28))</f>
        <v>15.396834375</v>
      </c>
      <c r="G28" s="28" t="n">
        <f aca="false">E28-F28</f>
        <v>-23.894709375</v>
      </c>
      <c r="H28" s="25" t="n">
        <f aca="false">IF(G28&gt;=-0.0000001,A28,H27)</f>
        <v>45848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26968.91</v>
      </c>
      <c r="L28" s="28" t="n">
        <f aca="false">L27+K28/$T$1*100</f>
        <v>1.5889375</v>
      </c>
      <c r="M28" s="28" t="n">
        <f aca="false">MAX(0,MAX($L$2:L28))</f>
        <v>19.70573125</v>
      </c>
      <c r="N28" s="28" t="n">
        <f aca="false">L28-M28</f>
        <v>-18.11679375</v>
      </c>
      <c r="O28" s="25" t="n">
        <f aca="false">IF(N28&gt;=-0.0000001,A28,O27)</f>
        <v>45848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45898</v>
      </c>
      <c r="B29" s="26" t="s">
        <v>83</v>
      </c>
      <c r="C29" s="27" t="n">
        <v>-13639.92</v>
      </c>
      <c r="D29" s="28" t="n">
        <f aca="false">C29/$T$1*100</f>
        <v>-4.262475</v>
      </c>
      <c r="E29" s="28" t="n">
        <f aca="false">E28+D29</f>
        <v>-12.76035</v>
      </c>
      <c r="F29" s="28" t="n">
        <f aca="false">MAX(0,MAX($E$2:E29))</f>
        <v>15.396834375</v>
      </c>
      <c r="G29" s="28" t="n">
        <f aca="false">E29-F29</f>
        <v>-28.157184375</v>
      </c>
      <c r="H29" s="25" t="n">
        <f aca="false">IF(G29&gt;=-0.0000001,A29,H28)</f>
        <v>45848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-13639.92</v>
      </c>
      <c r="L29" s="28" t="n">
        <f aca="false">L28+K29/$T$1*100</f>
        <v>-2.6735375</v>
      </c>
      <c r="M29" s="28" t="n">
        <f aca="false">MAX(0,MAX($L$2:L29))</f>
        <v>19.70573125</v>
      </c>
      <c r="N29" s="28" t="n">
        <f aca="false">L29-M29</f>
        <v>-22.37926875</v>
      </c>
      <c r="O29" s="25" t="n">
        <f aca="false">IF(N29&gt;=-0.0000001,A29,O28)</f>
        <v>45848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45901</v>
      </c>
      <c r="B30" s="26" t="s">
        <v>79</v>
      </c>
      <c r="C30" s="27" t="n">
        <v>-15500.97</v>
      </c>
      <c r="D30" s="28" t="n">
        <f aca="false">C30/$T$1*100</f>
        <v>-4.844053125</v>
      </c>
      <c r="E30" s="28" t="n">
        <f aca="false">E29+D30</f>
        <v>-17.604403125</v>
      </c>
      <c r="F30" s="28" t="n">
        <f aca="false">MAX(0,MAX($E$2:E30))</f>
        <v>15.396834375</v>
      </c>
      <c r="G30" s="28" t="n">
        <f aca="false">E30-F30</f>
        <v>-33.0012375</v>
      </c>
      <c r="H30" s="25" t="n">
        <f aca="false">IF(G30&gt;=-0.0000001,A30,H29)</f>
        <v>45848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-15500.97</v>
      </c>
      <c r="L30" s="28" t="n">
        <f aca="false">L29+K30/$T$1*100</f>
        <v>-7.517590625</v>
      </c>
      <c r="M30" s="28" t="n">
        <f aca="false">MAX(0,MAX($L$2:L30))</f>
        <v>19.70573125</v>
      </c>
      <c r="N30" s="28" t="n">
        <f aca="false">L30-M30</f>
        <v>-27.223321875</v>
      </c>
      <c r="O30" s="25" t="n">
        <f aca="false">IF(N30&gt;=-0.0000001,A30,O29)</f>
        <v>45848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45902</v>
      </c>
      <c r="B31" s="26" t="s">
        <v>80</v>
      </c>
      <c r="C31" s="27" t="n">
        <v>7854.01</v>
      </c>
      <c r="D31" s="28" t="n">
        <f aca="false">C31/$T$1*100</f>
        <v>2.454378125</v>
      </c>
      <c r="E31" s="28" t="n">
        <f aca="false">E30+D31</f>
        <v>-15.150025</v>
      </c>
      <c r="F31" s="28" t="n">
        <f aca="false">MAX(0,MAX($E$2:E31))</f>
        <v>15.396834375</v>
      </c>
      <c r="G31" s="28" t="n">
        <f aca="false">E31-F31</f>
        <v>-30.546859375</v>
      </c>
      <c r="H31" s="25" t="n">
        <f aca="false">IF(G31&gt;=-0.0000001,A31,H30)</f>
        <v>45848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7854.01</v>
      </c>
      <c r="L31" s="28" t="n">
        <f aca="false">L30+K31/$T$1*100</f>
        <v>-5.0632125</v>
      </c>
      <c r="M31" s="28" t="n">
        <f aca="false">MAX(0,MAX($L$2:L31))</f>
        <v>19.70573125</v>
      </c>
      <c r="N31" s="28" t="n">
        <f aca="false">L31-M31</f>
        <v>-24.76894375</v>
      </c>
      <c r="O31" s="25" t="n">
        <f aca="false">IF(N31&gt;=-0.0000001,A31,O30)</f>
        <v>45848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45903</v>
      </c>
      <c r="B32" s="26" t="s">
        <v>81</v>
      </c>
      <c r="C32" s="27" t="n">
        <v>-13713.37</v>
      </c>
      <c r="D32" s="28" t="n">
        <f aca="false">C32/$T$1*100</f>
        <v>-4.285428125</v>
      </c>
      <c r="E32" s="28" t="n">
        <f aca="false">E31+D32</f>
        <v>-19.435453125</v>
      </c>
      <c r="F32" s="28" t="n">
        <f aca="false">MAX(0,MAX($E$2:E32))</f>
        <v>15.396834375</v>
      </c>
      <c r="G32" s="28" t="n">
        <f aca="false">E32-F32</f>
        <v>-34.8322875</v>
      </c>
      <c r="H32" s="25" t="n">
        <f aca="false">IF(G32&gt;=-0.0000001,A32,H31)</f>
        <v>45848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0</v>
      </c>
      <c r="L32" s="28" t="n">
        <f aca="false">L31+K32/$T$1*100</f>
        <v>-5.0632125</v>
      </c>
      <c r="M32" s="28" t="n">
        <f aca="false">MAX(0,MAX($L$2:L32))</f>
        <v>19.70573125</v>
      </c>
      <c r="N32" s="28" t="n">
        <f aca="false">L32-M32</f>
        <v>-24.76894375</v>
      </c>
      <c r="O32" s="25" t="n">
        <f aca="false">IF(N32&gt;=-0.0000001,A32,O31)</f>
        <v>45848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45904</v>
      </c>
      <c r="B33" s="26" t="s">
        <v>82</v>
      </c>
      <c r="C33" s="27" t="n">
        <v>-3640.57</v>
      </c>
      <c r="D33" s="28" t="n">
        <f aca="false">C33/$T$1*100</f>
        <v>-1.137678125</v>
      </c>
      <c r="E33" s="28" t="n">
        <f aca="false">E32+D33</f>
        <v>-20.57313125</v>
      </c>
      <c r="F33" s="28" t="n">
        <f aca="false">MAX(0,MAX($E$2:E33))</f>
        <v>15.396834375</v>
      </c>
      <c r="G33" s="28" t="n">
        <f aca="false">E33-F33</f>
        <v>-35.969965625</v>
      </c>
      <c r="H33" s="25" t="n">
        <f aca="false">IF(G33&gt;=-0.0000001,A33,H32)</f>
        <v>45848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-3640.57</v>
      </c>
      <c r="L33" s="28" t="n">
        <f aca="false">L32+K33/$T$1*100</f>
        <v>-6.200890625</v>
      </c>
      <c r="M33" s="28" t="n">
        <f aca="false">MAX(0,MAX($L$2:L33))</f>
        <v>19.70573125</v>
      </c>
      <c r="N33" s="28" t="n">
        <f aca="false">L33-M33</f>
        <v>-25.906621875</v>
      </c>
      <c r="O33" s="25" t="n">
        <f aca="false">IF(N33&gt;=-0.0000001,A33,O32)</f>
        <v>45848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45905</v>
      </c>
      <c r="B34" s="26" t="s">
        <v>83</v>
      </c>
      <c r="C34" s="27" t="n">
        <v>-13356.12</v>
      </c>
      <c r="D34" s="28" t="n">
        <f aca="false">C34/$T$1*100</f>
        <v>-4.1737875</v>
      </c>
      <c r="E34" s="28" t="n">
        <f aca="false">E33+D34</f>
        <v>-24.74691875</v>
      </c>
      <c r="F34" s="28" t="n">
        <f aca="false">MAX(0,MAX($E$2:E34))</f>
        <v>15.396834375</v>
      </c>
      <c r="G34" s="28" t="n">
        <f aca="false">E34-F34</f>
        <v>-40.143753125</v>
      </c>
      <c r="H34" s="25" t="n">
        <f aca="false">IF(G34&gt;=-0.0000001,A34,H33)</f>
        <v>45848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-13356.12</v>
      </c>
      <c r="L34" s="28" t="n">
        <f aca="false">L33+K34/$T$1*100</f>
        <v>-10.374678125</v>
      </c>
      <c r="M34" s="28" t="n">
        <f aca="false">MAX(0,MAX($L$2:L34))</f>
        <v>19.70573125</v>
      </c>
      <c r="N34" s="28" t="n">
        <f aca="false">L34-M34</f>
        <v>-30.080409375</v>
      </c>
      <c r="O34" s="25" t="n">
        <f aca="false">IF(N34&gt;=-0.0000001,A34,O33)</f>
        <v>45848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45908</v>
      </c>
      <c r="B35" s="26" t="s">
        <v>79</v>
      </c>
      <c r="C35" s="27" t="n">
        <v>-13438.05</v>
      </c>
      <c r="D35" s="28" t="n">
        <f aca="false">C35/$T$1*100</f>
        <v>-4.199390625</v>
      </c>
      <c r="E35" s="28" t="n">
        <f aca="false">E34+D35</f>
        <v>-28.946309375</v>
      </c>
      <c r="F35" s="28" t="n">
        <f aca="false">MAX(0,MAX($E$2:E35))</f>
        <v>15.396834375</v>
      </c>
      <c r="G35" s="28" t="n">
        <f aca="false">E35-F35</f>
        <v>-44.34314375</v>
      </c>
      <c r="H35" s="25" t="n">
        <f aca="false">IF(G35&gt;=-0.0000001,A35,H34)</f>
        <v>45848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-13438.05</v>
      </c>
      <c r="L35" s="28" t="n">
        <f aca="false">L34+K35/$T$1*100</f>
        <v>-14.57406875</v>
      </c>
      <c r="M35" s="28" t="n">
        <f aca="false">MAX(0,MAX($L$2:L35))</f>
        <v>19.70573125</v>
      </c>
      <c r="N35" s="28" t="n">
        <f aca="false">L35-M35</f>
        <v>-34.2798</v>
      </c>
      <c r="O35" s="25" t="n">
        <f aca="false">IF(N35&gt;=-0.0000001,A35,O34)</f>
        <v>45848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45909</v>
      </c>
      <c r="B36" s="26" t="s">
        <v>80</v>
      </c>
      <c r="C36" s="27" t="n">
        <v>3324.67</v>
      </c>
      <c r="D36" s="28" t="n">
        <f aca="false">C36/$T$1*100</f>
        <v>1.038959375</v>
      </c>
      <c r="E36" s="28" t="n">
        <f aca="false">E35+D36</f>
        <v>-27.90735</v>
      </c>
      <c r="F36" s="28" t="n">
        <f aca="false">MAX(0,MAX($E$2:E36))</f>
        <v>15.396834375</v>
      </c>
      <c r="G36" s="28" t="n">
        <f aca="false">E36-F36</f>
        <v>-43.304184375</v>
      </c>
      <c r="H36" s="25" t="n">
        <f aca="false">IF(G36&gt;=-0.0000001,A36,H35)</f>
        <v>45848</v>
      </c>
      <c r="I36" s="29" t="n">
        <f aca="false">IF(AND(G36&gt;=-0.0000001,G35&lt;0),1,0)</f>
        <v>0</v>
      </c>
      <c r="J36" s="30" t="str">
        <f aca="false">IF(I36=1,A36-H35,"")</f>
        <v/>
      </c>
      <c r="K36" s="27" t="n">
        <f aca="false">IF(B36="Wednesday",0,C36)</f>
        <v>3324.67</v>
      </c>
      <c r="L36" s="28" t="n">
        <f aca="false">L35+K36/$T$1*100</f>
        <v>-13.535109375</v>
      </c>
      <c r="M36" s="28" t="n">
        <f aca="false">MAX(0,MAX($L$2:L36))</f>
        <v>19.70573125</v>
      </c>
      <c r="N36" s="28" t="n">
        <f aca="false">L36-M36</f>
        <v>-33.240840625</v>
      </c>
      <c r="O36" s="25" t="n">
        <f aca="false">IF(N36&gt;=-0.0000001,A36,O35)</f>
        <v>45848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45912</v>
      </c>
      <c r="B37" s="26" t="s">
        <v>83</v>
      </c>
      <c r="C37" s="27" t="n">
        <v>10585.45</v>
      </c>
      <c r="D37" s="28" t="n">
        <f aca="false">C37/$T$1*100</f>
        <v>3.307953125</v>
      </c>
      <c r="E37" s="28" t="n">
        <f aca="false">E36+D37</f>
        <v>-24.599396875</v>
      </c>
      <c r="F37" s="28" t="n">
        <f aca="false">MAX(0,MAX($E$2:E37))</f>
        <v>15.396834375</v>
      </c>
      <c r="G37" s="28" t="n">
        <f aca="false">E37-F37</f>
        <v>-39.99623125</v>
      </c>
      <c r="H37" s="25" t="n">
        <f aca="false">IF(G37&gt;=-0.0000001,A37,H36)</f>
        <v>45848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10585.45</v>
      </c>
      <c r="L37" s="28" t="n">
        <f aca="false">L36+K37/$T$1*100</f>
        <v>-10.22715625</v>
      </c>
      <c r="M37" s="28" t="n">
        <f aca="false">MAX(0,MAX($L$2:L37))</f>
        <v>19.70573125</v>
      </c>
      <c r="N37" s="28" t="n">
        <f aca="false">L37-M37</f>
        <v>-29.9328875</v>
      </c>
      <c r="O37" s="25" t="n">
        <f aca="false">IF(N37&gt;=-0.0000001,A37,O36)</f>
        <v>45848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45916</v>
      </c>
      <c r="B38" s="26" t="s">
        <v>80</v>
      </c>
      <c r="C38" s="27" t="n">
        <v>14926.3</v>
      </c>
      <c r="D38" s="28" t="n">
        <f aca="false">C38/$T$1*100</f>
        <v>4.66446875</v>
      </c>
      <c r="E38" s="28" t="n">
        <f aca="false">E37+D38</f>
        <v>-19.934928125</v>
      </c>
      <c r="F38" s="28" t="n">
        <f aca="false">MAX(0,MAX($E$2:E38))</f>
        <v>15.396834375</v>
      </c>
      <c r="G38" s="28" t="n">
        <f aca="false">E38-F38</f>
        <v>-35.3317625</v>
      </c>
      <c r="H38" s="25" t="n">
        <f aca="false">IF(G38&gt;=-0.0000001,A38,H37)</f>
        <v>45848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14926.3</v>
      </c>
      <c r="L38" s="28" t="n">
        <f aca="false">L37+K38/$T$1*100</f>
        <v>-5.5626875</v>
      </c>
      <c r="M38" s="28" t="n">
        <f aca="false">MAX(0,MAX($L$2:L38))</f>
        <v>19.70573125</v>
      </c>
      <c r="N38" s="28" t="n">
        <f aca="false">L38-M38</f>
        <v>-25.26841875</v>
      </c>
      <c r="O38" s="25" t="n">
        <f aca="false">IF(N38&gt;=-0.0000001,A38,O37)</f>
        <v>45848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45922</v>
      </c>
      <c r="B39" s="26" t="s">
        <v>79</v>
      </c>
      <c r="C39" s="27" t="n">
        <v>8781.97</v>
      </c>
      <c r="D39" s="28" t="n">
        <f aca="false">C39/$T$1*100</f>
        <v>2.744365625</v>
      </c>
      <c r="E39" s="28" t="n">
        <f aca="false">E38+D39</f>
        <v>-17.1905625</v>
      </c>
      <c r="F39" s="28" t="n">
        <f aca="false">MAX(0,MAX($E$2:E39))</f>
        <v>15.396834375</v>
      </c>
      <c r="G39" s="28" t="n">
        <f aca="false">E39-F39</f>
        <v>-32.587396875</v>
      </c>
      <c r="H39" s="25" t="n">
        <f aca="false">IF(G39&gt;=-0.0000001,A39,H38)</f>
        <v>45848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8781.97</v>
      </c>
      <c r="L39" s="28" t="n">
        <f aca="false">L38+K39/$T$1*100</f>
        <v>-2.818321875</v>
      </c>
      <c r="M39" s="28" t="n">
        <f aca="false">MAX(0,MAX($L$2:L39))</f>
        <v>19.70573125</v>
      </c>
      <c r="N39" s="28" t="n">
        <f aca="false">L39-M39</f>
        <v>-22.524053125</v>
      </c>
      <c r="O39" s="25" t="n">
        <f aca="false">IF(N39&gt;=-0.0000001,A39,O38)</f>
        <v>45848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45923</v>
      </c>
      <c r="B40" s="26" t="s">
        <v>80</v>
      </c>
      <c r="C40" s="27" t="n">
        <v>16699.38</v>
      </c>
      <c r="D40" s="28" t="n">
        <f aca="false">C40/$T$1*100</f>
        <v>5.21855625</v>
      </c>
      <c r="E40" s="28" t="n">
        <f aca="false">E39+D40</f>
        <v>-11.97200625</v>
      </c>
      <c r="F40" s="28" t="n">
        <f aca="false">MAX(0,MAX($E$2:E40))</f>
        <v>15.396834375</v>
      </c>
      <c r="G40" s="28" t="n">
        <f aca="false">E40-F40</f>
        <v>-27.368840625</v>
      </c>
      <c r="H40" s="25" t="n">
        <f aca="false">IF(G40&gt;=-0.0000001,A40,H39)</f>
        <v>45848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16699.38</v>
      </c>
      <c r="L40" s="28" t="n">
        <f aca="false">L39+K40/$T$1*100</f>
        <v>2.400234375</v>
      </c>
      <c r="M40" s="28" t="n">
        <f aca="false">MAX(0,MAX($L$2:L40))</f>
        <v>19.70573125</v>
      </c>
      <c r="N40" s="28" t="n">
        <f aca="false">L40-M40</f>
        <v>-17.305496875</v>
      </c>
      <c r="O40" s="25" t="n">
        <f aca="false">IF(N40&gt;=-0.0000001,A40,O39)</f>
        <v>45848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45925</v>
      </c>
      <c r="B41" s="26" t="s">
        <v>82</v>
      </c>
      <c r="C41" s="27" t="n">
        <v>-6897.91</v>
      </c>
      <c r="D41" s="28" t="n">
        <f aca="false">C41/$T$1*100</f>
        <v>-2.155596875</v>
      </c>
      <c r="E41" s="28" t="n">
        <f aca="false">E40+D41</f>
        <v>-14.127603125</v>
      </c>
      <c r="F41" s="28" t="n">
        <f aca="false">MAX(0,MAX($E$2:E41))</f>
        <v>15.396834375</v>
      </c>
      <c r="G41" s="28" t="n">
        <f aca="false">E41-F41</f>
        <v>-29.5244375</v>
      </c>
      <c r="H41" s="25" t="n">
        <f aca="false">IF(G41&gt;=-0.0000001,A41,H40)</f>
        <v>45848</v>
      </c>
      <c r="I41" s="29" t="n">
        <f aca="false">IF(AND(G41&gt;=-0.0000001,G40&lt;0),1,0)</f>
        <v>0</v>
      </c>
      <c r="J41" s="30" t="str">
        <f aca="false">IF(I41=1,A41-H40,"")</f>
        <v/>
      </c>
      <c r="K41" s="27" t="n">
        <f aca="false">IF(B41="Wednesday",0,C41)</f>
        <v>-6897.91</v>
      </c>
      <c r="L41" s="28" t="n">
        <f aca="false">L40+K41/$T$1*100</f>
        <v>0.244637500000003</v>
      </c>
      <c r="M41" s="28" t="n">
        <f aca="false">MAX(0,MAX($L$2:L41))</f>
        <v>19.70573125</v>
      </c>
      <c r="N41" s="28" t="n">
        <f aca="false">L41-M41</f>
        <v>-19.46109375</v>
      </c>
      <c r="O41" s="25" t="n">
        <f aca="false">IF(N41&gt;=-0.0000001,A41,O40)</f>
        <v>45848</v>
      </c>
      <c r="P41" s="29" t="n">
        <f aca="false">IF(AND(N41&gt;=-0.0000001,N40&lt;0),1,0)</f>
        <v>0</v>
      </c>
      <c r="Q41" s="30" t="str">
        <f aca="false">IF(P41=1,A41-O40,"")</f>
        <v/>
      </c>
    </row>
    <row r="42" customFormat="false" ht="15" hidden="false" customHeight="false" outlineLevel="0" collapsed="false">
      <c r="A42" s="25" t="n">
        <v>45926</v>
      </c>
      <c r="B42" s="26" t="s">
        <v>83</v>
      </c>
      <c r="C42" s="27" t="n">
        <v>14196.94</v>
      </c>
      <c r="D42" s="28" t="n">
        <f aca="false">C42/$T$1*100</f>
        <v>4.43654375</v>
      </c>
      <c r="E42" s="28" t="n">
        <f aca="false">E41+D42</f>
        <v>-9.691059375</v>
      </c>
      <c r="F42" s="28" t="n">
        <f aca="false">MAX(0,MAX($E$2:E42))</f>
        <v>15.396834375</v>
      </c>
      <c r="G42" s="28" t="n">
        <f aca="false">E42-F42</f>
        <v>-25.08789375</v>
      </c>
      <c r="H42" s="25" t="n">
        <f aca="false">IF(G42&gt;=-0.0000001,A42,H41)</f>
        <v>45848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14196.94</v>
      </c>
      <c r="L42" s="28" t="n">
        <f aca="false">L41+K42/$T$1*100</f>
        <v>4.68118125</v>
      </c>
      <c r="M42" s="28" t="n">
        <f aca="false">MAX(0,MAX($L$2:L42))</f>
        <v>19.70573125</v>
      </c>
      <c r="N42" s="28" t="n">
        <f aca="false">L42-M42</f>
        <v>-15.02455</v>
      </c>
      <c r="O42" s="25" t="n">
        <f aca="false">IF(N42&gt;=-0.0000001,A42,O41)</f>
        <v>45848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45929</v>
      </c>
      <c r="B43" s="26" t="s">
        <v>79</v>
      </c>
      <c r="C43" s="27" t="n">
        <v>13591.14</v>
      </c>
      <c r="D43" s="28" t="n">
        <f aca="false">C43/$T$1*100</f>
        <v>4.24723125</v>
      </c>
      <c r="E43" s="28" t="n">
        <f aca="false">E42+D43</f>
        <v>-5.443828125</v>
      </c>
      <c r="F43" s="28" t="n">
        <f aca="false">MAX(0,MAX($E$2:E43))</f>
        <v>15.396834375</v>
      </c>
      <c r="G43" s="28" t="n">
        <f aca="false">E43-F43</f>
        <v>-20.8406625</v>
      </c>
      <c r="H43" s="25" t="n">
        <f aca="false">IF(G43&gt;=-0.0000001,A43,H42)</f>
        <v>45848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13591.14</v>
      </c>
      <c r="L43" s="28" t="n">
        <f aca="false">L42+K43/$T$1*100</f>
        <v>8.9284125</v>
      </c>
      <c r="M43" s="28" t="n">
        <f aca="false">MAX(0,MAX($L$2:L43))</f>
        <v>19.70573125</v>
      </c>
      <c r="N43" s="28" t="n">
        <f aca="false">L43-M43</f>
        <v>-10.77731875</v>
      </c>
      <c r="O43" s="25" t="n">
        <f aca="false">IF(N43&gt;=-0.0000001,A43,O42)</f>
        <v>45848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45930</v>
      </c>
      <c r="B44" s="26" t="s">
        <v>80</v>
      </c>
      <c r="C44" s="27" t="n">
        <v>26546.23</v>
      </c>
      <c r="D44" s="28" t="n">
        <f aca="false">C44/$T$1*100</f>
        <v>8.295696875</v>
      </c>
      <c r="E44" s="28" t="n">
        <f aca="false">E43+D44</f>
        <v>2.85186875</v>
      </c>
      <c r="F44" s="28" t="n">
        <f aca="false">MAX(0,MAX($E$2:E44))</f>
        <v>15.396834375</v>
      </c>
      <c r="G44" s="28" t="n">
        <f aca="false">E44-F44</f>
        <v>-12.544965625</v>
      </c>
      <c r="H44" s="25" t="n">
        <f aca="false">IF(G44&gt;=-0.0000001,A44,H43)</f>
        <v>45848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26546.23</v>
      </c>
      <c r="L44" s="28" t="n">
        <f aca="false">L43+K44/$T$1*100</f>
        <v>17.224109375</v>
      </c>
      <c r="M44" s="28" t="n">
        <f aca="false">MAX(0,MAX($L$2:L44))</f>
        <v>19.70573125</v>
      </c>
      <c r="N44" s="28" t="n">
        <f aca="false">L44-M44</f>
        <v>-2.48162187499999</v>
      </c>
      <c r="O44" s="25" t="n">
        <f aca="false">IF(N44&gt;=-0.0000001,A44,O43)</f>
        <v>45848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45936</v>
      </c>
      <c r="B45" s="26" t="s">
        <v>79</v>
      </c>
      <c r="C45" s="27" t="n">
        <v>-13985.97</v>
      </c>
      <c r="D45" s="28" t="n">
        <f aca="false">C45/$T$1*100</f>
        <v>-4.370615625</v>
      </c>
      <c r="E45" s="28" t="n">
        <f aca="false">E44+D45</f>
        <v>-1.518746875</v>
      </c>
      <c r="F45" s="28" t="n">
        <f aca="false">MAX(0,MAX($E$2:E45))</f>
        <v>15.396834375</v>
      </c>
      <c r="G45" s="28" t="n">
        <f aca="false">E45-F45</f>
        <v>-16.91558125</v>
      </c>
      <c r="H45" s="25" t="n">
        <f aca="false">IF(G45&gt;=-0.0000001,A45,H44)</f>
        <v>45848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-13985.97</v>
      </c>
      <c r="L45" s="28" t="n">
        <f aca="false">L44+K45/$T$1*100</f>
        <v>12.85349375</v>
      </c>
      <c r="M45" s="28" t="n">
        <f aca="false">MAX(0,MAX($L$2:L45))</f>
        <v>19.70573125</v>
      </c>
      <c r="N45" s="28" t="n">
        <f aca="false">L45-M45</f>
        <v>-6.85223749999999</v>
      </c>
      <c r="O45" s="25" t="n">
        <f aca="false">IF(N45&gt;=-0.0000001,A45,O44)</f>
        <v>45848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45937</v>
      </c>
      <c r="B46" s="26" t="s">
        <v>80</v>
      </c>
      <c r="C46" s="27" t="n">
        <v>-3625.63</v>
      </c>
      <c r="D46" s="28" t="n">
        <f aca="false">C46/$T$1*100</f>
        <v>-1.133009375</v>
      </c>
      <c r="E46" s="28" t="n">
        <f aca="false">E45+D46</f>
        <v>-2.65175625</v>
      </c>
      <c r="F46" s="28" t="n">
        <f aca="false">MAX(0,MAX($E$2:E46))</f>
        <v>15.396834375</v>
      </c>
      <c r="G46" s="28" t="n">
        <f aca="false">E46-F46</f>
        <v>-18.048590625</v>
      </c>
      <c r="H46" s="25" t="n">
        <f aca="false">IF(G46&gt;=-0.0000001,A46,H45)</f>
        <v>45848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-3625.63</v>
      </c>
      <c r="L46" s="28" t="n">
        <f aca="false">L45+K46/$T$1*100</f>
        <v>11.720484375</v>
      </c>
      <c r="M46" s="28" t="n">
        <f aca="false">MAX(0,MAX($L$2:L46))</f>
        <v>19.70573125</v>
      </c>
      <c r="N46" s="28" t="n">
        <f aca="false">L46-M46</f>
        <v>-7.98524687499999</v>
      </c>
      <c r="O46" s="25" t="n">
        <f aca="false">IF(N46&gt;=-0.0000001,A46,O45)</f>
        <v>45848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45940</v>
      </c>
      <c r="B47" s="26" t="s">
        <v>83</v>
      </c>
      <c r="C47" s="27" t="n">
        <v>-14820.8</v>
      </c>
      <c r="D47" s="28" t="n">
        <f aca="false">C47/$T$1*100</f>
        <v>-4.6315</v>
      </c>
      <c r="E47" s="28" t="n">
        <f aca="false">E46+D47</f>
        <v>-7.28325625</v>
      </c>
      <c r="F47" s="28" t="n">
        <f aca="false">MAX(0,MAX($E$2:E47))</f>
        <v>15.396834375</v>
      </c>
      <c r="G47" s="28" t="n">
        <f aca="false">E47-F47</f>
        <v>-22.680090625</v>
      </c>
      <c r="H47" s="25" t="n">
        <f aca="false">IF(G47&gt;=-0.0000001,A47,H46)</f>
        <v>45848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-14820.8</v>
      </c>
      <c r="L47" s="28" t="n">
        <f aca="false">L46+K47/$T$1*100</f>
        <v>7.08898437500001</v>
      </c>
      <c r="M47" s="28" t="n">
        <f aca="false">MAX(0,MAX($L$2:L47))</f>
        <v>19.70573125</v>
      </c>
      <c r="N47" s="28" t="n">
        <f aca="false">L47-M47</f>
        <v>-12.616746875</v>
      </c>
      <c r="O47" s="25" t="n">
        <f aca="false">IF(N47&gt;=-0.0000001,A47,O46)</f>
        <v>45848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45946</v>
      </c>
      <c r="B48" s="26" t="s">
        <v>82</v>
      </c>
      <c r="C48" s="27" t="n">
        <v>16274.4</v>
      </c>
      <c r="D48" s="28" t="n">
        <f aca="false">C48/$T$1*100</f>
        <v>5.08575</v>
      </c>
      <c r="E48" s="28" t="n">
        <f aca="false">E47+D48</f>
        <v>-2.19750625</v>
      </c>
      <c r="F48" s="28" t="n">
        <f aca="false">MAX(0,MAX($E$2:E48))</f>
        <v>15.396834375</v>
      </c>
      <c r="G48" s="28" t="n">
        <f aca="false">E48-F48</f>
        <v>-17.594340625</v>
      </c>
      <c r="H48" s="25" t="n">
        <f aca="false">IF(G48&gt;=-0.0000001,A48,H47)</f>
        <v>45848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16274.4</v>
      </c>
      <c r="L48" s="28" t="n">
        <f aca="false">L47+K48/$T$1*100</f>
        <v>12.174734375</v>
      </c>
      <c r="M48" s="28" t="n">
        <f aca="false">MAX(0,MAX($L$2:L48))</f>
        <v>19.70573125</v>
      </c>
      <c r="N48" s="28" t="n">
        <f aca="false">L48-M48</f>
        <v>-7.53099687499999</v>
      </c>
      <c r="O48" s="25" t="n">
        <f aca="false">IF(N48&gt;=-0.0000001,A48,O47)</f>
        <v>45848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45947</v>
      </c>
      <c r="B49" s="26" t="s">
        <v>83</v>
      </c>
      <c r="C49" s="27" t="n">
        <v>-27987.87</v>
      </c>
      <c r="D49" s="28" t="n">
        <f aca="false">C49/$T$1*100</f>
        <v>-8.746209375</v>
      </c>
      <c r="E49" s="28" t="n">
        <f aca="false">E48+D49</f>
        <v>-10.943715625</v>
      </c>
      <c r="F49" s="28" t="n">
        <f aca="false">MAX(0,MAX($E$2:E49))</f>
        <v>15.396834375</v>
      </c>
      <c r="G49" s="28" t="n">
        <f aca="false">E49-F49</f>
        <v>-26.34055</v>
      </c>
      <c r="H49" s="25" t="n">
        <f aca="false">IF(G49&gt;=-0.0000001,A49,H48)</f>
        <v>45848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-27987.87</v>
      </c>
      <c r="L49" s="28" t="n">
        <f aca="false">L48+K49/$T$1*100</f>
        <v>3.42852500000001</v>
      </c>
      <c r="M49" s="28" t="n">
        <f aca="false">MAX(0,MAX($L$2:L49))</f>
        <v>19.70573125</v>
      </c>
      <c r="N49" s="28" t="n">
        <f aca="false">L49-M49</f>
        <v>-16.27720625</v>
      </c>
      <c r="O49" s="25" t="n">
        <f aca="false">IF(N49&gt;=-0.0000001,A49,O48)</f>
        <v>45848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45950</v>
      </c>
      <c r="B50" s="26" t="s">
        <v>79</v>
      </c>
      <c r="C50" s="27" t="n">
        <v>2627.31</v>
      </c>
      <c r="D50" s="28" t="n">
        <f aca="false">C50/$T$1*100</f>
        <v>0.821034375</v>
      </c>
      <c r="E50" s="28" t="n">
        <f aca="false">E49+D50</f>
        <v>-10.12268125</v>
      </c>
      <c r="F50" s="28" t="n">
        <f aca="false">MAX(0,MAX($E$2:E50))</f>
        <v>15.396834375</v>
      </c>
      <c r="G50" s="28" t="n">
        <f aca="false">E50-F50</f>
        <v>-25.519515625</v>
      </c>
      <c r="H50" s="25" t="n">
        <f aca="false">IF(G50&gt;=-0.0000001,A50,H49)</f>
        <v>45848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2627.31</v>
      </c>
      <c r="L50" s="28" t="n">
        <f aca="false">L49+K50/$T$1*100</f>
        <v>4.24955937500001</v>
      </c>
      <c r="M50" s="28" t="n">
        <f aca="false">MAX(0,MAX($L$2:L50))</f>
        <v>19.70573125</v>
      </c>
      <c r="N50" s="28" t="n">
        <f aca="false">L50-M50</f>
        <v>-15.456171875</v>
      </c>
      <c r="O50" s="25" t="n">
        <f aca="false">IF(N50&gt;=-0.0000001,A50,O49)</f>
        <v>45848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45953</v>
      </c>
      <c r="B51" s="26" t="s">
        <v>82</v>
      </c>
      <c r="C51" s="27" t="n">
        <v>-17082.38</v>
      </c>
      <c r="D51" s="28" t="n">
        <f aca="false">C51/$T$1*100</f>
        <v>-5.33824375</v>
      </c>
      <c r="E51" s="28" t="n">
        <f aca="false">E50+D51</f>
        <v>-15.460925</v>
      </c>
      <c r="F51" s="28" t="n">
        <f aca="false">MAX(0,MAX($E$2:E51))</f>
        <v>15.396834375</v>
      </c>
      <c r="G51" s="28" t="n">
        <f aca="false">E51-F51</f>
        <v>-30.857759375</v>
      </c>
      <c r="H51" s="25" t="n">
        <f aca="false">IF(G51&gt;=-0.0000001,A51,H50)</f>
        <v>45848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-17082.38</v>
      </c>
      <c r="L51" s="28" t="n">
        <f aca="false">L50+K51/$T$1*100</f>
        <v>-1.08868437499999</v>
      </c>
      <c r="M51" s="28" t="n">
        <f aca="false">MAX(0,MAX($L$2:L51))</f>
        <v>19.70573125</v>
      </c>
      <c r="N51" s="28" t="n">
        <f aca="false">L51-M51</f>
        <v>-20.794415625</v>
      </c>
      <c r="O51" s="25" t="n">
        <f aca="false">IF(N51&gt;=-0.0000001,A51,O50)</f>
        <v>45848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45957</v>
      </c>
      <c r="B52" s="26" t="s">
        <v>79</v>
      </c>
      <c r="C52" s="27" t="n">
        <v>-19023.38</v>
      </c>
      <c r="D52" s="28" t="n">
        <f aca="false">C52/$T$1*100</f>
        <v>-5.94480625</v>
      </c>
      <c r="E52" s="28" t="n">
        <f aca="false">E51+D52</f>
        <v>-21.40573125</v>
      </c>
      <c r="F52" s="28" t="n">
        <f aca="false">MAX(0,MAX($E$2:E52))</f>
        <v>15.396834375</v>
      </c>
      <c r="G52" s="28" t="n">
        <f aca="false">E52-F52</f>
        <v>-36.802565625</v>
      </c>
      <c r="H52" s="25" t="n">
        <f aca="false">IF(G52&gt;=-0.0000001,A52,H51)</f>
        <v>45848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-19023.38</v>
      </c>
      <c r="L52" s="28" t="n">
        <f aca="false">L51+K52/$T$1*100</f>
        <v>-7.03349062499999</v>
      </c>
      <c r="M52" s="28" t="n">
        <f aca="false">MAX(0,MAX($L$2:L52))</f>
        <v>19.70573125</v>
      </c>
      <c r="N52" s="28" t="n">
        <f aca="false">L52-M52</f>
        <v>-26.739221875</v>
      </c>
      <c r="O52" s="25" t="n">
        <f aca="false">IF(N52&gt;=-0.0000001,A52,O51)</f>
        <v>45848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45958</v>
      </c>
      <c r="B53" s="26" t="s">
        <v>80</v>
      </c>
      <c r="C53" s="27" t="n">
        <v>26437.97</v>
      </c>
      <c r="D53" s="28" t="n">
        <f aca="false">C53/$T$1*100</f>
        <v>8.261865625</v>
      </c>
      <c r="E53" s="28" t="n">
        <f aca="false">E52+D53</f>
        <v>-13.143865625</v>
      </c>
      <c r="F53" s="28" t="n">
        <f aca="false">MAX(0,MAX($E$2:E53))</f>
        <v>15.396834375</v>
      </c>
      <c r="G53" s="28" t="n">
        <f aca="false">E53-F53</f>
        <v>-28.5407</v>
      </c>
      <c r="H53" s="25" t="n">
        <f aca="false">IF(G53&gt;=-0.0000001,A53,H52)</f>
        <v>45848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26437.97</v>
      </c>
      <c r="L53" s="28" t="n">
        <f aca="false">L52+K53/$T$1*100</f>
        <v>1.22837500000001</v>
      </c>
      <c r="M53" s="28" t="n">
        <f aca="false">MAX(0,MAX($L$2:L53))</f>
        <v>19.70573125</v>
      </c>
      <c r="N53" s="28" t="n">
        <f aca="false">L53-M53</f>
        <v>-18.47735625</v>
      </c>
      <c r="O53" s="25" t="n">
        <f aca="false">IF(N53&gt;=-0.0000001,A53,O52)</f>
        <v>45848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45960</v>
      </c>
      <c r="B54" s="26" t="s">
        <v>82</v>
      </c>
      <c r="C54" s="27" t="n">
        <v>-23487.95</v>
      </c>
      <c r="D54" s="28" t="n">
        <f aca="false">C54/$T$1*100</f>
        <v>-7.339984375</v>
      </c>
      <c r="E54" s="28" t="n">
        <f aca="false">E53+D54</f>
        <v>-20.48385</v>
      </c>
      <c r="F54" s="28" t="n">
        <f aca="false">MAX(0,MAX($E$2:E54))</f>
        <v>15.396834375</v>
      </c>
      <c r="G54" s="28" t="n">
        <f aca="false">E54-F54</f>
        <v>-35.880684375</v>
      </c>
      <c r="H54" s="25" t="n">
        <f aca="false">IF(G54&gt;=-0.0000001,A54,H53)</f>
        <v>45848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-23487.95</v>
      </c>
      <c r="L54" s="28" t="n">
        <f aca="false">L53+K54/$T$1*100</f>
        <v>-6.11160937499999</v>
      </c>
      <c r="M54" s="28" t="n">
        <f aca="false">MAX(0,MAX($L$2:L54))</f>
        <v>19.70573125</v>
      </c>
      <c r="N54" s="28" t="n">
        <f aca="false">L54-M54</f>
        <v>-25.817340625</v>
      </c>
      <c r="O54" s="25" t="n">
        <f aca="false">IF(N54&gt;=-0.0000001,A54,O53)</f>
        <v>45848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45967</v>
      </c>
      <c r="B55" s="26" t="s">
        <v>82</v>
      </c>
      <c r="C55" s="27" t="n">
        <v>-857.44</v>
      </c>
      <c r="D55" s="28" t="n">
        <f aca="false">C55/$T$1*100</f>
        <v>-0.26795</v>
      </c>
      <c r="E55" s="28" t="n">
        <f aca="false">E54+D55</f>
        <v>-20.7518</v>
      </c>
      <c r="F55" s="28" t="n">
        <f aca="false">MAX(0,MAX($E$2:E55))</f>
        <v>15.396834375</v>
      </c>
      <c r="G55" s="28" t="n">
        <f aca="false">E55-F55</f>
        <v>-36.148634375</v>
      </c>
      <c r="H55" s="25" t="n">
        <f aca="false">IF(G55&gt;=-0.0000001,A55,H54)</f>
        <v>45848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-857.44</v>
      </c>
      <c r="L55" s="28" t="n">
        <f aca="false">L54+K55/$T$1*100</f>
        <v>-6.37955937499999</v>
      </c>
      <c r="M55" s="28" t="n">
        <f aca="false">MAX(0,MAX($L$2:L55))</f>
        <v>19.70573125</v>
      </c>
      <c r="N55" s="28" t="n">
        <f aca="false">L55-M55</f>
        <v>-26.085290625</v>
      </c>
      <c r="O55" s="25" t="n">
        <f aca="false">IF(N55&gt;=-0.0000001,A55,O54)</f>
        <v>45848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45968</v>
      </c>
      <c r="B56" s="26" t="s">
        <v>83</v>
      </c>
      <c r="C56" s="27" t="n">
        <v>8295.12</v>
      </c>
      <c r="D56" s="28" t="n">
        <f aca="false">C56/$T$1*100</f>
        <v>2.592225</v>
      </c>
      <c r="E56" s="28" t="n">
        <f aca="false">E55+D56</f>
        <v>-18.159575</v>
      </c>
      <c r="F56" s="28" t="n">
        <f aca="false">MAX(0,MAX($E$2:E56))</f>
        <v>15.396834375</v>
      </c>
      <c r="G56" s="28" t="n">
        <f aca="false">E56-F56</f>
        <v>-33.556409375</v>
      </c>
      <c r="H56" s="25" t="n">
        <f aca="false">IF(G56&gt;=-0.0000001,A56,H55)</f>
        <v>45848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8295.12</v>
      </c>
      <c r="L56" s="28" t="n">
        <f aca="false">L55+K56/$T$1*100</f>
        <v>-3.78733437499999</v>
      </c>
      <c r="M56" s="28" t="n">
        <f aca="false">MAX(0,MAX($L$2:L56))</f>
        <v>19.70573125</v>
      </c>
      <c r="N56" s="28" t="n">
        <f aca="false">L56-M56</f>
        <v>-23.493065625</v>
      </c>
      <c r="O56" s="25" t="n">
        <f aca="false">IF(N56&gt;=-0.0000001,A56,O55)</f>
        <v>45848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45972</v>
      </c>
      <c r="B57" s="26" t="s">
        <v>80</v>
      </c>
      <c r="C57" s="27" t="n">
        <v>23878.07</v>
      </c>
      <c r="D57" s="28" t="n">
        <f aca="false">C57/$T$1*100</f>
        <v>7.461896875</v>
      </c>
      <c r="E57" s="28" t="n">
        <f aca="false">E56+D57</f>
        <v>-10.697678125</v>
      </c>
      <c r="F57" s="28" t="n">
        <f aca="false">MAX(0,MAX($E$2:E57))</f>
        <v>15.396834375</v>
      </c>
      <c r="G57" s="28" t="n">
        <f aca="false">E57-F57</f>
        <v>-26.0945125</v>
      </c>
      <c r="H57" s="25" t="n">
        <f aca="false">IF(G57&gt;=-0.0000001,A57,H56)</f>
        <v>45848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23878.07</v>
      </c>
      <c r="L57" s="28" t="n">
        <f aca="false">L56+K57/$T$1*100</f>
        <v>3.67456250000001</v>
      </c>
      <c r="M57" s="28" t="n">
        <f aca="false">MAX(0,MAX($L$2:L57))</f>
        <v>19.70573125</v>
      </c>
      <c r="N57" s="28" t="n">
        <f aca="false">L57-M57</f>
        <v>-16.03116875</v>
      </c>
      <c r="O57" s="25" t="n">
        <f aca="false">IF(N57&gt;=-0.0000001,A57,O56)</f>
        <v>45848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45974</v>
      </c>
      <c r="B58" s="26" t="s">
        <v>82</v>
      </c>
      <c r="C58" s="27" t="n">
        <v>-11623.28</v>
      </c>
      <c r="D58" s="28" t="n">
        <f aca="false">C58/$T$1*100</f>
        <v>-3.632275</v>
      </c>
      <c r="E58" s="28" t="n">
        <f aca="false">E57+D58</f>
        <v>-14.329953125</v>
      </c>
      <c r="F58" s="28" t="n">
        <f aca="false">MAX(0,MAX($E$2:E58))</f>
        <v>15.396834375</v>
      </c>
      <c r="G58" s="28" t="n">
        <f aca="false">E58-F58</f>
        <v>-29.7267875</v>
      </c>
      <c r="H58" s="25" t="n">
        <f aca="false">IF(G58&gt;=-0.0000001,A58,H57)</f>
        <v>45848</v>
      </c>
      <c r="I58" s="29" t="n">
        <f aca="false">IF(AND(G58&gt;=-0.0000001,G57&lt;0),1,0)</f>
        <v>0</v>
      </c>
      <c r="J58" s="30" t="str">
        <f aca="false">IF(I58=1,A58-H57,"")</f>
        <v/>
      </c>
      <c r="K58" s="27" t="n">
        <f aca="false">IF(B58="Wednesday",0,C58)</f>
        <v>-11623.28</v>
      </c>
      <c r="L58" s="28" t="n">
        <f aca="false">L57+K58/$T$1*100</f>
        <v>0.0422875000000076</v>
      </c>
      <c r="M58" s="28" t="n">
        <f aca="false">MAX(0,MAX($L$2:L58))</f>
        <v>19.70573125</v>
      </c>
      <c r="N58" s="28" t="n">
        <f aca="false">L58-M58</f>
        <v>-19.66344375</v>
      </c>
      <c r="O58" s="25" t="n">
        <f aca="false">IF(N58&gt;=-0.0000001,A58,O57)</f>
        <v>45848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45975</v>
      </c>
      <c r="B59" s="26" t="s">
        <v>83</v>
      </c>
      <c r="C59" s="27" t="n">
        <v>12072.13</v>
      </c>
      <c r="D59" s="28" t="n">
        <f aca="false">C59/$T$1*100</f>
        <v>3.772540625</v>
      </c>
      <c r="E59" s="28" t="n">
        <f aca="false">E58+D59</f>
        <v>-10.5574125</v>
      </c>
      <c r="F59" s="28" t="n">
        <f aca="false">MAX(0,MAX($E$2:E59))</f>
        <v>15.396834375</v>
      </c>
      <c r="G59" s="28" t="n">
        <f aca="false">E59-F59</f>
        <v>-25.954246875</v>
      </c>
      <c r="H59" s="25" t="n">
        <f aca="false">IF(G59&gt;=-0.0000001,A59,H58)</f>
        <v>45848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12072.13</v>
      </c>
      <c r="L59" s="28" t="n">
        <f aca="false">L58+K59/$T$1*100</f>
        <v>3.81482812500001</v>
      </c>
      <c r="M59" s="28" t="n">
        <f aca="false">MAX(0,MAX($L$2:L59))</f>
        <v>19.70573125</v>
      </c>
      <c r="N59" s="28" t="n">
        <f aca="false">L59-M59</f>
        <v>-15.890903125</v>
      </c>
      <c r="O59" s="25" t="n">
        <f aca="false">IF(N59&gt;=-0.0000001,A59,O58)</f>
        <v>45848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45979</v>
      </c>
      <c r="B60" s="26" t="s">
        <v>80</v>
      </c>
      <c r="C60" s="27" t="n">
        <v>5915.35</v>
      </c>
      <c r="D60" s="28" t="n">
        <f aca="false">C60/$T$1*100</f>
        <v>1.848546875</v>
      </c>
      <c r="E60" s="28" t="n">
        <f aca="false">E59+D60</f>
        <v>-8.708865625</v>
      </c>
      <c r="F60" s="28" t="n">
        <f aca="false">MAX(0,MAX($E$2:E60))</f>
        <v>15.396834375</v>
      </c>
      <c r="G60" s="28" t="n">
        <f aca="false">E60-F60</f>
        <v>-24.1057</v>
      </c>
      <c r="H60" s="25" t="n">
        <f aca="false">IF(G60&gt;=-0.0000001,A60,H59)</f>
        <v>45848</v>
      </c>
      <c r="I60" s="29" t="n">
        <f aca="false">IF(AND(G60&gt;=-0.0000001,G59&lt;0),1,0)</f>
        <v>0</v>
      </c>
      <c r="J60" s="30" t="str">
        <f aca="false">IF(I60=1,A60-H59,"")</f>
        <v/>
      </c>
      <c r="K60" s="27" t="n">
        <f aca="false">IF(B60="Wednesday",0,C60)</f>
        <v>5915.35</v>
      </c>
      <c r="L60" s="28" t="n">
        <f aca="false">L59+K60/$T$1*100</f>
        <v>5.66337500000001</v>
      </c>
      <c r="M60" s="28" t="n">
        <f aca="false">MAX(0,MAX($L$2:L60))</f>
        <v>19.70573125</v>
      </c>
      <c r="N60" s="28" t="n">
        <f aca="false">L60-M60</f>
        <v>-14.04235625</v>
      </c>
      <c r="O60" s="25" t="n">
        <f aca="false">IF(N60&gt;=-0.0000001,A60,O59)</f>
        <v>45848</v>
      </c>
      <c r="P60" s="29" t="n">
        <f aca="false">IF(AND(N60&gt;=-0.0000001,N59&lt;0),1,0)</f>
        <v>0</v>
      </c>
      <c r="Q60" s="30" t="str">
        <f aca="false">IF(P60=1,A60-O59,"")</f>
        <v/>
      </c>
    </row>
    <row r="61" customFormat="false" ht="15" hidden="false" customHeight="false" outlineLevel="0" collapsed="false">
      <c r="A61" s="25" t="n">
        <v>45981</v>
      </c>
      <c r="B61" s="26" t="s">
        <v>82</v>
      </c>
      <c r="C61" s="27" t="n">
        <v>9949.55</v>
      </c>
      <c r="D61" s="28" t="n">
        <f aca="false">C61/$T$1*100</f>
        <v>3.109234375</v>
      </c>
      <c r="E61" s="28" t="n">
        <f aca="false">E60+D61</f>
        <v>-5.59963125</v>
      </c>
      <c r="F61" s="28" t="n">
        <f aca="false">MAX(0,MAX($E$2:E61))</f>
        <v>15.396834375</v>
      </c>
      <c r="G61" s="28" t="n">
        <f aca="false">E61-F61</f>
        <v>-20.996465625</v>
      </c>
      <c r="H61" s="25" t="n">
        <f aca="false">IF(G61&gt;=-0.0000001,A61,H60)</f>
        <v>45848</v>
      </c>
      <c r="I61" s="29" t="n">
        <f aca="false">IF(AND(G61&gt;=-0.0000001,G60&lt;0),1,0)</f>
        <v>0</v>
      </c>
      <c r="J61" s="30" t="str">
        <f aca="false">IF(I61=1,A61-H60,"")</f>
        <v/>
      </c>
      <c r="K61" s="27" t="n">
        <f aca="false">IF(B61="Wednesday",0,C61)</f>
        <v>9949.55</v>
      </c>
      <c r="L61" s="28" t="n">
        <f aca="false">L60+K61/$T$1*100</f>
        <v>8.77260937500001</v>
      </c>
      <c r="M61" s="28" t="n">
        <f aca="false">MAX(0,MAX($L$2:L61))</f>
        <v>19.70573125</v>
      </c>
      <c r="N61" s="28" t="n">
        <f aca="false">L61-M61</f>
        <v>-10.933121875</v>
      </c>
      <c r="O61" s="25" t="n">
        <f aca="false">IF(N61&gt;=-0.0000001,A61,O60)</f>
        <v>45848</v>
      </c>
      <c r="P61" s="29" t="n">
        <f aca="false">IF(AND(N61&gt;=-0.0000001,N60&lt;0),1,0)</f>
        <v>0</v>
      </c>
      <c r="Q61" s="30" t="str">
        <f aca="false">IF(P61=1,A61-O60,"")</f>
        <v/>
      </c>
    </row>
    <row r="62" customFormat="false" ht="15" hidden="false" customHeight="false" outlineLevel="0" collapsed="false">
      <c r="A62" s="25" t="n">
        <v>45982</v>
      </c>
      <c r="B62" s="26" t="s">
        <v>83</v>
      </c>
      <c r="C62" s="27" t="n">
        <v>-13892.14</v>
      </c>
      <c r="D62" s="28" t="n">
        <f aca="false">C62/$T$1*100</f>
        <v>-4.34129375</v>
      </c>
      <c r="E62" s="28" t="n">
        <f aca="false">E61+D62</f>
        <v>-9.940925</v>
      </c>
      <c r="F62" s="28" t="n">
        <f aca="false">MAX(0,MAX($E$2:E62))</f>
        <v>15.396834375</v>
      </c>
      <c r="G62" s="28" t="n">
        <f aca="false">E62-F62</f>
        <v>-25.337759375</v>
      </c>
      <c r="H62" s="25" t="n">
        <f aca="false">IF(G62&gt;=-0.0000001,A62,H61)</f>
        <v>45848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-13892.14</v>
      </c>
      <c r="L62" s="28" t="n">
        <f aca="false">L61+K62/$T$1*100</f>
        <v>4.43131562500001</v>
      </c>
      <c r="M62" s="28" t="n">
        <f aca="false">MAX(0,MAX($L$2:L62))</f>
        <v>19.70573125</v>
      </c>
      <c r="N62" s="28" t="n">
        <f aca="false">L62-M62</f>
        <v>-15.274415625</v>
      </c>
      <c r="O62" s="25" t="n">
        <f aca="false">IF(N62&gt;=-0.0000001,A62,O61)</f>
        <v>45848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45983</v>
      </c>
      <c r="B63" s="26" t="s">
        <v>117</v>
      </c>
      <c r="C63" s="27" t="n">
        <v>20869.7</v>
      </c>
      <c r="D63" s="28" t="n">
        <f aca="false">C63/$T$1*100</f>
        <v>6.52178125</v>
      </c>
      <c r="E63" s="28" t="n">
        <f aca="false">E62+D63</f>
        <v>-3.41914375</v>
      </c>
      <c r="F63" s="28" t="n">
        <f aca="false">MAX(0,MAX($E$2:E63))</f>
        <v>15.396834375</v>
      </c>
      <c r="G63" s="28" t="n">
        <f aca="false">E63-F63</f>
        <v>-18.815978125</v>
      </c>
      <c r="H63" s="25" t="n">
        <f aca="false">IF(G63&gt;=-0.0000001,A63,H62)</f>
        <v>45848</v>
      </c>
      <c r="I63" s="29" t="n">
        <f aca="false">IF(AND(G63&gt;=-0.0000001,G62&lt;0),1,0)</f>
        <v>0</v>
      </c>
      <c r="J63" s="30" t="str">
        <f aca="false">IF(I63=1,A63-H62,"")</f>
        <v/>
      </c>
      <c r="K63" s="27" t="n">
        <f aca="false">IF(B63="Wednesday",0,C63)</f>
        <v>20869.7</v>
      </c>
      <c r="L63" s="28" t="n">
        <f aca="false">L62+K63/$T$1*100</f>
        <v>10.953096875</v>
      </c>
      <c r="M63" s="28" t="n">
        <f aca="false">MAX(0,MAX($L$2:L63))</f>
        <v>19.70573125</v>
      </c>
      <c r="N63" s="28" t="n">
        <f aca="false">L63-M63</f>
        <v>-8.75263437499999</v>
      </c>
      <c r="O63" s="25" t="n">
        <f aca="false">IF(N63&gt;=-0.0000001,A63,O62)</f>
        <v>45848</v>
      </c>
      <c r="P63" s="29" t="n">
        <f aca="false">IF(AND(N63&gt;=-0.0000001,N62&lt;0),1,0)</f>
        <v>0</v>
      </c>
      <c r="Q63" s="30" t="str">
        <f aca="false">IF(P63=1,A63-O62,"")</f>
        <v/>
      </c>
    </row>
    <row r="64" customFormat="false" ht="15" hidden="false" customHeight="false" outlineLevel="0" collapsed="false">
      <c r="A64" s="25" t="n">
        <v>45988</v>
      </c>
      <c r="B64" s="26" t="s">
        <v>82</v>
      </c>
      <c r="C64" s="27" t="n">
        <v>16761.2</v>
      </c>
      <c r="D64" s="28" t="n">
        <f aca="false">C64/$T$1*100</f>
        <v>5.237875</v>
      </c>
      <c r="E64" s="28" t="n">
        <f aca="false">E63+D64</f>
        <v>1.81873125</v>
      </c>
      <c r="F64" s="28" t="n">
        <f aca="false">MAX(0,MAX($E$2:E64))</f>
        <v>15.396834375</v>
      </c>
      <c r="G64" s="28" t="n">
        <f aca="false">E64-F64</f>
        <v>-13.578103125</v>
      </c>
      <c r="H64" s="25" t="n">
        <f aca="false">IF(G64&gt;=-0.0000001,A64,H63)</f>
        <v>45848</v>
      </c>
      <c r="I64" s="29" t="n">
        <f aca="false">IF(AND(G64&gt;=-0.0000001,G63&lt;0),1,0)</f>
        <v>0</v>
      </c>
      <c r="J64" s="30" t="str">
        <f aca="false">IF(I64=1,A64-H63,"")</f>
        <v/>
      </c>
      <c r="K64" s="27" t="n">
        <f aca="false">IF(B64="Wednesday",0,C64)</f>
        <v>16761.2</v>
      </c>
      <c r="L64" s="28" t="n">
        <f aca="false">L63+K64/$T$1*100</f>
        <v>16.190971875</v>
      </c>
      <c r="M64" s="28" t="n">
        <f aca="false">MAX(0,MAX($L$2:L64))</f>
        <v>19.70573125</v>
      </c>
      <c r="N64" s="28" t="n">
        <f aca="false">L64-M64</f>
        <v>-3.51475937499999</v>
      </c>
      <c r="O64" s="25" t="n">
        <f aca="false">IF(N64&gt;=-0.0000001,A64,O63)</f>
        <v>45848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45992</v>
      </c>
      <c r="B65" s="26" t="s">
        <v>79</v>
      </c>
      <c r="C65" s="27" t="n">
        <v>-2971.04</v>
      </c>
      <c r="D65" s="28" t="n">
        <f aca="false">C65/$T$1*100</f>
        <v>-0.92845</v>
      </c>
      <c r="E65" s="28" t="n">
        <f aca="false">E64+D65</f>
        <v>0.890281250000004</v>
      </c>
      <c r="F65" s="28" t="n">
        <f aca="false">MAX(0,MAX($E$2:E65))</f>
        <v>15.396834375</v>
      </c>
      <c r="G65" s="28" t="n">
        <f aca="false">E65-F65</f>
        <v>-14.506553125</v>
      </c>
      <c r="H65" s="25" t="n">
        <f aca="false">IF(G65&gt;=-0.0000001,A65,H64)</f>
        <v>45848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-2971.04</v>
      </c>
      <c r="L65" s="28" t="n">
        <f aca="false">L64+K65/$T$1*100</f>
        <v>15.262521875</v>
      </c>
      <c r="M65" s="28" t="n">
        <f aca="false">MAX(0,MAX($L$2:L65))</f>
        <v>19.70573125</v>
      </c>
      <c r="N65" s="28" t="n">
        <f aca="false">L65-M65</f>
        <v>-4.44320937499999</v>
      </c>
      <c r="O65" s="25" t="n">
        <f aca="false">IF(N65&gt;=-0.0000001,A65,O64)</f>
        <v>45848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45995</v>
      </c>
      <c r="B66" s="26" t="s">
        <v>82</v>
      </c>
      <c r="C66" s="27" t="n">
        <v>-748.95</v>
      </c>
      <c r="D66" s="28" t="n">
        <f aca="false">C66/$T$1*100</f>
        <v>-0.234046875</v>
      </c>
      <c r="E66" s="28" t="n">
        <f aca="false">E65+D66</f>
        <v>0.656234375000004</v>
      </c>
      <c r="F66" s="28" t="n">
        <f aca="false">MAX(0,MAX($E$2:E66))</f>
        <v>15.396834375</v>
      </c>
      <c r="G66" s="28" t="n">
        <f aca="false">E66-F66</f>
        <v>-14.7406</v>
      </c>
      <c r="H66" s="25" t="n">
        <f aca="false">IF(G66&gt;=-0.0000001,A66,H65)</f>
        <v>45848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-748.95</v>
      </c>
      <c r="L66" s="28" t="n">
        <f aca="false">L65+K66/$T$1*100</f>
        <v>15.028475</v>
      </c>
      <c r="M66" s="28" t="n">
        <f aca="false">MAX(0,MAX($L$2:L66))</f>
        <v>19.70573125</v>
      </c>
      <c r="N66" s="28" t="n">
        <f aca="false">L66-M66</f>
        <v>-4.67725624999999</v>
      </c>
      <c r="O66" s="25" t="n">
        <f aca="false">IF(N66&gt;=-0.0000001,A66,O65)</f>
        <v>45848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45999</v>
      </c>
      <c r="B67" s="26" t="s">
        <v>79</v>
      </c>
      <c r="C67" s="27" t="n">
        <v>-14713.25</v>
      </c>
      <c r="D67" s="28" t="n">
        <f aca="false">C67/$T$1*100</f>
        <v>-4.597890625</v>
      </c>
      <c r="E67" s="28" t="n">
        <f aca="false">E66+D67</f>
        <v>-3.94165625</v>
      </c>
      <c r="F67" s="28" t="n">
        <f aca="false">MAX(0,MAX($E$2:E67))</f>
        <v>15.396834375</v>
      </c>
      <c r="G67" s="28" t="n">
        <f aca="false">E67-F67</f>
        <v>-19.338490625</v>
      </c>
      <c r="H67" s="25" t="n">
        <f aca="false">IF(G67&gt;=-0.0000001,A67,H66)</f>
        <v>45848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-14713.25</v>
      </c>
      <c r="L67" s="28" t="n">
        <f aca="false">L66+K67/$T$1*100</f>
        <v>10.430584375</v>
      </c>
      <c r="M67" s="28" t="n">
        <f aca="false">MAX(0,MAX($L$2:L67))</f>
        <v>19.70573125</v>
      </c>
      <c r="N67" s="28" t="n">
        <f aca="false">L67-M67</f>
        <v>-9.27514687499999</v>
      </c>
      <c r="O67" s="25" t="n">
        <f aca="false">IF(N67&gt;=-0.0000001,A67,O66)</f>
        <v>45848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46000</v>
      </c>
      <c r="B68" s="26" t="s">
        <v>80</v>
      </c>
      <c r="C68" s="27" t="n">
        <v>26333.68</v>
      </c>
      <c r="D68" s="28" t="n">
        <f aca="false">C68/$T$1*100</f>
        <v>8.229275</v>
      </c>
      <c r="E68" s="28" t="n">
        <f aca="false">E67+D68</f>
        <v>4.28761875</v>
      </c>
      <c r="F68" s="28" t="n">
        <f aca="false">MAX(0,MAX($E$2:E68))</f>
        <v>15.396834375</v>
      </c>
      <c r="G68" s="28" t="n">
        <f aca="false">E68-F68</f>
        <v>-11.109215625</v>
      </c>
      <c r="H68" s="25" t="n">
        <f aca="false">IF(G68&gt;=-0.0000001,A68,H67)</f>
        <v>45848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26333.68</v>
      </c>
      <c r="L68" s="28" t="n">
        <f aca="false">L67+K68/$T$1*100</f>
        <v>18.659859375</v>
      </c>
      <c r="M68" s="28" t="n">
        <f aca="false">MAX(0,MAX($L$2:L68))</f>
        <v>19.70573125</v>
      </c>
      <c r="N68" s="28" t="n">
        <f aca="false">L68-M68</f>
        <v>-1.045871875</v>
      </c>
      <c r="O68" s="25" t="n">
        <f aca="false">IF(N68&gt;=-0.0000001,A68,O67)</f>
        <v>45848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46001</v>
      </c>
      <c r="B69" s="26" t="s">
        <v>81</v>
      </c>
      <c r="C69" s="27" t="n">
        <v>-13777.02</v>
      </c>
      <c r="D69" s="28" t="n">
        <f aca="false">C69/$T$1*100</f>
        <v>-4.30531875</v>
      </c>
      <c r="E69" s="28" t="n">
        <f aca="false">E68+D69</f>
        <v>-0.0176999999999961</v>
      </c>
      <c r="F69" s="28" t="n">
        <f aca="false">MAX(0,MAX($E$2:E69))</f>
        <v>15.396834375</v>
      </c>
      <c r="G69" s="28" t="n">
        <f aca="false">E69-F69</f>
        <v>-15.414534375</v>
      </c>
      <c r="H69" s="25" t="n">
        <f aca="false">IF(G69&gt;=-0.0000001,A69,H68)</f>
        <v>45848</v>
      </c>
      <c r="I69" s="29" t="n">
        <f aca="false">IF(AND(G69&gt;=-0.0000001,G68&lt;0),1,0)</f>
        <v>0</v>
      </c>
      <c r="J69" s="30" t="str">
        <f aca="false">IF(I69=1,A69-H68,"")</f>
        <v/>
      </c>
      <c r="K69" s="27" t="n">
        <f aca="false">IF(B69="Wednesday",0,C69)</f>
        <v>0</v>
      </c>
      <c r="L69" s="28" t="n">
        <f aca="false">L68+K69/$T$1*100</f>
        <v>18.659859375</v>
      </c>
      <c r="M69" s="28" t="n">
        <f aca="false">MAX(0,MAX($L$2:L69))</f>
        <v>19.70573125</v>
      </c>
      <c r="N69" s="28" t="n">
        <f aca="false">L69-M69</f>
        <v>-1.045871875</v>
      </c>
      <c r="O69" s="25" t="n">
        <f aca="false">IF(N69&gt;=-0.0000001,A69,O68)</f>
        <v>45848</v>
      </c>
      <c r="P69" s="29" t="n">
        <f aca="false">IF(AND(N69&gt;=-0.0000001,N68&lt;0),1,0)</f>
        <v>0</v>
      </c>
      <c r="Q69" s="30" t="str">
        <f aca="false">IF(P69=1,A69-O68,"")</f>
        <v/>
      </c>
    </row>
    <row r="70" customFormat="false" ht="15" hidden="false" customHeight="false" outlineLevel="0" collapsed="false">
      <c r="A70" s="25" t="n">
        <v>46003</v>
      </c>
      <c r="B70" s="26" t="s">
        <v>83</v>
      </c>
      <c r="C70" s="27" t="n">
        <v>-18034.37</v>
      </c>
      <c r="D70" s="28" t="n">
        <f aca="false">C70/$T$1*100</f>
        <v>-5.635740625</v>
      </c>
      <c r="E70" s="28" t="n">
        <f aca="false">E69+D70</f>
        <v>-5.653440625</v>
      </c>
      <c r="F70" s="28" t="n">
        <f aca="false">MAX(0,MAX($E$2:E70))</f>
        <v>15.396834375</v>
      </c>
      <c r="G70" s="28" t="n">
        <f aca="false">E70-F70</f>
        <v>-21.050275</v>
      </c>
      <c r="H70" s="25" t="n">
        <f aca="false">IF(G70&gt;=-0.0000001,A70,H69)</f>
        <v>45848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-18034.37</v>
      </c>
      <c r="L70" s="28" t="n">
        <f aca="false">L69+K70/$T$1*100</f>
        <v>13.02411875</v>
      </c>
      <c r="M70" s="28" t="n">
        <f aca="false">MAX(0,MAX($L$2:L70))</f>
        <v>19.70573125</v>
      </c>
      <c r="N70" s="28" t="n">
        <f aca="false">L70-M70</f>
        <v>-6.6816125</v>
      </c>
      <c r="O70" s="25" t="n">
        <f aca="false">IF(N70&gt;=-0.0000001,A70,O69)</f>
        <v>45848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46007</v>
      </c>
      <c r="B71" s="26" t="s">
        <v>80</v>
      </c>
      <c r="C71" s="27" t="n">
        <v>19925.28</v>
      </c>
      <c r="D71" s="28" t="n">
        <f aca="false">C71/$T$1*100</f>
        <v>6.22665</v>
      </c>
      <c r="E71" s="28" t="n">
        <f aca="false">E70+D71</f>
        <v>0.573209375000004</v>
      </c>
      <c r="F71" s="28" t="n">
        <f aca="false">MAX(0,MAX($E$2:E71))</f>
        <v>15.396834375</v>
      </c>
      <c r="G71" s="28" t="n">
        <f aca="false">E71-F71</f>
        <v>-14.823625</v>
      </c>
      <c r="H71" s="25" t="n">
        <f aca="false">IF(G71&gt;=-0.0000001,A71,H70)</f>
        <v>45848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19925.28</v>
      </c>
      <c r="L71" s="28" t="n">
        <f aca="false">L70+K71/$T$1*100</f>
        <v>19.25076875</v>
      </c>
      <c r="M71" s="28" t="n">
        <f aca="false">MAX(0,MAX($L$2:L71))</f>
        <v>19.70573125</v>
      </c>
      <c r="N71" s="28" t="n">
        <f aca="false">L71-M71</f>
        <v>-0.454962499999997</v>
      </c>
      <c r="O71" s="25" t="n">
        <f aca="false">IF(N71&gt;=-0.0000001,A71,O70)</f>
        <v>45848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46010</v>
      </c>
      <c r="B72" s="26" t="s">
        <v>83</v>
      </c>
      <c r="C72" s="27" t="n">
        <v>11568.88</v>
      </c>
      <c r="D72" s="28" t="n">
        <f aca="false">C72/$T$1*100</f>
        <v>3.615275</v>
      </c>
      <c r="E72" s="28" t="n">
        <f aca="false">E71+D72</f>
        <v>4.188484375</v>
      </c>
      <c r="F72" s="28" t="n">
        <f aca="false">MAX(0,MAX($E$2:E72))</f>
        <v>15.396834375</v>
      </c>
      <c r="G72" s="28" t="n">
        <f aca="false">E72-F72</f>
        <v>-11.20835</v>
      </c>
      <c r="H72" s="25" t="n">
        <f aca="false">IF(G72&gt;=-0.0000001,A72,H71)</f>
        <v>45848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11568.88</v>
      </c>
      <c r="L72" s="28" t="n">
        <f aca="false">L71+K72/$T$1*100</f>
        <v>22.86604375</v>
      </c>
      <c r="M72" s="28" t="n">
        <f aca="false">MAX(0,MAX($L$2:L72))</f>
        <v>22.86604375</v>
      </c>
      <c r="N72" s="28" t="n">
        <f aca="false">L72-M72</f>
        <v>0</v>
      </c>
      <c r="O72" s="25" t="n">
        <f aca="false">IF(N72&gt;=-0.0000001,A72,O71)</f>
        <v>46010</v>
      </c>
      <c r="P72" s="29" t="n">
        <f aca="false">IF(AND(N72&gt;=-0.0000001,N71&lt;0),1,0)</f>
        <v>1</v>
      </c>
      <c r="Q72" s="30" t="n">
        <f aca="false">IF(P72=1,A72-O71,"")</f>
        <v>162</v>
      </c>
    </row>
    <row r="73" customFormat="false" ht="15" hidden="false" customHeight="false" outlineLevel="0" collapsed="false">
      <c r="A73" s="25" t="n">
        <v>46014</v>
      </c>
      <c r="B73" s="26" t="s">
        <v>80</v>
      </c>
      <c r="C73" s="27" t="n">
        <v>20757.91</v>
      </c>
      <c r="D73" s="28" t="n">
        <f aca="false">C73/$T$1*100</f>
        <v>6.486846875</v>
      </c>
      <c r="E73" s="28" t="n">
        <f aca="false">E72+D73</f>
        <v>10.67533125</v>
      </c>
      <c r="F73" s="28" t="n">
        <f aca="false">MAX(0,MAX($E$2:E73))</f>
        <v>15.396834375</v>
      </c>
      <c r="G73" s="28" t="n">
        <f aca="false">E73-F73</f>
        <v>-4.721503125</v>
      </c>
      <c r="H73" s="25" t="n">
        <f aca="false">IF(G73&gt;=-0.0000001,A73,H72)</f>
        <v>45848</v>
      </c>
      <c r="I73" s="29" t="n">
        <f aca="false">IF(AND(G73&gt;=-0.0000001,G72&lt;0),1,0)</f>
        <v>0</v>
      </c>
      <c r="J73" s="30" t="str">
        <f aca="false">IF(I73=1,A73-H72,"")</f>
        <v/>
      </c>
      <c r="K73" s="27" t="n">
        <f aca="false">IF(B73="Wednesday",0,C73)</f>
        <v>20757.91</v>
      </c>
      <c r="L73" s="28" t="n">
        <f aca="false">L72+K73/$T$1*100</f>
        <v>29.352890625</v>
      </c>
      <c r="M73" s="28" t="n">
        <f aca="false">MAX(0,MAX($L$2:L73))</f>
        <v>29.352890625</v>
      </c>
      <c r="N73" s="28" t="n">
        <f aca="false">L73-M73</f>
        <v>0</v>
      </c>
      <c r="O73" s="25" t="n">
        <f aca="false">IF(N73&gt;=-0.0000001,A73,O72)</f>
        <v>46014</v>
      </c>
      <c r="P73" s="29" t="n">
        <f aca="false">IF(AND(N73&gt;=-0.0000001,N72&lt;0),1,0)</f>
        <v>0</v>
      </c>
      <c r="Q73" s="30" t="str">
        <f aca="false">IF(P73=1,A73-O72,"")</f>
        <v/>
      </c>
    </row>
    <row r="74" customFormat="false" ht="15" hidden="false" customHeight="false" outlineLevel="0" collapsed="false">
      <c r="A74" s="25" t="n">
        <v>46017</v>
      </c>
      <c r="B74" s="26" t="s">
        <v>83</v>
      </c>
      <c r="C74" s="27" t="n">
        <v>13997.25</v>
      </c>
      <c r="D74" s="28" t="n">
        <f aca="false">C74/$T$1*100</f>
        <v>4.374140625</v>
      </c>
      <c r="E74" s="28" t="n">
        <f aca="false">E73+D74</f>
        <v>15.049471875</v>
      </c>
      <c r="F74" s="28" t="n">
        <f aca="false">MAX(0,MAX($E$2:E74))</f>
        <v>15.396834375</v>
      </c>
      <c r="G74" s="28" t="n">
        <f aca="false">E74-F74</f>
        <v>-0.347362499999997</v>
      </c>
      <c r="H74" s="25" t="n">
        <f aca="false">IF(G74&gt;=-0.0000001,A74,H73)</f>
        <v>45848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13997.25</v>
      </c>
      <c r="L74" s="28" t="n">
        <f aca="false">L73+K74/$T$1*100</f>
        <v>33.72703125</v>
      </c>
      <c r="M74" s="28" t="n">
        <f aca="false">MAX(0,MAX($L$2:L74))</f>
        <v>33.72703125</v>
      </c>
      <c r="N74" s="28" t="n">
        <f aca="false">L74-M74</f>
        <v>0</v>
      </c>
      <c r="O74" s="25" t="n">
        <f aca="false">IF(N74&gt;=-0.0000001,A74,O73)</f>
        <v>46017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46021</v>
      </c>
      <c r="B75" s="26" t="s">
        <v>80</v>
      </c>
      <c r="C75" s="27" t="n">
        <v>-6504.25</v>
      </c>
      <c r="D75" s="28" t="n">
        <f aca="false">C75/$T$1*100</f>
        <v>-2.032578125</v>
      </c>
      <c r="E75" s="28" t="n">
        <f aca="false">E74+D75</f>
        <v>13.01689375</v>
      </c>
      <c r="F75" s="28" t="n">
        <f aca="false">MAX(0,MAX($E$2:E75))</f>
        <v>15.396834375</v>
      </c>
      <c r="G75" s="28" t="n">
        <f aca="false">E75-F75</f>
        <v>-2.379940625</v>
      </c>
      <c r="H75" s="25" t="n">
        <f aca="false">IF(G75&gt;=-0.0000001,A75,H74)</f>
        <v>45848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-6504.25</v>
      </c>
      <c r="L75" s="28" t="n">
        <f aca="false">L74+K75/$T$1*100</f>
        <v>31.694453125</v>
      </c>
      <c r="M75" s="28" t="n">
        <f aca="false">MAX(0,MAX($L$2:L75))</f>
        <v>33.72703125</v>
      </c>
      <c r="N75" s="28" t="n">
        <f aca="false">L75-M75</f>
        <v>-2.032578125</v>
      </c>
      <c r="O75" s="25" t="n">
        <f aca="false">IF(N75&gt;=-0.0000001,A75,O74)</f>
        <v>46017</v>
      </c>
      <c r="P75" s="29" t="n">
        <f aca="false">IF(AND(N75&gt;=-0.0000001,N74&lt;0),1,0)</f>
        <v>0</v>
      </c>
      <c r="Q75" s="30" t="str">
        <f aca="false">IF(P75=1,A75-O74,"")</f>
        <v/>
      </c>
    </row>
    <row r="76" customFormat="false" ht="15" hidden="false" customHeight="false" outlineLevel="0" collapsed="false">
      <c r="A76" s="25" t="n">
        <v>46022</v>
      </c>
      <c r="B76" s="26" t="s">
        <v>81</v>
      </c>
      <c r="C76" s="27" t="n">
        <v>6904.32</v>
      </c>
      <c r="D76" s="28" t="n">
        <f aca="false">C76/$T$1*100</f>
        <v>2.1576</v>
      </c>
      <c r="E76" s="28" t="n">
        <f aca="false">E75+D76</f>
        <v>15.17449375</v>
      </c>
      <c r="F76" s="28" t="n">
        <f aca="false">MAX(0,MAX($E$2:E76))</f>
        <v>15.396834375</v>
      </c>
      <c r="G76" s="28" t="n">
        <f aca="false">E76-F76</f>
        <v>-0.222340624999998</v>
      </c>
      <c r="H76" s="25" t="n">
        <f aca="false">IF(G76&gt;=-0.0000001,A76,H75)</f>
        <v>45848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0</v>
      </c>
      <c r="L76" s="28" t="n">
        <f aca="false">L75+K76/$T$1*100</f>
        <v>31.694453125</v>
      </c>
      <c r="M76" s="28" t="n">
        <f aca="false">MAX(0,MAX($L$2:L76))</f>
        <v>33.72703125</v>
      </c>
      <c r="N76" s="28" t="n">
        <f aca="false">L76-M76</f>
        <v>-2.032578125</v>
      </c>
      <c r="O76" s="25" t="n">
        <f aca="false">IF(N76&gt;=-0.0000001,A76,O75)</f>
        <v>46017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46027</v>
      </c>
      <c r="B77" s="26" t="s">
        <v>79</v>
      </c>
      <c r="C77" s="27" t="n">
        <v>-15860</v>
      </c>
      <c r="D77" s="28" t="n">
        <f aca="false">C77/$T$1*100</f>
        <v>-4.95625</v>
      </c>
      <c r="E77" s="28" t="n">
        <f aca="false">E76+D77</f>
        <v>10.21824375</v>
      </c>
      <c r="F77" s="28" t="n">
        <f aca="false">MAX(0,MAX($E$2:E77))</f>
        <v>15.396834375</v>
      </c>
      <c r="G77" s="28" t="n">
        <f aca="false">E77-F77</f>
        <v>-5.178590625</v>
      </c>
      <c r="H77" s="25" t="n">
        <f aca="false">IF(G77&gt;=-0.0000001,A77,H76)</f>
        <v>45848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-15860</v>
      </c>
      <c r="L77" s="28" t="n">
        <f aca="false">L76+K77/$T$1*100</f>
        <v>26.738203125</v>
      </c>
      <c r="M77" s="28" t="n">
        <f aca="false">MAX(0,MAX($L$2:L77))</f>
        <v>33.72703125</v>
      </c>
      <c r="N77" s="28" t="n">
        <f aca="false">L77-M77</f>
        <v>-6.988828125</v>
      </c>
      <c r="O77" s="25" t="n">
        <f aca="false">IF(N77&gt;=-0.0000001,A77,O76)</f>
        <v>46017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46030</v>
      </c>
      <c r="B78" s="26" t="s">
        <v>82</v>
      </c>
      <c r="C78" s="27" t="n">
        <v>17160</v>
      </c>
      <c r="D78" s="28" t="n">
        <f aca="false">C78/$T$1*100</f>
        <v>5.3625</v>
      </c>
      <c r="E78" s="28" t="n">
        <f aca="false">E77+D78</f>
        <v>15.58074375</v>
      </c>
      <c r="F78" s="28" t="n">
        <f aca="false">MAX(0,MAX($E$2:E78))</f>
        <v>15.58074375</v>
      </c>
      <c r="G78" s="28" t="n">
        <f aca="false">E78-F78</f>
        <v>0</v>
      </c>
      <c r="H78" s="25" t="n">
        <f aca="false">IF(G78&gt;=-0.0000001,A78,H77)</f>
        <v>46030</v>
      </c>
      <c r="I78" s="29" t="n">
        <f aca="false">IF(AND(G78&gt;=-0.0000001,G77&lt;0),1,0)</f>
        <v>1</v>
      </c>
      <c r="J78" s="30" t="n">
        <f aca="false">IF(I78=1,A78-H77,"")</f>
        <v>182</v>
      </c>
      <c r="K78" s="27" t="n">
        <f aca="false">IF(B78="Wednesday",0,C78)</f>
        <v>17160</v>
      </c>
      <c r="L78" s="28" t="n">
        <f aca="false">L77+K78/$T$1*100</f>
        <v>32.100703125</v>
      </c>
      <c r="M78" s="28" t="n">
        <f aca="false">MAX(0,MAX($L$2:L78))</f>
        <v>33.72703125</v>
      </c>
      <c r="N78" s="28" t="n">
        <f aca="false">L78-M78</f>
        <v>-1.626328125</v>
      </c>
      <c r="O78" s="25" t="n">
        <f aca="false">IF(N78&gt;=-0.0000001,A78,O77)</f>
        <v>46017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46031</v>
      </c>
      <c r="B79" s="26" t="s">
        <v>83</v>
      </c>
      <c r="C79" s="27" t="n">
        <v>16900</v>
      </c>
      <c r="D79" s="28" t="n">
        <f aca="false">C79/$T$1*100</f>
        <v>5.28125</v>
      </c>
      <c r="E79" s="28" t="n">
        <f aca="false">E78+D79</f>
        <v>20.86199375</v>
      </c>
      <c r="F79" s="28" t="n">
        <f aca="false">MAX(0,MAX($E$2:E79))</f>
        <v>20.86199375</v>
      </c>
      <c r="G79" s="28" t="n">
        <f aca="false">E79-F79</f>
        <v>0</v>
      </c>
      <c r="H79" s="25" t="n">
        <f aca="false">IF(G79&gt;=-0.0000001,A79,H78)</f>
        <v>46031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16900</v>
      </c>
      <c r="L79" s="28" t="n">
        <f aca="false">L78+K79/$T$1*100</f>
        <v>37.381953125</v>
      </c>
      <c r="M79" s="28" t="n">
        <f aca="false">MAX(0,MAX($L$2:L79))</f>
        <v>37.381953125</v>
      </c>
      <c r="N79" s="28" t="n">
        <f aca="false">L79-M79</f>
        <v>0</v>
      </c>
      <c r="O79" s="25" t="n">
        <f aca="false">IF(N79&gt;=-0.0000001,A79,O78)</f>
        <v>46031</v>
      </c>
      <c r="P79" s="29" t="n">
        <f aca="false">IF(AND(N79&gt;=-0.0000001,N78&lt;0),1,0)</f>
        <v>1</v>
      </c>
      <c r="Q79" s="30" t="n">
        <f aca="false">IF(P79=1,A79-O78,"")</f>
        <v>14</v>
      </c>
    </row>
    <row r="80" customFormat="false" ht="15" hidden="false" customHeight="false" outlineLevel="0" collapsed="false">
      <c r="A80" s="25" t="n">
        <v>46034</v>
      </c>
      <c r="B80" s="26" t="s">
        <v>79</v>
      </c>
      <c r="C80" s="27" t="n">
        <v>-7202</v>
      </c>
      <c r="D80" s="28" t="n">
        <f aca="false">C80/$T$1*100</f>
        <v>-2.250625</v>
      </c>
      <c r="E80" s="28" t="n">
        <f aca="false">E79+D80</f>
        <v>18.61136875</v>
      </c>
      <c r="F80" s="28" t="n">
        <f aca="false">MAX(0,MAX($E$2:E80))</f>
        <v>20.86199375</v>
      </c>
      <c r="G80" s="28" t="n">
        <f aca="false">E80-F80</f>
        <v>-2.250625</v>
      </c>
      <c r="H80" s="25" t="n">
        <f aca="false">IF(G80&gt;=-0.0000001,A80,H79)</f>
        <v>46031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-7202</v>
      </c>
      <c r="L80" s="28" t="n">
        <f aca="false">L79+K80/$T$1*100</f>
        <v>35.131328125</v>
      </c>
      <c r="M80" s="28" t="n">
        <f aca="false">MAX(0,MAX($L$2:L80))</f>
        <v>37.381953125</v>
      </c>
      <c r="N80" s="28" t="n">
        <f aca="false">L80-M80</f>
        <v>-2.250625</v>
      </c>
      <c r="O80" s="25" t="n">
        <f aca="false">IF(N80&gt;=-0.0000001,A80,O79)</f>
        <v>46031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46035</v>
      </c>
      <c r="B81" s="26" t="s">
        <v>80</v>
      </c>
      <c r="C81" s="27" t="n">
        <v>2223</v>
      </c>
      <c r="D81" s="28" t="n">
        <f aca="false">C81/$T$1*100</f>
        <v>0.6946875</v>
      </c>
      <c r="E81" s="28" t="n">
        <f aca="false">E80+D81</f>
        <v>19.30605625</v>
      </c>
      <c r="F81" s="28" t="n">
        <f aca="false">MAX(0,MAX($E$2:E81))</f>
        <v>20.86199375</v>
      </c>
      <c r="G81" s="28" t="n">
        <f aca="false">E81-F81</f>
        <v>-1.5559375</v>
      </c>
      <c r="H81" s="25" t="n">
        <f aca="false">IF(G81&gt;=-0.0000001,A81,H80)</f>
        <v>46031</v>
      </c>
      <c r="I81" s="29" t="n">
        <f aca="false">IF(AND(G81&gt;=-0.0000001,G80&lt;0),1,0)</f>
        <v>0</v>
      </c>
      <c r="J81" s="30" t="str">
        <f aca="false">IF(I81=1,A81-H80,"")</f>
        <v/>
      </c>
      <c r="K81" s="27" t="n">
        <f aca="false">IF(B81="Wednesday",0,C81)</f>
        <v>2223</v>
      </c>
      <c r="L81" s="28" t="n">
        <f aca="false">L80+K81/$T$1*100</f>
        <v>35.826015625</v>
      </c>
      <c r="M81" s="28" t="n">
        <f aca="false">MAX(0,MAX($L$2:L81))</f>
        <v>37.381953125</v>
      </c>
      <c r="N81" s="28" t="n">
        <f aca="false">L81-M81</f>
        <v>-1.5559375</v>
      </c>
      <c r="O81" s="25" t="n">
        <f aca="false">IF(N81&gt;=-0.0000001,A81,O80)</f>
        <v>46031</v>
      </c>
      <c r="P81" s="29" t="n">
        <f aca="false">IF(AND(N81&gt;=-0.0000001,N80&lt;0),1,0)</f>
        <v>0</v>
      </c>
      <c r="Q81" s="30" t="str">
        <f aca="false">IF(P81=1,A81-O80,"")</f>
        <v/>
      </c>
    </row>
    <row r="82" customFormat="false" ht="15" hidden="false" customHeight="false" outlineLevel="0" collapsed="false">
      <c r="A82" s="25" t="n">
        <v>46038</v>
      </c>
      <c r="B82" s="26" t="s">
        <v>83</v>
      </c>
      <c r="C82" s="27" t="n">
        <v>-16623.75</v>
      </c>
      <c r="D82" s="28" t="n">
        <f aca="false">C82/$T$1*100</f>
        <v>-5.194921875</v>
      </c>
      <c r="E82" s="28" t="n">
        <f aca="false">E81+D82</f>
        <v>14.111134375</v>
      </c>
      <c r="F82" s="28" t="n">
        <f aca="false">MAX(0,MAX($E$2:E82))</f>
        <v>20.86199375</v>
      </c>
      <c r="G82" s="28" t="n">
        <f aca="false">E82-F82</f>
        <v>-6.750859375</v>
      </c>
      <c r="H82" s="25" t="n">
        <f aca="false">IF(G82&gt;=-0.0000001,A82,H81)</f>
        <v>46031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-16623.75</v>
      </c>
      <c r="L82" s="28" t="n">
        <f aca="false">L81+K82/$T$1*100</f>
        <v>30.63109375</v>
      </c>
      <c r="M82" s="28" t="n">
        <f aca="false">MAX(0,MAX($L$2:L82))</f>
        <v>37.381953125</v>
      </c>
      <c r="N82" s="28" t="n">
        <f aca="false">L82-M82</f>
        <v>-6.750859375</v>
      </c>
      <c r="O82" s="25" t="n">
        <f aca="false">IF(N82&gt;=-0.0000001,A82,O81)</f>
        <v>46031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46042</v>
      </c>
      <c r="B83" s="26" t="s">
        <v>80</v>
      </c>
      <c r="C83" s="27" t="n">
        <v>2593.5</v>
      </c>
      <c r="D83" s="28" t="n">
        <f aca="false">C83/$T$1*100</f>
        <v>0.81046875</v>
      </c>
      <c r="E83" s="28" t="n">
        <f aca="false">E82+D83</f>
        <v>14.921603125</v>
      </c>
      <c r="F83" s="28" t="n">
        <f aca="false">MAX(0,MAX($E$2:E83))</f>
        <v>20.86199375</v>
      </c>
      <c r="G83" s="28" t="n">
        <f aca="false">E83-F83</f>
        <v>-5.940390625</v>
      </c>
      <c r="H83" s="25" t="n">
        <f aca="false">IF(G83&gt;=-0.0000001,A83,H82)</f>
        <v>46031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2593.5</v>
      </c>
      <c r="L83" s="28" t="n">
        <f aca="false">L82+K83/$T$1*100</f>
        <v>31.4415625</v>
      </c>
      <c r="M83" s="28" t="n">
        <f aca="false">MAX(0,MAX($L$2:L83))</f>
        <v>37.381953125</v>
      </c>
      <c r="N83" s="28" t="n">
        <f aca="false">L83-M83</f>
        <v>-5.940390625</v>
      </c>
      <c r="O83" s="25" t="n">
        <f aca="false">IF(N83&gt;=-0.0000001,A83,O82)</f>
        <v>46031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46044</v>
      </c>
      <c r="B84" s="26" t="s">
        <v>82</v>
      </c>
      <c r="C84" s="27" t="n">
        <v>-16071.25</v>
      </c>
      <c r="D84" s="28" t="n">
        <f aca="false">C84/$T$1*100</f>
        <v>-5.022265625</v>
      </c>
      <c r="E84" s="28" t="n">
        <f aca="false">E83+D84</f>
        <v>9.89933750000001</v>
      </c>
      <c r="F84" s="28" t="n">
        <f aca="false">MAX(0,MAX($E$2:E84))</f>
        <v>20.86199375</v>
      </c>
      <c r="G84" s="28" t="n">
        <f aca="false">E84-F84</f>
        <v>-10.96265625</v>
      </c>
      <c r="H84" s="25" t="n">
        <f aca="false">IF(G84&gt;=-0.0000001,A84,H83)</f>
        <v>46031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-16071.25</v>
      </c>
      <c r="L84" s="28" t="n">
        <f aca="false">L83+K84/$T$1*100</f>
        <v>26.419296875</v>
      </c>
      <c r="M84" s="28" t="n">
        <f aca="false">MAX(0,MAX($L$2:L84))</f>
        <v>37.381953125</v>
      </c>
      <c r="N84" s="28" t="n">
        <f aca="false">L84-M84</f>
        <v>-10.96265625</v>
      </c>
      <c r="O84" s="25" t="n">
        <f aca="false">IF(N84&gt;=-0.0000001,A84,O83)</f>
        <v>46031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46045</v>
      </c>
      <c r="B85" s="26" t="s">
        <v>83</v>
      </c>
      <c r="C85" s="27" t="n">
        <v>20133.75</v>
      </c>
      <c r="D85" s="28" t="n">
        <f aca="false">C85/$T$1*100</f>
        <v>6.291796875</v>
      </c>
      <c r="E85" s="28" t="n">
        <f aca="false">E84+D85</f>
        <v>16.191134375</v>
      </c>
      <c r="F85" s="28" t="n">
        <f aca="false">MAX(0,MAX($E$2:E85))</f>
        <v>20.86199375</v>
      </c>
      <c r="G85" s="28" t="n">
        <f aca="false">E85-F85</f>
        <v>-4.670859375</v>
      </c>
      <c r="H85" s="25" t="n">
        <f aca="false">IF(G85&gt;=-0.0000001,A85,H84)</f>
        <v>46031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20133.75</v>
      </c>
      <c r="L85" s="28" t="n">
        <f aca="false">L84+K85/$T$1*100</f>
        <v>32.71109375</v>
      </c>
      <c r="M85" s="28" t="n">
        <f aca="false">MAX(0,MAX($L$2:L85))</f>
        <v>37.381953125</v>
      </c>
      <c r="N85" s="28" t="n">
        <f aca="false">L85-M85</f>
        <v>-4.670859375</v>
      </c>
      <c r="O85" s="25" t="n">
        <f aca="false">IF(N85&gt;=-0.0000001,A85,O84)</f>
        <v>46031</v>
      </c>
      <c r="P85" s="29" t="n">
        <f aca="false">IF(AND(N85&gt;=-0.0000001,N84&lt;0),1,0)</f>
        <v>0</v>
      </c>
      <c r="Q85" s="30" t="str">
        <f aca="false">IF(P85=1,A85-O84,"")</f>
        <v/>
      </c>
    </row>
    <row r="86" customFormat="false" ht="15" hidden="false" customHeight="false" outlineLevel="0" collapsed="false">
      <c r="A86" s="25" t="n">
        <v>46049</v>
      </c>
      <c r="B86" s="26" t="s">
        <v>80</v>
      </c>
      <c r="C86" s="27" t="n">
        <v>-16103.75</v>
      </c>
      <c r="D86" s="28" t="n">
        <f aca="false">C86/$T$1*100</f>
        <v>-5.032421875</v>
      </c>
      <c r="E86" s="28" t="n">
        <f aca="false">E85+D86</f>
        <v>11.1587125</v>
      </c>
      <c r="F86" s="28" t="n">
        <f aca="false">MAX(0,MAX($E$2:E86))</f>
        <v>20.86199375</v>
      </c>
      <c r="G86" s="28" t="n">
        <f aca="false">E86-F86</f>
        <v>-9.70328125</v>
      </c>
      <c r="H86" s="25" t="n">
        <f aca="false">IF(G86&gt;=-0.0000001,A86,H85)</f>
        <v>46031</v>
      </c>
      <c r="I86" s="29" t="n">
        <f aca="false">IF(AND(G86&gt;=-0.0000001,G85&lt;0),1,0)</f>
        <v>0</v>
      </c>
      <c r="J86" s="30" t="str">
        <f aca="false">IF(I86=1,A86-H85,"")</f>
        <v/>
      </c>
      <c r="K86" s="27" t="n">
        <f aca="false">IF(B86="Wednesday",0,C86)</f>
        <v>-16103.75</v>
      </c>
      <c r="L86" s="28" t="n">
        <f aca="false">L85+K86/$T$1*100</f>
        <v>27.678671875</v>
      </c>
      <c r="M86" s="28" t="n">
        <f aca="false">MAX(0,MAX($L$2:L86))</f>
        <v>37.381953125</v>
      </c>
      <c r="N86" s="28" t="n">
        <f aca="false">L86-M86</f>
        <v>-9.70328125</v>
      </c>
      <c r="O86" s="25" t="n">
        <f aca="false">IF(N86&gt;=-0.0000001,A86,O85)</f>
        <v>46031</v>
      </c>
      <c r="P86" s="29" t="n">
        <f aca="false">IF(AND(N86&gt;=-0.0000001,N85&lt;0),1,0)</f>
        <v>0</v>
      </c>
      <c r="Q86" s="30" t="str">
        <f aca="false">IF(P86=1,A86-O85,"")</f>
        <v/>
      </c>
    </row>
    <row r="87" customFormat="false" ht="15" hidden="false" customHeight="false" outlineLevel="0" collapsed="false">
      <c r="A87" s="25" t="n">
        <v>46051</v>
      </c>
      <c r="B87" s="26" t="s">
        <v>82</v>
      </c>
      <c r="C87" s="27" t="n">
        <v>-13988</v>
      </c>
      <c r="D87" s="28" t="n">
        <f aca="false">C87/$T$1*100</f>
        <v>-4.37125</v>
      </c>
      <c r="E87" s="28" t="n">
        <f aca="false">E86+D87</f>
        <v>6.7874625</v>
      </c>
      <c r="F87" s="28" t="n">
        <f aca="false">MAX(0,MAX($E$2:E87))</f>
        <v>20.86199375</v>
      </c>
      <c r="G87" s="28" t="n">
        <f aca="false">E87-F87</f>
        <v>-14.07453125</v>
      </c>
      <c r="H87" s="25" t="n">
        <f aca="false">IF(G87&gt;=-0.0000001,A87,H86)</f>
        <v>46031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-13988</v>
      </c>
      <c r="L87" s="28" t="n">
        <f aca="false">L86+K87/$T$1*100</f>
        <v>23.307421875</v>
      </c>
      <c r="M87" s="28" t="n">
        <f aca="false">MAX(0,MAX($L$2:L87))</f>
        <v>37.381953125</v>
      </c>
      <c r="N87" s="28" t="n">
        <f aca="false">L87-M87</f>
        <v>-14.07453125</v>
      </c>
      <c r="O87" s="25" t="n">
        <f aca="false">IF(N87&gt;=-0.0000001,A87,O86)</f>
        <v>46031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46052</v>
      </c>
      <c r="B88" s="26" t="s">
        <v>83</v>
      </c>
      <c r="C88" s="27" t="n">
        <v>-8190</v>
      </c>
      <c r="D88" s="28" t="n">
        <f aca="false">C88/$T$1*100</f>
        <v>-2.559375</v>
      </c>
      <c r="E88" s="28" t="n">
        <f aca="false">E87+D88</f>
        <v>4.2280875</v>
      </c>
      <c r="F88" s="28" t="n">
        <f aca="false">MAX(0,MAX($E$2:E88))</f>
        <v>20.86199375</v>
      </c>
      <c r="G88" s="28" t="n">
        <f aca="false">E88-F88</f>
        <v>-16.63390625</v>
      </c>
      <c r="H88" s="25" t="n">
        <f aca="false">IF(G88&gt;=-0.0000001,A88,H87)</f>
        <v>46031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-8190</v>
      </c>
      <c r="L88" s="28" t="n">
        <f aca="false">L87+K88/$T$1*100</f>
        <v>20.748046875</v>
      </c>
      <c r="M88" s="28" t="n">
        <f aca="false">MAX(0,MAX($L$2:L88))</f>
        <v>37.381953125</v>
      </c>
      <c r="N88" s="28" t="n">
        <f aca="false">L88-M88</f>
        <v>-16.63390625</v>
      </c>
      <c r="O88" s="25" t="n">
        <f aca="false">IF(N88&gt;=-0.0000001,A88,O87)</f>
        <v>46031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46059</v>
      </c>
      <c r="B89" s="26" t="s">
        <v>83</v>
      </c>
      <c r="C89" s="27" t="n">
        <v>28405</v>
      </c>
      <c r="D89" s="28" t="n">
        <f aca="false">C89/$T$1*100</f>
        <v>8.8765625</v>
      </c>
      <c r="E89" s="28" t="n">
        <f aca="false">E88+D89</f>
        <v>13.10465</v>
      </c>
      <c r="F89" s="28" t="n">
        <f aca="false">MAX(0,MAX($E$2:E89))</f>
        <v>20.86199375</v>
      </c>
      <c r="G89" s="28" t="n">
        <f aca="false">E89-F89</f>
        <v>-7.75734375</v>
      </c>
      <c r="H89" s="25" t="n">
        <f aca="false">IF(G89&gt;=-0.0000001,A89,H88)</f>
        <v>46031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28405</v>
      </c>
      <c r="L89" s="28" t="n">
        <f aca="false">L88+K89/$T$1*100</f>
        <v>29.624609375</v>
      </c>
      <c r="M89" s="28" t="n">
        <f aca="false">MAX(0,MAX($L$2:L89))</f>
        <v>37.381953125</v>
      </c>
      <c r="N89" s="28" t="n">
        <f aca="false">L89-M89</f>
        <v>-7.75734375</v>
      </c>
      <c r="O89" s="25" t="n">
        <f aca="false">IF(N89&gt;=-0.0000001,A89,O88)</f>
        <v>46031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46063</v>
      </c>
      <c r="B90" s="26" t="s">
        <v>80</v>
      </c>
      <c r="C90" s="27" t="n">
        <v>31021.25</v>
      </c>
      <c r="D90" s="28" t="n">
        <f aca="false">C90/$T$1*100</f>
        <v>9.694140625</v>
      </c>
      <c r="E90" s="28" t="n">
        <f aca="false">E89+D90</f>
        <v>22.798790625</v>
      </c>
      <c r="F90" s="28" t="n">
        <f aca="false">MAX(0,MAX($E$2:E90))</f>
        <v>22.798790625</v>
      </c>
      <c r="G90" s="28" t="n">
        <f aca="false">E90-F90</f>
        <v>0</v>
      </c>
      <c r="H90" s="25" t="n">
        <f aca="false">IF(G90&gt;=-0.0000001,A90,H89)</f>
        <v>46063</v>
      </c>
      <c r="I90" s="29" t="n">
        <f aca="false">IF(AND(G90&gt;=-0.0000001,G89&lt;0),1,0)</f>
        <v>1</v>
      </c>
      <c r="J90" s="30" t="n">
        <f aca="false">IF(I90=1,A90-H89,"")</f>
        <v>32</v>
      </c>
      <c r="K90" s="27" t="n">
        <f aca="false">IF(B90="Wednesday",0,C90)</f>
        <v>31021.25</v>
      </c>
      <c r="L90" s="28" t="n">
        <f aca="false">L89+K90/$T$1*100</f>
        <v>39.31875</v>
      </c>
      <c r="M90" s="28" t="n">
        <f aca="false">MAX(0,MAX($L$2:L90))</f>
        <v>39.31875</v>
      </c>
      <c r="N90" s="28" t="n">
        <f aca="false">L90-M90</f>
        <v>0</v>
      </c>
      <c r="O90" s="25" t="n">
        <f aca="false">IF(N90&gt;=-0.0000001,A90,O89)</f>
        <v>46063</v>
      </c>
      <c r="P90" s="29" t="n">
        <f aca="false">IF(AND(N90&gt;=-0.0000001,N89&lt;0),1,0)</f>
        <v>1</v>
      </c>
      <c r="Q90" s="30" t="n">
        <f aca="false">IF(P90=1,A90-O89,"")</f>
        <v>32</v>
      </c>
    </row>
    <row r="91" customFormat="false" ht="15" hidden="false" customHeight="false" outlineLevel="0" collapsed="false">
      <c r="A91" s="25" t="n">
        <v>46066</v>
      </c>
      <c r="B91" s="26" t="s">
        <v>83</v>
      </c>
      <c r="C91" s="27" t="n">
        <v>22441.25</v>
      </c>
      <c r="D91" s="28" t="n">
        <f aca="false">C91/$T$1*100</f>
        <v>7.012890625</v>
      </c>
      <c r="E91" s="28" t="n">
        <f aca="false">E90+D91</f>
        <v>29.81168125</v>
      </c>
      <c r="F91" s="28" t="n">
        <f aca="false">MAX(0,MAX($E$2:E91))</f>
        <v>29.81168125</v>
      </c>
      <c r="G91" s="28" t="n">
        <f aca="false">E91-F91</f>
        <v>0</v>
      </c>
      <c r="H91" s="25" t="n">
        <f aca="false">IF(G91&gt;=-0.0000001,A91,H90)</f>
        <v>46066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22441.25</v>
      </c>
      <c r="L91" s="28" t="n">
        <f aca="false">L90+K91/$T$1*100</f>
        <v>46.331640625</v>
      </c>
      <c r="M91" s="28" t="n">
        <f aca="false">MAX(0,MAX($L$2:L91))</f>
        <v>46.331640625</v>
      </c>
      <c r="N91" s="28" t="n">
        <f aca="false">L91-M91</f>
        <v>0</v>
      </c>
      <c r="O91" s="25" t="n">
        <f aca="false">IF(N91&gt;=-0.0000001,A91,O90)</f>
        <v>46066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46072</v>
      </c>
      <c r="B92" s="26" t="s">
        <v>82</v>
      </c>
      <c r="C92" s="27" t="n">
        <v>19808.75</v>
      </c>
      <c r="D92" s="28" t="n">
        <f aca="false">C92/$T$1*100</f>
        <v>6.190234375</v>
      </c>
      <c r="E92" s="28" t="n">
        <f aca="false">E91+D92</f>
        <v>36.001915625</v>
      </c>
      <c r="F92" s="28" t="n">
        <f aca="false">MAX(0,MAX($E$2:E92))</f>
        <v>36.001915625</v>
      </c>
      <c r="G92" s="28" t="n">
        <f aca="false">E92-F92</f>
        <v>0</v>
      </c>
      <c r="H92" s="25" t="n">
        <f aca="false">IF(G92&gt;=-0.0000001,A92,H91)</f>
        <v>46072</v>
      </c>
      <c r="I92" s="29" t="n">
        <f aca="false">IF(AND(G92&gt;=-0.0000001,G91&lt;0),1,0)</f>
        <v>0</v>
      </c>
      <c r="J92" s="30" t="str">
        <f aca="false">IF(I92=1,A92-H91,"")</f>
        <v/>
      </c>
      <c r="K92" s="27" t="n">
        <f aca="false">IF(B92="Wednesday",0,C92)</f>
        <v>19808.75</v>
      </c>
      <c r="L92" s="28" t="n">
        <f aca="false">L91+K92/$T$1*100</f>
        <v>52.521875</v>
      </c>
      <c r="M92" s="28" t="n">
        <f aca="false">MAX(0,MAX($L$2:L92))</f>
        <v>52.521875</v>
      </c>
      <c r="N92" s="28" t="n">
        <f aca="false">L92-M92</f>
        <v>0</v>
      </c>
      <c r="O92" s="25" t="n">
        <f aca="false">IF(N92&gt;=-0.0000001,A92,O91)</f>
        <v>46072</v>
      </c>
      <c r="P92" s="29" t="n">
        <f aca="false">IF(AND(N92&gt;=-0.0000001,N91&lt;0),1,0)</f>
        <v>0</v>
      </c>
      <c r="Q92" s="30" t="str">
        <f aca="false">IF(P92=1,A92-O91,"")</f>
        <v/>
      </c>
    </row>
    <row r="93" customFormat="false" ht="15" hidden="false" customHeight="false" outlineLevel="0" collapsed="false">
      <c r="A93" s="25" t="n">
        <v>46076</v>
      </c>
      <c r="B93" s="26" t="s">
        <v>79</v>
      </c>
      <c r="C93" s="27" t="n">
        <v>-15161.25</v>
      </c>
      <c r="D93" s="28" t="n">
        <f aca="false">C93/$T$1*100</f>
        <v>-4.737890625</v>
      </c>
      <c r="E93" s="28" t="n">
        <f aca="false">E92+D93</f>
        <v>31.264025</v>
      </c>
      <c r="F93" s="28" t="n">
        <f aca="false">MAX(0,MAX($E$2:E93))</f>
        <v>36.001915625</v>
      </c>
      <c r="G93" s="28" t="n">
        <f aca="false">E93-F93</f>
        <v>-4.737890625</v>
      </c>
      <c r="H93" s="25" t="n">
        <f aca="false">IF(G93&gt;=-0.0000001,A93,H92)</f>
        <v>46072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-15161.25</v>
      </c>
      <c r="L93" s="28" t="n">
        <f aca="false">L92+K93/$T$1*100</f>
        <v>47.783984375</v>
      </c>
      <c r="M93" s="28" t="n">
        <f aca="false">MAX(0,MAX($L$2:L93))</f>
        <v>52.521875</v>
      </c>
      <c r="N93" s="28" t="n">
        <f aca="false">L93-M93</f>
        <v>-4.737890625</v>
      </c>
      <c r="O93" s="25" t="n">
        <f aca="false">IF(N93&gt;=-0.0000001,A93,O92)</f>
        <v>46072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46077</v>
      </c>
      <c r="B94" s="26" t="s">
        <v>80</v>
      </c>
      <c r="C94" s="27" t="n">
        <v>21801</v>
      </c>
      <c r="D94" s="28" t="n">
        <f aca="false">C94/$T$1*100</f>
        <v>6.8128125</v>
      </c>
      <c r="E94" s="28" t="n">
        <f aca="false">E93+D94</f>
        <v>38.0768375</v>
      </c>
      <c r="F94" s="28" t="n">
        <f aca="false">MAX(0,MAX($E$2:E94))</f>
        <v>38.0768375</v>
      </c>
      <c r="G94" s="28" t="n">
        <f aca="false">E94-F94</f>
        <v>0</v>
      </c>
      <c r="H94" s="25" t="n">
        <f aca="false">IF(G94&gt;=-0.0000001,A94,H93)</f>
        <v>46077</v>
      </c>
      <c r="I94" s="29" t="n">
        <f aca="false">IF(AND(G94&gt;=-0.0000001,G93&lt;0),1,0)</f>
        <v>1</v>
      </c>
      <c r="J94" s="30" t="n">
        <f aca="false">IF(I94=1,A94-H93,"")</f>
        <v>5</v>
      </c>
      <c r="K94" s="27" t="n">
        <f aca="false">IF(B94="Wednesday",0,C94)</f>
        <v>21801</v>
      </c>
      <c r="L94" s="28" t="n">
        <f aca="false">L93+K94/$T$1*100</f>
        <v>54.596796875</v>
      </c>
      <c r="M94" s="28" t="n">
        <f aca="false">MAX(0,MAX($L$2:L94))</f>
        <v>54.596796875</v>
      </c>
      <c r="N94" s="28" t="n">
        <f aca="false">L94-M94</f>
        <v>0</v>
      </c>
      <c r="O94" s="25" t="n">
        <f aca="false">IF(N94&gt;=-0.0000001,A94,O93)</f>
        <v>46077</v>
      </c>
      <c r="P94" s="29" t="n">
        <f aca="false">IF(AND(N94&gt;=-0.0000001,N93&lt;0),1,0)</f>
        <v>1</v>
      </c>
      <c r="Q94" s="30" t="n">
        <f aca="false">IF(P94=1,A94-O93,"")</f>
        <v>5</v>
      </c>
    </row>
    <row r="95" customFormat="false" ht="15" hidden="false" customHeight="false" outlineLevel="0" collapsed="false">
      <c r="A95" s="25" t="n">
        <v>46078</v>
      </c>
      <c r="B95" s="26" t="s">
        <v>81</v>
      </c>
      <c r="C95" s="27" t="n">
        <v>-14885</v>
      </c>
      <c r="D95" s="28" t="n">
        <f aca="false">C95/$T$1*100</f>
        <v>-4.6515625</v>
      </c>
      <c r="E95" s="28" t="n">
        <f aca="false">E94+D95</f>
        <v>33.425275</v>
      </c>
      <c r="F95" s="28" t="n">
        <f aca="false">MAX(0,MAX($E$2:E95))</f>
        <v>38.0768375</v>
      </c>
      <c r="G95" s="28" t="n">
        <f aca="false">E95-F95</f>
        <v>-4.6515625</v>
      </c>
      <c r="H95" s="25" t="n">
        <f aca="false">IF(G95&gt;=-0.0000001,A95,H94)</f>
        <v>46077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0</v>
      </c>
      <c r="L95" s="28" t="n">
        <f aca="false">L94+K95/$T$1*100</f>
        <v>54.596796875</v>
      </c>
      <c r="M95" s="28" t="n">
        <f aca="false">MAX(0,MAX($L$2:L95))</f>
        <v>54.596796875</v>
      </c>
      <c r="N95" s="28" t="n">
        <f aca="false">L95-M95</f>
        <v>0</v>
      </c>
      <c r="O95" s="25" t="n">
        <f aca="false">IF(N95&gt;=-0.0000001,A95,O94)</f>
        <v>46078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46080</v>
      </c>
      <c r="B96" s="26" t="s">
        <v>83</v>
      </c>
      <c r="C96" s="27" t="n">
        <v>38821.25</v>
      </c>
      <c r="D96" s="28" t="n">
        <f aca="false">C96/$T$1*100</f>
        <v>12.131640625</v>
      </c>
      <c r="E96" s="28" t="n">
        <f aca="false">E95+D96</f>
        <v>45.556915625</v>
      </c>
      <c r="F96" s="28" t="n">
        <f aca="false">MAX(0,MAX($E$2:E96))</f>
        <v>45.556915625</v>
      </c>
      <c r="G96" s="28" t="n">
        <f aca="false">E96-F96</f>
        <v>0</v>
      </c>
      <c r="H96" s="25" t="n">
        <f aca="false">IF(G96&gt;=-0.0000001,A96,H95)</f>
        <v>46080</v>
      </c>
      <c r="I96" s="29" t="n">
        <f aca="false">IF(AND(G96&gt;=-0.0000001,G95&lt;0),1,0)</f>
        <v>1</v>
      </c>
      <c r="J96" s="30" t="n">
        <f aca="false">IF(I96=1,A96-H95,"")</f>
        <v>3</v>
      </c>
      <c r="K96" s="27" t="n">
        <f aca="false">IF(B96="Wednesday",0,C96)</f>
        <v>38821.25</v>
      </c>
      <c r="L96" s="28" t="n">
        <f aca="false">L95+K96/$T$1*100</f>
        <v>66.7284375</v>
      </c>
      <c r="M96" s="28" t="n">
        <f aca="false">MAX(0,MAX($L$2:L96))</f>
        <v>66.7284375</v>
      </c>
      <c r="N96" s="28" t="n">
        <f aca="false">L96-M96</f>
        <v>0</v>
      </c>
      <c r="O96" s="25" t="n">
        <f aca="false">IF(N96&gt;=-0.0000001,A96,O95)</f>
        <v>46080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46083</v>
      </c>
      <c r="B97" s="26" t="s">
        <v>79</v>
      </c>
      <c r="C97" s="27" t="n">
        <v>2509</v>
      </c>
      <c r="D97" s="28" t="n">
        <f aca="false">C97/$T$1*100</f>
        <v>0.7840625</v>
      </c>
      <c r="E97" s="28" t="n">
        <f aca="false">E96+D97</f>
        <v>46.340978125</v>
      </c>
      <c r="F97" s="28" t="n">
        <f aca="false">MAX(0,MAX($E$2:E97))</f>
        <v>46.340978125</v>
      </c>
      <c r="G97" s="28" t="n">
        <f aca="false">E97-F97</f>
        <v>0</v>
      </c>
      <c r="H97" s="25" t="n">
        <f aca="false">IF(G97&gt;=-0.0000001,A97,H96)</f>
        <v>46083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2509</v>
      </c>
      <c r="L97" s="28" t="n">
        <f aca="false">L96+K97/$T$1*100</f>
        <v>67.5125</v>
      </c>
      <c r="M97" s="28" t="n">
        <f aca="false">MAX(0,MAX($L$2:L97))</f>
        <v>67.5125</v>
      </c>
      <c r="N97" s="28" t="n">
        <f aca="false">L97-M97</f>
        <v>0</v>
      </c>
      <c r="O97" s="25" t="n">
        <f aca="false">IF(N97&gt;=-0.0000001,A97,O96)</f>
        <v>46083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46086</v>
      </c>
      <c r="B98" s="26" t="s">
        <v>82</v>
      </c>
      <c r="C98" s="27" t="n">
        <v>-12116</v>
      </c>
      <c r="D98" s="28" t="n">
        <f aca="false">C98/$T$1*100</f>
        <v>-3.78625</v>
      </c>
      <c r="E98" s="28" t="n">
        <f aca="false">E97+D98</f>
        <v>42.554728125</v>
      </c>
      <c r="F98" s="28" t="n">
        <f aca="false">MAX(0,MAX($E$2:E98))</f>
        <v>46.340978125</v>
      </c>
      <c r="G98" s="28" t="n">
        <f aca="false">E98-F98</f>
        <v>-3.78625</v>
      </c>
      <c r="H98" s="25" t="n">
        <f aca="false">IF(G98&gt;=-0.0000001,A98,H97)</f>
        <v>46083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-12116</v>
      </c>
      <c r="L98" s="28" t="n">
        <f aca="false">L97+K98/$T$1*100</f>
        <v>63.72625</v>
      </c>
      <c r="M98" s="28" t="n">
        <f aca="false">MAX(0,MAX($L$2:L98))</f>
        <v>67.5125</v>
      </c>
      <c r="N98" s="28" t="n">
        <f aca="false">L98-M98</f>
        <v>-3.78625</v>
      </c>
      <c r="O98" s="25" t="n">
        <f aca="false">IF(N98&gt;=-0.0000001,A98,O97)</f>
        <v>46083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46091</v>
      </c>
      <c r="B99" s="26" t="s">
        <v>80</v>
      </c>
      <c r="C99" s="27" t="n">
        <v>51187.5</v>
      </c>
      <c r="D99" s="28" t="n">
        <f aca="false">C99/$T$1*100</f>
        <v>15.99609375</v>
      </c>
      <c r="E99" s="28" t="n">
        <f aca="false">E98+D99</f>
        <v>58.550821875</v>
      </c>
      <c r="F99" s="28" t="n">
        <f aca="false">MAX(0,MAX($E$2:E99))</f>
        <v>58.550821875</v>
      </c>
      <c r="G99" s="28" t="n">
        <f aca="false">E99-F99</f>
        <v>0</v>
      </c>
      <c r="H99" s="25" t="n">
        <f aca="false">IF(G99&gt;=-0.0000001,A99,H98)</f>
        <v>46091</v>
      </c>
      <c r="I99" s="29" t="n">
        <f aca="false">IF(AND(G99&gt;=-0.0000001,G98&lt;0),1,0)</f>
        <v>1</v>
      </c>
      <c r="J99" s="30" t="n">
        <f aca="false">IF(I99=1,A99-H98,"")</f>
        <v>8</v>
      </c>
      <c r="K99" s="27" t="n">
        <f aca="false">IF(B99="Wednesday",0,C99)</f>
        <v>51187.5</v>
      </c>
      <c r="L99" s="28" t="n">
        <f aca="false">L98+K99/$T$1*100</f>
        <v>79.72234375</v>
      </c>
      <c r="M99" s="28" t="n">
        <f aca="false">MAX(0,MAX($L$2:L99))</f>
        <v>79.72234375</v>
      </c>
      <c r="N99" s="28" t="n">
        <f aca="false">L99-M99</f>
        <v>0</v>
      </c>
      <c r="O99" s="25" t="n">
        <f aca="false">IF(N99&gt;=-0.0000001,A99,O98)</f>
        <v>46091</v>
      </c>
      <c r="P99" s="29" t="n">
        <f aca="false">IF(AND(N99&gt;=-0.0000001,N98&lt;0),1,0)</f>
        <v>1</v>
      </c>
      <c r="Q99" s="30" t="n">
        <f aca="false">IF(P99=1,A99-O98,"")</f>
        <v>8</v>
      </c>
    </row>
    <row r="100" customFormat="false" ht="15" hidden="false" customHeight="false" outlineLevel="0" collapsed="false">
      <c r="A100" s="25" t="n">
        <v>46093</v>
      </c>
      <c r="B100" s="26" t="s">
        <v>82</v>
      </c>
      <c r="C100" s="27" t="n">
        <v>15795</v>
      </c>
      <c r="D100" s="28" t="n">
        <f aca="false">C100/$T$1*100</f>
        <v>4.9359375</v>
      </c>
      <c r="E100" s="28" t="n">
        <f aca="false">E99+D100</f>
        <v>63.486759375</v>
      </c>
      <c r="F100" s="28" t="n">
        <f aca="false">MAX(0,MAX($E$2:E100))</f>
        <v>63.486759375</v>
      </c>
      <c r="G100" s="28" t="n">
        <f aca="false">E100-F100</f>
        <v>0</v>
      </c>
      <c r="H100" s="25" t="n">
        <f aca="false">IF(G100&gt;=-0.0000001,A100,H99)</f>
        <v>46093</v>
      </c>
      <c r="I100" s="29" t="n">
        <f aca="false">IF(AND(G100&gt;=-0.0000001,G99&lt;0),1,0)</f>
        <v>0</v>
      </c>
      <c r="J100" s="30" t="str">
        <f aca="false">IF(I100=1,A100-H99,"")</f>
        <v/>
      </c>
      <c r="K100" s="27" t="n">
        <f aca="false">IF(B100="Wednesday",0,C100)</f>
        <v>15795</v>
      </c>
      <c r="L100" s="28" t="n">
        <f aca="false">L99+K100/$T$1*100</f>
        <v>84.65828125</v>
      </c>
      <c r="M100" s="28" t="n">
        <f aca="false">MAX(0,MAX($L$2:L100))</f>
        <v>84.65828125</v>
      </c>
      <c r="N100" s="28" t="n">
        <f aca="false">L100-M100</f>
        <v>0</v>
      </c>
      <c r="O100" s="25" t="n">
        <f aca="false">IF(N100&gt;=-0.0000001,A100,O99)</f>
        <v>46093</v>
      </c>
      <c r="P100" s="29" t="n">
        <f aca="false">IF(AND(N100&gt;=-0.0000001,N99&lt;0),1,0)</f>
        <v>0</v>
      </c>
      <c r="Q100" s="30" t="str">
        <f aca="false">IF(P100=1,A100-O99,"")</f>
        <v/>
      </c>
    </row>
    <row r="101" customFormat="false" ht="15" hidden="false" customHeight="false" outlineLevel="0" collapsed="false">
      <c r="A101" s="25" t="n">
        <v>46097</v>
      </c>
      <c r="B101" s="26" t="s">
        <v>79</v>
      </c>
      <c r="C101" s="27" t="n">
        <v>26841.75</v>
      </c>
      <c r="D101" s="28" t="n">
        <f aca="false">C101/$T$1*100</f>
        <v>8.388046875</v>
      </c>
      <c r="E101" s="28" t="n">
        <f aca="false">E100+D101</f>
        <v>71.87480625</v>
      </c>
      <c r="F101" s="28" t="n">
        <f aca="false">MAX(0,MAX($E$2:E101))</f>
        <v>71.87480625</v>
      </c>
      <c r="G101" s="28" t="n">
        <f aca="false">E101-F101</f>
        <v>0</v>
      </c>
      <c r="H101" s="25" t="n">
        <f aca="false">IF(G101&gt;=-0.0000001,A101,H100)</f>
        <v>46097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26841.75</v>
      </c>
      <c r="L101" s="28" t="n">
        <f aca="false">L100+K101/$T$1*100</f>
        <v>93.046328125</v>
      </c>
      <c r="M101" s="28" t="n">
        <f aca="false">MAX(0,MAX($L$2:L101))</f>
        <v>93.046328125</v>
      </c>
      <c r="N101" s="28" t="n">
        <f aca="false">L101-M101</f>
        <v>0</v>
      </c>
      <c r="O101" s="25" t="n">
        <f aca="false">IF(N101&gt;=-0.0000001,A101,O100)</f>
        <v>46097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46100</v>
      </c>
      <c r="B102" s="26" t="s">
        <v>82</v>
      </c>
      <c r="C102" s="27" t="n">
        <v>-41778.75</v>
      </c>
      <c r="D102" s="28" t="n">
        <f aca="false">C102/$T$1*100</f>
        <v>-13.055859375</v>
      </c>
      <c r="E102" s="28" t="n">
        <f aca="false">E101+D102</f>
        <v>58.818946875</v>
      </c>
      <c r="F102" s="28" t="n">
        <f aca="false">MAX(0,MAX($E$2:E102))</f>
        <v>71.87480625</v>
      </c>
      <c r="G102" s="28" t="n">
        <f aca="false">E102-F102</f>
        <v>-13.055859375</v>
      </c>
      <c r="H102" s="25" t="n">
        <f aca="false">IF(G102&gt;=-0.0000001,A102,H101)</f>
        <v>46097</v>
      </c>
      <c r="I102" s="29" t="n">
        <f aca="false">IF(AND(G102&gt;=-0.0000001,G101&lt;0),1,0)</f>
        <v>0</v>
      </c>
      <c r="J102" s="30" t="str">
        <f aca="false">IF(I102=1,A102-H101,"")</f>
        <v/>
      </c>
      <c r="K102" s="27" t="n">
        <f aca="false">IF(B102="Wednesday",0,C102)</f>
        <v>-41778.75</v>
      </c>
      <c r="L102" s="28" t="n">
        <f aca="false">L101+K102/$T$1*100</f>
        <v>79.99046875</v>
      </c>
      <c r="M102" s="28" t="n">
        <f aca="false">MAX(0,MAX($L$2:L102))</f>
        <v>93.046328125</v>
      </c>
      <c r="N102" s="28" t="n">
        <f aca="false">L102-M102</f>
        <v>-13.055859375</v>
      </c>
      <c r="O102" s="25" t="n">
        <f aca="false">IF(N102&gt;=-0.0000001,A102,O101)</f>
        <v>46097</v>
      </c>
      <c r="P102" s="29" t="n">
        <f aca="false">IF(AND(N102&gt;=-0.0000001,N101&lt;0),1,0)</f>
        <v>0</v>
      </c>
      <c r="Q102" s="30" t="str">
        <f aca="false">IF(P102=1,A102-O101,"")</f>
        <v/>
      </c>
    </row>
    <row r="103" customFormat="false" ht="15" hidden="false" customHeight="false" outlineLevel="0" collapsed="false">
      <c r="A103" s="25" t="n">
        <v>46104</v>
      </c>
      <c r="B103" s="26" t="s">
        <v>79</v>
      </c>
      <c r="C103" s="27" t="n">
        <v>39081.25</v>
      </c>
      <c r="D103" s="28" t="n">
        <f aca="false">C103/$T$1*100</f>
        <v>12.212890625</v>
      </c>
      <c r="E103" s="28" t="n">
        <f aca="false">E102+D103</f>
        <v>71.0318375</v>
      </c>
      <c r="F103" s="28" t="n">
        <f aca="false">MAX(0,MAX($E$2:E103))</f>
        <v>71.87480625</v>
      </c>
      <c r="G103" s="28" t="n">
        <f aca="false">E103-F103</f>
        <v>-0.842968749999997</v>
      </c>
      <c r="H103" s="25" t="n">
        <f aca="false">IF(G103&gt;=-0.0000001,A103,H102)</f>
        <v>46097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39081.25</v>
      </c>
      <c r="L103" s="28" t="n">
        <f aca="false">L102+K103/$T$1*100</f>
        <v>92.203359375</v>
      </c>
      <c r="M103" s="28" t="n">
        <f aca="false">MAX(0,MAX($L$2:L103))</f>
        <v>93.046328125</v>
      </c>
      <c r="N103" s="28" t="n">
        <f aca="false">L103-M103</f>
        <v>-0.842968749999997</v>
      </c>
      <c r="O103" s="25" t="n">
        <f aca="false">IF(N103&gt;=-0.0000001,A103,O102)</f>
        <v>46097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46105</v>
      </c>
      <c r="B104" s="26" t="s">
        <v>80</v>
      </c>
      <c r="C104" s="27" t="n">
        <v>-14807</v>
      </c>
      <c r="D104" s="28" t="n">
        <f aca="false">C104/$T$1*100</f>
        <v>-4.6271875</v>
      </c>
      <c r="E104" s="28" t="n">
        <f aca="false">E103+D104</f>
        <v>66.40465</v>
      </c>
      <c r="F104" s="28" t="n">
        <f aca="false">MAX(0,MAX($E$2:E104))</f>
        <v>71.87480625</v>
      </c>
      <c r="G104" s="28" t="n">
        <f aca="false">E104-F104</f>
        <v>-5.47015625</v>
      </c>
      <c r="H104" s="25" t="n">
        <f aca="false">IF(G104&gt;=-0.0000001,A104,H103)</f>
        <v>46097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-14807</v>
      </c>
      <c r="L104" s="28" t="n">
        <f aca="false">L103+K104/$T$1*100</f>
        <v>87.576171875</v>
      </c>
      <c r="M104" s="28" t="n">
        <f aca="false">MAX(0,MAX($L$2:L104))</f>
        <v>93.046328125</v>
      </c>
      <c r="N104" s="28" t="n">
        <f aca="false">L104-M104</f>
        <v>-5.47015625</v>
      </c>
      <c r="O104" s="25" t="n">
        <f aca="false">IF(N104&gt;=-0.0000001,A104,O103)</f>
        <v>46097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46108</v>
      </c>
      <c r="B105" s="26" t="s">
        <v>83</v>
      </c>
      <c r="C105" s="27" t="n">
        <v>-11466</v>
      </c>
      <c r="D105" s="28" t="n">
        <f aca="false">C105/$T$1*100</f>
        <v>-3.583125</v>
      </c>
      <c r="E105" s="28" t="n">
        <f aca="false">E104+D105</f>
        <v>62.821525</v>
      </c>
      <c r="F105" s="28" t="n">
        <f aca="false">MAX(0,MAX($E$2:E105))</f>
        <v>71.87480625</v>
      </c>
      <c r="G105" s="28" t="n">
        <f aca="false">E105-F105</f>
        <v>-9.05328125000001</v>
      </c>
      <c r="H105" s="25" t="n">
        <f aca="false">IF(G105&gt;=-0.0000001,A105,H104)</f>
        <v>46097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-11466</v>
      </c>
      <c r="L105" s="28" t="n">
        <f aca="false">L104+K105/$T$1*100</f>
        <v>83.993046875</v>
      </c>
      <c r="M105" s="28" t="n">
        <f aca="false">MAX(0,MAX($L$2:L105))</f>
        <v>93.046328125</v>
      </c>
      <c r="N105" s="28" t="n">
        <f aca="false">L105-M105</f>
        <v>-9.05328125</v>
      </c>
      <c r="O105" s="25" t="n">
        <f aca="false">IF(N105&gt;=-0.0000001,A105,O104)</f>
        <v>46097</v>
      </c>
      <c r="P105" s="29" t="n">
        <f aca="false">IF(AND(N105&gt;=-0.0000001,N104&lt;0),1,0)</f>
        <v>0</v>
      </c>
      <c r="Q105" s="30" t="str">
        <f aca="false">IF(P105=1,A105-O104,"")</f>
        <v/>
      </c>
    </row>
    <row r="106" customFormat="false" ht="15" hidden="false" customHeight="false" outlineLevel="0" collapsed="false">
      <c r="A106" s="25" t="n">
        <v>46111</v>
      </c>
      <c r="B106" s="26" t="s">
        <v>79</v>
      </c>
      <c r="C106" s="27" t="n">
        <v>-47034</v>
      </c>
      <c r="D106" s="28" t="n">
        <f aca="false">C106/$T$1*100</f>
        <v>-14.698125</v>
      </c>
      <c r="E106" s="28" t="n">
        <f aca="false">E105+D106</f>
        <v>48.1234</v>
      </c>
      <c r="F106" s="28" t="n">
        <f aca="false">MAX(0,MAX($E$2:E106))</f>
        <v>71.87480625</v>
      </c>
      <c r="G106" s="28" t="n">
        <f aca="false">E106-F106</f>
        <v>-23.75140625</v>
      </c>
      <c r="H106" s="25" t="n">
        <f aca="false">IF(G106&gt;=-0.0000001,A106,H105)</f>
        <v>46097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-47034</v>
      </c>
      <c r="L106" s="28" t="n">
        <f aca="false">L105+K106/$T$1*100</f>
        <v>69.294921875</v>
      </c>
      <c r="M106" s="28" t="n">
        <f aca="false">MAX(0,MAX($L$2:L106))</f>
        <v>93.046328125</v>
      </c>
      <c r="N106" s="28" t="n">
        <f aca="false">L106-M106</f>
        <v>-23.75140625</v>
      </c>
      <c r="O106" s="25" t="n">
        <f aca="false">IF(N106&gt;=-0.0000001,A106,O105)</f>
        <v>46097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46114</v>
      </c>
      <c r="B107" s="26" t="s">
        <v>82</v>
      </c>
      <c r="C107" s="27" t="n">
        <v>48217</v>
      </c>
      <c r="D107" s="28" t="n">
        <f aca="false">C107/$T$1*100</f>
        <v>15.0678125</v>
      </c>
      <c r="E107" s="28" t="n">
        <f aca="false">E106+D107</f>
        <v>63.1912125</v>
      </c>
      <c r="F107" s="28" t="n">
        <f aca="false">MAX(0,MAX($E$2:E107))</f>
        <v>71.87480625</v>
      </c>
      <c r="G107" s="28" t="n">
        <f aca="false">E107-F107</f>
        <v>-8.68359375</v>
      </c>
      <c r="H107" s="25" t="n">
        <f aca="false">IF(G107&gt;=-0.0000001,A107,H106)</f>
        <v>46097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48217</v>
      </c>
      <c r="L107" s="28" t="n">
        <f aca="false">L106+K107/$T$1*100</f>
        <v>84.362734375</v>
      </c>
      <c r="M107" s="28" t="n">
        <f aca="false">MAX(0,MAX($L$2:L107))</f>
        <v>93.046328125</v>
      </c>
      <c r="N107" s="28" t="n">
        <f aca="false">L107-M107</f>
        <v>-8.68359375</v>
      </c>
      <c r="O107" s="25" t="n">
        <f aca="false">IF(N107&gt;=-0.0000001,A107,O106)</f>
        <v>46097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46118</v>
      </c>
      <c r="B108" s="26" t="s">
        <v>79</v>
      </c>
      <c r="C108" s="27" t="n">
        <v>-11297</v>
      </c>
      <c r="D108" s="28" t="n">
        <f aca="false">C108/$T$1*100</f>
        <v>-3.5303125</v>
      </c>
      <c r="E108" s="28" t="n">
        <f aca="false">E107+D108</f>
        <v>59.6609</v>
      </c>
      <c r="F108" s="28" t="n">
        <f aca="false">MAX(0,MAX($E$2:E108))</f>
        <v>71.87480625</v>
      </c>
      <c r="G108" s="28" t="n">
        <f aca="false">E108-F108</f>
        <v>-12.21390625</v>
      </c>
      <c r="H108" s="25" t="n">
        <f aca="false">IF(G108&gt;=-0.0000001,A108,H107)</f>
        <v>46097</v>
      </c>
      <c r="I108" s="29" t="n">
        <f aca="false">IF(AND(G108&gt;=-0.0000001,G107&lt;0),1,0)</f>
        <v>0</v>
      </c>
      <c r="J108" s="30" t="str">
        <f aca="false">IF(I108=1,A108-H107,"")</f>
        <v/>
      </c>
      <c r="K108" s="27" t="n">
        <f aca="false">IF(B108="Wednesday",0,C108)</f>
        <v>-11297</v>
      </c>
      <c r="L108" s="28" t="n">
        <f aca="false">L107+K108/$T$1*100</f>
        <v>80.832421875</v>
      </c>
      <c r="M108" s="28" t="n">
        <f aca="false">MAX(0,MAX($L$2:L108))</f>
        <v>93.046328125</v>
      </c>
      <c r="N108" s="28" t="n">
        <f aca="false">L108-M108</f>
        <v>-12.21390625</v>
      </c>
      <c r="O108" s="25" t="n">
        <f aca="false">IF(N108&gt;=-0.0000001,A108,O107)</f>
        <v>46097</v>
      </c>
      <c r="P108" s="29" t="n">
        <f aca="false">IF(AND(N108&gt;=-0.0000001,N107&lt;0),1,0)</f>
        <v>0</v>
      </c>
      <c r="Q108" s="30" t="str">
        <f aca="false">IF(P108=1,A108-O107,"")</f>
        <v/>
      </c>
    </row>
    <row r="109" customFormat="false" ht="15" hidden="false" customHeight="false" outlineLevel="0" collapsed="false">
      <c r="A109" s="25" t="n">
        <v>46125</v>
      </c>
      <c r="B109" s="26" t="s">
        <v>79</v>
      </c>
      <c r="C109" s="27" t="n">
        <v>6155.5</v>
      </c>
      <c r="D109" s="28" t="n">
        <f aca="false">C109/$T$1*100</f>
        <v>1.92359375</v>
      </c>
      <c r="E109" s="28" t="n">
        <f aca="false">E108+D109</f>
        <v>61.58449375</v>
      </c>
      <c r="F109" s="28" t="n">
        <f aca="false">MAX(0,MAX($E$2:E109))</f>
        <v>71.87480625</v>
      </c>
      <c r="G109" s="28" t="n">
        <f aca="false">E109-F109</f>
        <v>-10.2903125</v>
      </c>
      <c r="H109" s="25" t="n">
        <f aca="false">IF(G109&gt;=-0.0000001,A109,H108)</f>
        <v>46097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6155.5</v>
      </c>
      <c r="L109" s="28" t="n">
        <f aca="false">L108+K109/$T$1*100</f>
        <v>82.756015625</v>
      </c>
      <c r="M109" s="28" t="n">
        <f aca="false">MAX(0,MAX($L$2:L109))</f>
        <v>93.046328125</v>
      </c>
      <c r="N109" s="28" t="n">
        <f aca="false">L109-M109</f>
        <v>-10.2903125</v>
      </c>
      <c r="O109" s="25" t="n">
        <f aca="false">IF(N109&gt;=-0.0000001,A109,O108)</f>
        <v>46097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46133</v>
      </c>
      <c r="B110" s="26" t="s">
        <v>80</v>
      </c>
      <c r="C110" s="27" t="n">
        <v>40982.5</v>
      </c>
      <c r="D110" s="28" t="n">
        <f aca="false">C110/$T$1*100</f>
        <v>12.80703125</v>
      </c>
      <c r="E110" s="28" t="n">
        <f aca="false">E109+D110</f>
        <v>74.391525</v>
      </c>
      <c r="F110" s="28" t="n">
        <f aca="false">MAX(0,MAX($E$2:E110))</f>
        <v>74.391525</v>
      </c>
      <c r="G110" s="28" t="n">
        <f aca="false">E110-F110</f>
        <v>0</v>
      </c>
      <c r="H110" s="25" t="n">
        <f aca="false">IF(G110&gt;=-0.0000001,A110,H109)</f>
        <v>46133</v>
      </c>
      <c r="I110" s="29" t="n">
        <f aca="false">IF(AND(G110&gt;=-0.0000001,G109&lt;0),1,0)</f>
        <v>1</v>
      </c>
      <c r="J110" s="30" t="n">
        <f aca="false">IF(I110=1,A110-H109,"")</f>
        <v>36</v>
      </c>
      <c r="K110" s="27" t="n">
        <f aca="false">IF(B110="Wednesday",0,C110)</f>
        <v>40982.5</v>
      </c>
      <c r="L110" s="28" t="n">
        <f aca="false">L109+K110/$T$1*100</f>
        <v>95.563046875</v>
      </c>
      <c r="M110" s="28" t="n">
        <f aca="false">MAX(0,MAX($L$2:L110))</f>
        <v>95.563046875</v>
      </c>
      <c r="N110" s="28" t="n">
        <f aca="false">L110-M110</f>
        <v>0</v>
      </c>
      <c r="O110" s="25" t="n">
        <f aca="false">IF(N110&gt;=-0.0000001,A110,O109)</f>
        <v>46133</v>
      </c>
      <c r="P110" s="29" t="n">
        <f aca="false">IF(AND(N110&gt;=-0.0000001,N109&lt;0),1,0)</f>
        <v>1</v>
      </c>
      <c r="Q110" s="30" t="n">
        <f aca="false">IF(P110=1,A110-O109,"")</f>
        <v>36</v>
      </c>
    </row>
    <row r="111" customFormat="false" ht="15" hidden="false" customHeight="false" outlineLevel="0" collapsed="false">
      <c r="A111" s="25" t="n">
        <v>46136</v>
      </c>
      <c r="B111" s="26" t="s">
        <v>83</v>
      </c>
      <c r="C111" s="27" t="n">
        <v>25382.5</v>
      </c>
      <c r="D111" s="28" t="n">
        <f aca="false">C111/$T$1*100</f>
        <v>7.93203125</v>
      </c>
      <c r="E111" s="28" t="n">
        <f aca="false">E110+D111</f>
        <v>82.32355625</v>
      </c>
      <c r="F111" s="28" t="n">
        <f aca="false">MAX(0,MAX($E$2:E111))</f>
        <v>82.32355625</v>
      </c>
      <c r="G111" s="28" t="n">
        <f aca="false">E111-F111</f>
        <v>0</v>
      </c>
      <c r="H111" s="25" t="n">
        <f aca="false">IF(G111&gt;=-0.0000001,A111,H110)</f>
        <v>46136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25382.5</v>
      </c>
      <c r="L111" s="28" t="n">
        <f aca="false">L110+K111/$T$1*100</f>
        <v>103.495078125</v>
      </c>
      <c r="M111" s="28" t="n">
        <f aca="false">MAX(0,MAX($L$2:L111))</f>
        <v>103.495078125</v>
      </c>
      <c r="N111" s="28" t="n">
        <f aca="false">L111-M111</f>
        <v>0</v>
      </c>
      <c r="O111" s="25" t="n">
        <f aca="false">IF(N111&gt;=-0.0000001,A111,O110)</f>
        <v>46136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46140</v>
      </c>
      <c r="B112" s="26" t="s">
        <v>80</v>
      </c>
      <c r="C112" s="27" t="n">
        <v>25064</v>
      </c>
      <c r="D112" s="28" t="n">
        <f aca="false">C112/$T$1*100</f>
        <v>7.8325</v>
      </c>
      <c r="E112" s="28" t="n">
        <f aca="false">E111+D112</f>
        <v>90.15605625</v>
      </c>
      <c r="F112" s="28" t="n">
        <f aca="false">MAX(0,MAX($E$2:E112))</f>
        <v>90.15605625</v>
      </c>
      <c r="G112" s="28" t="n">
        <f aca="false">E112-F112</f>
        <v>0</v>
      </c>
      <c r="H112" s="25" t="n">
        <f aca="false">IF(G112&gt;=-0.0000001,A112,H111)</f>
        <v>46140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25064</v>
      </c>
      <c r="L112" s="28" t="n">
        <f aca="false">L111+K112/$T$1*100</f>
        <v>111.327578125</v>
      </c>
      <c r="M112" s="28" t="n">
        <f aca="false">MAX(0,MAX($L$2:L112))</f>
        <v>111.327578125</v>
      </c>
      <c r="N112" s="28" t="n">
        <f aca="false">L112-M112</f>
        <v>0</v>
      </c>
      <c r="O112" s="25" t="n">
        <f aca="false">IF(N112&gt;=-0.0000001,A112,O111)</f>
        <v>46140</v>
      </c>
      <c r="P112" s="29" t="n">
        <f aca="false">IF(AND(N112&gt;=-0.0000001,N111&lt;0),1,0)</f>
        <v>0</v>
      </c>
      <c r="Q112" s="30" t="str">
        <f aca="false">IF(P112=1,A112-O111,"")</f>
        <v/>
      </c>
    </row>
    <row r="113" customFormat="false" ht="15" hidden="false" customHeight="false" outlineLevel="0" collapsed="false">
      <c r="A113" s="25" t="n">
        <v>46142</v>
      </c>
      <c r="B113" s="26" t="s">
        <v>82</v>
      </c>
      <c r="C113" s="27" t="n">
        <v>-14121.25</v>
      </c>
      <c r="D113" s="28" t="n">
        <f aca="false">C113/$T$1*100</f>
        <v>-4.412890625</v>
      </c>
      <c r="E113" s="28" t="n">
        <f aca="false">E112+D113</f>
        <v>85.743165625</v>
      </c>
      <c r="F113" s="28" t="n">
        <f aca="false">MAX(0,MAX($E$2:E113))</f>
        <v>90.15605625</v>
      </c>
      <c r="G113" s="28" t="n">
        <f aca="false">E113-F113</f>
        <v>-4.412890625</v>
      </c>
      <c r="H113" s="25" t="n">
        <f aca="false">IF(G113&gt;=-0.0000001,A113,H112)</f>
        <v>46140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-14121.25</v>
      </c>
      <c r="L113" s="28" t="n">
        <f aca="false">L112+K113/$T$1*100</f>
        <v>106.9146875</v>
      </c>
      <c r="M113" s="28" t="n">
        <f aca="false">MAX(0,MAX($L$2:L113))</f>
        <v>111.327578125</v>
      </c>
      <c r="N113" s="28" t="n">
        <f aca="false">L113-M113</f>
        <v>-4.412890625</v>
      </c>
      <c r="O113" s="25" t="n">
        <f aca="false">IF(N113&gt;=-0.0000001,A113,O112)</f>
        <v>46140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46147</v>
      </c>
      <c r="B114" s="26" t="s">
        <v>80</v>
      </c>
      <c r="C114" s="27" t="n">
        <v>23627.5</v>
      </c>
      <c r="D114" s="28" t="n">
        <f aca="false">C114/$T$1*100</f>
        <v>7.38359375</v>
      </c>
      <c r="E114" s="28" t="n">
        <f aca="false">E113+D114</f>
        <v>93.126759375</v>
      </c>
      <c r="F114" s="28" t="n">
        <f aca="false">MAX(0,MAX($E$2:E114))</f>
        <v>93.126759375</v>
      </c>
      <c r="G114" s="28" t="n">
        <f aca="false">E114-F114</f>
        <v>0</v>
      </c>
      <c r="H114" s="25" t="n">
        <f aca="false">IF(G114&gt;=-0.0000001,A114,H113)</f>
        <v>46147</v>
      </c>
      <c r="I114" s="29" t="n">
        <f aca="false">IF(AND(G114&gt;=-0.0000001,G113&lt;0),1,0)</f>
        <v>1</v>
      </c>
      <c r="J114" s="30" t="n">
        <f aca="false">IF(I114=1,A114-H113,"")</f>
        <v>7</v>
      </c>
      <c r="K114" s="27" t="n">
        <f aca="false">IF(B114="Wednesday",0,C114)</f>
        <v>23627.5</v>
      </c>
      <c r="L114" s="28" t="n">
        <f aca="false">L113+K114/$T$1*100</f>
        <v>114.29828125</v>
      </c>
      <c r="M114" s="28" t="n">
        <f aca="false">MAX(0,MAX($L$2:L114))</f>
        <v>114.29828125</v>
      </c>
      <c r="N114" s="28" t="n">
        <f aca="false">L114-M114</f>
        <v>0</v>
      </c>
      <c r="O114" s="25" t="n">
        <f aca="false">IF(N114&gt;=-0.0000001,A114,O113)</f>
        <v>46147</v>
      </c>
      <c r="P114" s="29" t="n">
        <f aca="false">IF(AND(N114&gt;=-0.0000001,N113&lt;0),1,0)</f>
        <v>1</v>
      </c>
      <c r="Q114" s="30" t="n">
        <f aca="false">IF(P114=1,A114-O113,"")</f>
        <v>7</v>
      </c>
    </row>
    <row r="115" customFormat="false" ht="15" hidden="false" customHeight="false" outlineLevel="0" collapsed="false">
      <c r="A115" s="25" t="n">
        <v>46150</v>
      </c>
      <c r="B115" s="26" t="s">
        <v>83</v>
      </c>
      <c r="C115" s="27" t="n">
        <v>-19158.75</v>
      </c>
      <c r="D115" s="28" t="n">
        <f aca="false">C115/$T$1*100</f>
        <v>-5.987109375</v>
      </c>
      <c r="E115" s="28" t="n">
        <f aca="false">E114+D115</f>
        <v>87.13965</v>
      </c>
      <c r="F115" s="28" t="n">
        <f aca="false">MAX(0,MAX($E$2:E115))</f>
        <v>93.126759375</v>
      </c>
      <c r="G115" s="28" t="n">
        <f aca="false">E115-F115</f>
        <v>-5.987109375</v>
      </c>
      <c r="H115" s="25" t="n">
        <f aca="false">IF(G115&gt;=-0.0000001,A115,H114)</f>
        <v>46147</v>
      </c>
      <c r="I115" s="29" t="n">
        <f aca="false">IF(AND(G115&gt;=-0.0000001,G114&lt;0),1,0)</f>
        <v>0</v>
      </c>
      <c r="J115" s="30" t="str">
        <f aca="false">IF(I115=1,A115-H114,"")</f>
        <v/>
      </c>
      <c r="K115" s="27" t="n">
        <f aca="false">IF(B115="Wednesday",0,C115)</f>
        <v>-19158.75</v>
      </c>
      <c r="L115" s="28" t="n">
        <f aca="false">L114+K115/$T$1*100</f>
        <v>108.311171875</v>
      </c>
      <c r="M115" s="28" t="n">
        <f aca="false">MAX(0,MAX($L$2:L115))</f>
        <v>114.29828125</v>
      </c>
      <c r="N115" s="28" t="n">
        <f aca="false">L115-M115</f>
        <v>-5.987109375</v>
      </c>
      <c r="O115" s="25" t="n">
        <f aca="false">IF(N115&gt;=-0.0000001,A115,O114)</f>
        <v>46147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46154</v>
      </c>
      <c r="B116" s="26" t="s">
        <v>80</v>
      </c>
      <c r="C116" s="27" t="n">
        <v>37748.75</v>
      </c>
      <c r="D116" s="28" t="n">
        <f aca="false">C116/$T$1*100</f>
        <v>11.796484375</v>
      </c>
      <c r="E116" s="28" t="n">
        <f aca="false">E115+D116</f>
        <v>98.936134375</v>
      </c>
      <c r="F116" s="28" t="n">
        <f aca="false">MAX(0,MAX($E$2:E116))</f>
        <v>98.936134375</v>
      </c>
      <c r="G116" s="28" t="n">
        <f aca="false">E116-F116</f>
        <v>0</v>
      </c>
      <c r="H116" s="25" t="n">
        <f aca="false">IF(G116&gt;=-0.0000001,A116,H115)</f>
        <v>46154</v>
      </c>
      <c r="I116" s="29" t="n">
        <f aca="false">IF(AND(G116&gt;=-0.0000001,G115&lt;0),1,0)</f>
        <v>1</v>
      </c>
      <c r="J116" s="30" t="n">
        <f aca="false">IF(I116=1,A116-H115,"")</f>
        <v>7</v>
      </c>
      <c r="K116" s="27" t="n">
        <f aca="false">IF(B116="Wednesday",0,C116)</f>
        <v>37748.75</v>
      </c>
      <c r="L116" s="28" t="n">
        <f aca="false">L115+K116/$T$1*100</f>
        <v>120.10765625</v>
      </c>
      <c r="M116" s="28" t="n">
        <f aca="false">MAX(0,MAX($L$2:L116))</f>
        <v>120.10765625</v>
      </c>
      <c r="N116" s="28" t="n">
        <f aca="false">L116-M116</f>
        <v>0</v>
      </c>
      <c r="O116" s="25" t="n">
        <f aca="false">IF(N116&gt;=-0.0000001,A116,O115)</f>
        <v>46154</v>
      </c>
      <c r="P116" s="29" t="n">
        <f aca="false">IF(AND(N116&gt;=-0.0000001,N115&lt;0),1,0)</f>
        <v>1</v>
      </c>
      <c r="Q116" s="30" t="n">
        <f aca="false">IF(P116=1,A116-O115,"")</f>
        <v>7</v>
      </c>
    </row>
    <row r="117" customFormat="false" ht="15" hidden="false" customHeight="false" outlineLevel="0" collapsed="false">
      <c r="A117" s="25" t="n">
        <v>46156</v>
      </c>
      <c r="B117" s="26" t="s">
        <v>82</v>
      </c>
      <c r="C117" s="27" t="n">
        <v>19110</v>
      </c>
      <c r="D117" s="28" t="n">
        <f aca="false">C117/$T$1*100</f>
        <v>5.971875</v>
      </c>
      <c r="E117" s="28" t="n">
        <f aca="false">E116+D117</f>
        <v>104.908009375</v>
      </c>
      <c r="F117" s="28" t="n">
        <f aca="false">MAX(0,MAX($E$2:E117))</f>
        <v>104.908009375</v>
      </c>
      <c r="G117" s="28" t="n">
        <f aca="false">E117-F117</f>
        <v>0</v>
      </c>
      <c r="H117" s="25" t="n">
        <f aca="false">IF(G117&gt;=-0.0000001,A117,H116)</f>
        <v>46156</v>
      </c>
      <c r="I117" s="29" t="n">
        <f aca="false">IF(AND(G117&gt;=-0.0000001,G116&lt;0),1,0)</f>
        <v>0</v>
      </c>
      <c r="J117" s="30" t="str">
        <f aca="false">IF(I117=1,A117-H116,"")</f>
        <v/>
      </c>
      <c r="K117" s="27" t="n">
        <f aca="false">IF(B117="Wednesday",0,C117)</f>
        <v>19110</v>
      </c>
      <c r="L117" s="28" t="n">
        <f aca="false">L116+K117/$T$1*100</f>
        <v>126.07953125</v>
      </c>
      <c r="M117" s="28" t="n">
        <f aca="false">MAX(0,MAX($L$2:L117))</f>
        <v>126.07953125</v>
      </c>
      <c r="N117" s="28" t="n">
        <f aca="false">L117-M117</f>
        <v>0</v>
      </c>
      <c r="O117" s="25" t="n">
        <f aca="false">IF(N117&gt;=-0.0000001,A117,O116)</f>
        <v>46156</v>
      </c>
      <c r="P117" s="29" t="n">
        <f aca="false">IF(AND(N117&gt;=-0.0000001,N116&lt;0),1,0)</f>
        <v>0</v>
      </c>
      <c r="Q117" s="30" t="str">
        <f aca="false">IF(P117=1,A117-O116,"")</f>
        <v/>
      </c>
    </row>
    <row r="118" customFormat="false" ht="15" hidden="false" customHeight="false" outlineLevel="0" collapsed="false">
      <c r="A118" s="25" t="n">
        <v>46161</v>
      </c>
      <c r="B118" s="26" t="s">
        <v>80</v>
      </c>
      <c r="C118" s="27" t="n">
        <v>27261</v>
      </c>
      <c r="D118" s="28" t="n">
        <f aca="false">C118/$T$1*100</f>
        <v>8.5190625</v>
      </c>
      <c r="E118" s="28" t="n">
        <f aca="false">E117+D118</f>
        <v>113.427071875</v>
      </c>
      <c r="F118" s="28" t="n">
        <f aca="false">MAX(0,MAX($E$2:E118))</f>
        <v>113.427071875</v>
      </c>
      <c r="G118" s="28" t="n">
        <f aca="false">E118-F118</f>
        <v>0</v>
      </c>
      <c r="H118" s="25" t="n">
        <f aca="false">IF(G118&gt;=-0.0000001,A118,H117)</f>
        <v>46161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27261</v>
      </c>
      <c r="L118" s="28" t="n">
        <f aca="false">L117+K118/$T$1*100</f>
        <v>134.59859375</v>
      </c>
      <c r="M118" s="28" t="n">
        <f aca="false">MAX(0,MAX($L$2:L118))</f>
        <v>134.59859375</v>
      </c>
      <c r="N118" s="28" t="n">
        <f aca="false">L118-M118</f>
        <v>0</v>
      </c>
      <c r="O118" s="25" t="n">
        <f aca="false">IF(N118&gt;=-0.0000001,A118,O117)</f>
        <v>46161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46164</v>
      </c>
      <c r="B119" s="26" t="s">
        <v>83</v>
      </c>
      <c r="C119" s="27" t="n">
        <v>-14153.75</v>
      </c>
      <c r="D119" s="28" t="n">
        <f aca="false">C119/$T$1*100</f>
        <v>-4.423046875</v>
      </c>
      <c r="E119" s="28" t="n">
        <f aca="false">E118+D119</f>
        <v>109.004025</v>
      </c>
      <c r="F119" s="28" t="n">
        <f aca="false">MAX(0,MAX($E$2:E119))</f>
        <v>113.427071875</v>
      </c>
      <c r="G119" s="28" t="n">
        <f aca="false">E119-F119</f>
        <v>-4.423046875</v>
      </c>
      <c r="H119" s="25" t="n">
        <f aca="false">IF(G119&gt;=-0.0000001,A119,H118)</f>
        <v>46161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-14153.75</v>
      </c>
      <c r="L119" s="28" t="n">
        <f aca="false">L118+K119/$T$1*100</f>
        <v>130.175546875</v>
      </c>
      <c r="M119" s="28" t="n">
        <f aca="false">MAX(0,MAX($L$2:L119))</f>
        <v>134.59859375</v>
      </c>
      <c r="N119" s="28" t="n">
        <f aca="false">L119-M119</f>
        <v>-4.42304687500001</v>
      </c>
      <c r="O119" s="25" t="n">
        <f aca="false">IF(N119&gt;=-0.0000001,A119,O118)</f>
        <v>46161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46167</v>
      </c>
      <c r="B120" s="26" t="s">
        <v>79</v>
      </c>
      <c r="C120" s="27" t="n">
        <v>-19987.5</v>
      </c>
      <c r="D120" s="28" t="n">
        <f aca="false">C120/$T$1*100</f>
        <v>-6.24609375</v>
      </c>
      <c r="E120" s="28" t="n">
        <f aca="false">E119+D120</f>
        <v>102.75793125</v>
      </c>
      <c r="F120" s="28" t="n">
        <f aca="false">MAX(0,MAX($E$2:E120))</f>
        <v>113.427071875</v>
      </c>
      <c r="G120" s="28" t="n">
        <f aca="false">E120-F120</f>
        <v>-10.669140625</v>
      </c>
      <c r="H120" s="25" t="n">
        <f aca="false">IF(G120&gt;=-0.0000001,A120,H119)</f>
        <v>46161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-19987.5</v>
      </c>
      <c r="L120" s="28" t="n">
        <f aca="false">L119+K120/$T$1*100</f>
        <v>123.929453125</v>
      </c>
      <c r="M120" s="28" t="n">
        <f aca="false">MAX(0,MAX($L$2:L120))</f>
        <v>134.59859375</v>
      </c>
      <c r="N120" s="28" t="n">
        <f aca="false">L120-M120</f>
        <v>-10.669140625</v>
      </c>
      <c r="O120" s="25" t="n">
        <f aca="false">IF(N120&gt;=-0.0000001,A120,O119)</f>
        <v>46161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46168</v>
      </c>
      <c r="B121" s="26" t="s">
        <v>80</v>
      </c>
      <c r="C121" s="27" t="n">
        <v>21164</v>
      </c>
      <c r="D121" s="28" t="n">
        <f aca="false">C121/$T$1*100</f>
        <v>6.61375</v>
      </c>
      <c r="E121" s="28" t="n">
        <f aca="false">E120+D121</f>
        <v>109.37168125</v>
      </c>
      <c r="F121" s="28" t="n">
        <f aca="false">MAX(0,MAX($E$2:E121))</f>
        <v>113.427071875</v>
      </c>
      <c r="G121" s="28" t="n">
        <f aca="false">E121-F121</f>
        <v>-4.055390625</v>
      </c>
      <c r="H121" s="25" t="n">
        <f aca="false">IF(G121&gt;=-0.0000001,A121,H120)</f>
        <v>46161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21164</v>
      </c>
      <c r="L121" s="28" t="n">
        <f aca="false">L120+K121/$T$1*100</f>
        <v>130.543203125</v>
      </c>
      <c r="M121" s="28" t="n">
        <f aca="false">MAX(0,MAX($L$2:L121))</f>
        <v>134.59859375</v>
      </c>
      <c r="N121" s="28" t="n">
        <f aca="false">L121-M121</f>
        <v>-4.055390625</v>
      </c>
      <c r="O121" s="25" t="n">
        <f aca="false">IF(N121&gt;=-0.0000001,A121,O120)</f>
        <v>46161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46171</v>
      </c>
      <c r="B122" s="26" t="s">
        <v>83</v>
      </c>
      <c r="C122" s="27" t="n">
        <v>-13861.25</v>
      </c>
      <c r="D122" s="28" t="n">
        <f aca="false">C122/$T$1*100</f>
        <v>-4.331640625</v>
      </c>
      <c r="E122" s="28" t="n">
        <f aca="false">E121+D122</f>
        <v>105.040040625</v>
      </c>
      <c r="F122" s="28" t="n">
        <f aca="false">MAX(0,MAX($E$2:E122))</f>
        <v>113.427071875</v>
      </c>
      <c r="G122" s="28" t="n">
        <f aca="false">E122-F122</f>
        <v>-8.38703125000001</v>
      </c>
      <c r="H122" s="25" t="n">
        <f aca="false">IF(G122&gt;=-0.0000001,A122,H121)</f>
        <v>46161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-13861.25</v>
      </c>
      <c r="L122" s="28" t="n">
        <f aca="false">L121+K122/$T$1*100</f>
        <v>126.2115625</v>
      </c>
      <c r="M122" s="28" t="n">
        <f aca="false">MAX(0,MAX($L$2:L122))</f>
        <v>134.59859375</v>
      </c>
      <c r="N122" s="28" t="n">
        <f aca="false">L122-M122</f>
        <v>-8.38703125000001</v>
      </c>
      <c r="O122" s="25" t="n">
        <f aca="false">IF(N122&gt;=-0.0000001,A122,O121)</f>
        <v>46161</v>
      </c>
      <c r="P122" s="29" t="n">
        <f aca="false">IF(AND(N122&gt;=-0.0000001,N121&lt;0),1,0)</f>
        <v>0</v>
      </c>
      <c r="Q122" s="30" t="str">
        <f aca="false">IF(P122=1,A122-O121,"")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500000</v>
      </c>
    </row>
    <row r="2" customFormat="false" ht="15" hidden="false" customHeight="false" outlineLevel="0" collapsed="false">
      <c r="A2" s="25" t="n">
        <v>45810</v>
      </c>
      <c r="B2" s="26" t="s">
        <v>79</v>
      </c>
      <c r="C2" s="27" t="n">
        <v>-7485</v>
      </c>
      <c r="D2" s="28" t="n">
        <f aca="false">C2/$T$1*100</f>
        <v>-1.497</v>
      </c>
      <c r="E2" s="28" t="n">
        <f aca="false">D2</f>
        <v>-1.497</v>
      </c>
      <c r="F2" s="28" t="n">
        <f aca="false">MAX(0,MAX($E$2:E2))</f>
        <v>0</v>
      </c>
      <c r="G2" s="28" t="n">
        <f aca="false">E2-F2</f>
        <v>-1.497</v>
      </c>
      <c r="H2" s="25" t="n">
        <f aca="false">IF(G2&gt;=-0.0000001,A2,A2)</f>
        <v>45810</v>
      </c>
      <c r="I2" s="29" t="n">
        <v>0</v>
      </c>
      <c r="J2" s="30"/>
      <c r="K2" s="27" t="n">
        <f aca="false">IF(B2="Wednesday",0,C2)</f>
        <v>-7485</v>
      </c>
      <c r="L2" s="28" t="n">
        <f aca="false">K2/$T$1*100</f>
        <v>-1.497</v>
      </c>
      <c r="M2" s="28" t="n">
        <f aca="false">MAX(0,MAX($L$2:L2))</f>
        <v>0</v>
      </c>
      <c r="N2" s="28" t="n">
        <f aca="false">L2-M2</f>
        <v>-1.497</v>
      </c>
      <c r="O2" s="25" t="n">
        <f aca="false">IF(N2&gt;=-0.0000001,A2,A2)</f>
        <v>45810</v>
      </c>
      <c r="P2" s="29" t="n">
        <v>0</v>
      </c>
      <c r="Q2" s="30"/>
      <c r="S2" s="23" t="s">
        <v>108</v>
      </c>
      <c r="T2" s="31" t="n">
        <f aca="false">MAX(A2:A236)</f>
        <v>46174</v>
      </c>
    </row>
    <row r="3" customFormat="false" ht="15" hidden="false" customHeight="false" outlineLevel="0" collapsed="false">
      <c r="A3" s="25" t="n">
        <v>45811</v>
      </c>
      <c r="B3" s="26" t="s">
        <v>80</v>
      </c>
      <c r="C3" s="27" t="n">
        <v>12495</v>
      </c>
      <c r="D3" s="28" t="n">
        <f aca="false">C3/$T$1*100</f>
        <v>2.499</v>
      </c>
      <c r="E3" s="28" t="n">
        <f aca="false">E2+D3</f>
        <v>1.002</v>
      </c>
      <c r="F3" s="28" t="n">
        <f aca="false">MAX(0,MAX($E$2:E3))</f>
        <v>1.002</v>
      </c>
      <c r="G3" s="28" t="n">
        <f aca="false">E3-F3</f>
        <v>0</v>
      </c>
      <c r="H3" s="25" t="n">
        <f aca="false">IF(G3&gt;=-0.0000001,A3,H2)</f>
        <v>45811</v>
      </c>
      <c r="I3" s="29" t="n">
        <f aca="false">IF(AND(G3&gt;=-0.0000001,G2&lt;0),1,0)</f>
        <v>1</v>
      </c>
      <c r="J3" s="30" t="n">
        <f aca="false">IF(I3=1,A3-H2,"")</f>
        <v>1</v>
      </c>
      <c r="K3" s="27" t="n">
        <f aca="false">IF(B3="Wednesday",0,C3)</f>
        <v>12495</v>
      </c>
      <c r="L3" s="28" t="n">
        <f aca="false">L2+K3/$T$1*100</f>
        <v>1.002</v>
      </c>
      <c r="M3" s="28" t="n">
        <f aca="false">MAX(0,MAX($L$2:L3))</f>
        <v>1.002</v>
      </c>
      <c r="N3" s="28" t="n">
        <f aca="false">L3-M3</f>
        <v>0</v>
      </c>
      <c r="O3" s="25" t="n">
        <f aca="false">IF(N3&gt;=-0.0000001,A3,O2)</f>
        <v>45811</v>
      </c>
      <c r="P3" s="29" t="n">
        <f aca="false">IF(AND(N3&gt;=-0.0000001,N2&lt;0),1,0)</f>
        <v>1</v>
      </c>
      <c r="Q3" s="30" t="n">
        <f aca="false">IF(P3=1,A3-O2,"")</f>
        <v>1</v>
      </c>
      <c r="S3" s="23" t="s">
        <v>109</v>
      </c>
      <c r="T3" s="31" t="n">
        <f aca="false">EDATE($T$2,-1)</f>
        <v>46143</v>
      </c>
    </row>
    <row r="4" customFormat="false" ht="15" hidden="false" customHeight="false" outlineLevel="0" collapsed="false">
      <c r="A4" s="25" t="n">
        <v>45812</v>
      </c>
      <c r="B4" s="26" t="s">
        <v>81</v>
      </c>
      <c r="C4" s="27" t="n">
        <v>-9075</v>
      </c>
      <c r="D4" s="28" t="n">
        <f aca="false">C4/$T$1*100</f>
        <v>-1.815</v>
      </c>
      <c r="E4" s="28" t="n">
        <f aca="false">E3+D4</f>
        <v>-0.813</v>
      </c>
      <c r="F4" s="28" t="n">
        <f aca="false">MAX(0,MAX($E$2:E4))</f>
        <v>1.002</v>
      </c>
      <c r="G4" s="28" t="n">
        <f aca="false">E4-F4</f>
        <v>-1.815</v>
      </c>
      <c r="H4" s="25" t="n">
        <f aca="false">IF(G4&gt;=-0.0000001,A4,H3)</f>
        <v>45811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0</v>
      </c>
      <c r="L4" s="28" t="n">
        <f aca="false">L3+K4/$T$1*100</f>
        <v>1.002</v>
      </c>
      <c r="M4" s="28" t="n">
        <f aca="false">MAX(0,MAX($L$2:L4))</f>
        <v>1.002</v>
      </c>
      <c r="N4" s="28" t="n">
        <f aca="false">L4-M4</f>
        <v>0</v>
      </c>
      <c r="O4" s="25" t="n">
        <f aca="false">IF(N4&gt;=-0.0000001,A4,O3)</f>
        <v>45812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46082</v>
      </c>
    </row>
    <row r="5" customFormat="false" ht="15" hidden="false" customHeight="false" outlineLevel="0" collapsed="false">
      <c r="A5" s="25" t="n">
        <v>45813</v>
      </c>
      <c r="B5" s="26" t="s">
        <v>82</v>
      </c>
      <c r="C5" s="27" t="n">
        <v>-53497.5</v>
      </c>
      <c r="D5" s="28" t="n">
        <f aca="false">C5/$T$1*100</f>
        <v>-10.6995</v>
      </c>
      <c r="E5" s="28" t="n">
        <f aca="false">E4+D5</f>
        <v>-11.5125</v>
      </c>
      <c r="F5" s="28" t="n">
        <f aca="false">MAX(0,MAX($E$2:E5))</f>
        <v>1.002</v>
      </c>
      <c r="G5" s="28" t="n">
        <f aca="false">E5-F5</f>
        <v>-12.5145</v>
      </c>
      <c r="H5" s="25" t="n">
        <f aca="false">IF(G5&gt;=-0.0000001,A5,H4)</f>
        <v>45811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-53497.5</v>
      </c>
      <c r="L5" s="28" t="n">
        <f aca="false">L4+K5/$T$1*100</f>
        <v>-9.6975</v>
      </c>
      <c r="M5" s="28" t="n">
        <f aca="false">MAX(0,MAX($L$2:L5))</f>
        <v>1.002</v>
      </c>
      <c r="N5" s="28" t="n">
        <f aca="false">L5-M5</f>
        <v>-10.6995</v>
      </c>
      <c r="O5" s="25" t="n">
        <f aca="false">IF(N5&gt;=-0.0000001,A5,O4)</f>
        <v>45812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45992</v>
      </c>
    </row>
    <row r="6" customFormat="false" ht="15" hidden="false" customHeight="false" outlineLevel="0" collapsed="false">
      <c r="A6" s="25" t="n">
        <v>45814</v>
      </c>
      <c r="B6" s="26" t="s">
        <v>83</v>
      </c>
      <c r="C6" s="27" t="n">
        <v>50325</v>
      </c>
      <c r="D6" s="28" t="n">
        <f aca="false">C6/$T$1*100</f>
        <v>10.065</v>
      </c>
      <c r="E6" s="28" t="n">
        <f aca="false">E5+D6</f>
        <v>-1.4475</v>
      </c>
      <c r="F6" s="28" t="n">
        <f aca="false">MAX(0,MAX($E$2:E6))</f>
        <v>1.002</v>
      </c>
      <c r="G6" s="28" t="n">
        <f aca="false">E6-F6</f>
        <v>-2.4495</v>
      </c>
      <c r="H6" s="25" t="n">
        <f aca="false">IF(G6&gt;=-0.0000001,A6,H5)</f>
        <v>45811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50325</v>
      </c>
      <c r="L6" s="28" t="n">
        <f aca="false">L5+K6/$T$1*100</f>
        <v>0.367499999999998</v>
      </c>
      <c r="M6" s="28" t="n">
        <f aca="false">MAX(0,MAX($L$2:L6))</f>
        <v>1.002</v>
      </c>
      <c r="N6" s="28" t="n">
        <f aca="false">L6-M6</f>
        <v>-0.634500000000002</v>
      </c>
      <c r="O6" s="25" t="n">
        <f aca="false">IF(N6&gt;=-0.0000001,A6,O5)</f>
        <v>45812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45809</v>
      </c>
    </row>
    <row r="7" customFormat="false" ht="15" hidden="false" customHeight="false" outlineLevel="0" collapsed="false">
      <c r="A7" s="25" t="n">
        <v>45817</v>
      </c>
      <c r="B7" s="26" t="s">
        <v>79</v>
      </c>
      <c r="C7" s="27" t="n">
        <v>-4860</v>
      </c>
      <c r="D7" s="28" t="n">
        <f aca="false">C7/$T$1*100</f>
        <v>-0.972</v>
      </c>
      <c r="E7" s="28" t="n">
        <f aca="false">E6+D7</f>
        <v>-2.4195</v>
      </c>
      <c r="F7" s="28" t="n">
        <f aca="false">MAX(0,MAX($E$2:E7))</f>
        <v>1.002</v>
      </c>
      <c r="G7" s="28" t="n">
        <f aca="false">E7-F7</f>
        <v>-3.4215</v>
      </c>
      <c r="H7" s="25" t="n">
        <f aca="false">IF(G7&gt;=-0.0000001,A7,H6)</f>
        <v>45811</v>
      </c>
      <c r="I7" s="29" t="n">
        <f aca="false">IF(AND(G7&gt;=-0.0000001,G6&lt;0),1,0)</f>
        <v>0</v>
      </c>
      <c r="J7" s="30" t="str">
        <f aca="false">IF(I7=1,A7-H6,"")</f>
        <v/>
      </c>
      <c r="K7" s="27" t="n">
        <f aca="false">IF(B7="Wednesday",0,C7)</f>
        <v>-4860</v>
      </c>
      <c r="L7" s="28" t="n">
        <f aca="false">L6+K7/$T$1*100</f>
        <v>-0.604500000000002</v>
      </c>
      <c r="M7" s="28" t="n">
        <f aca="false">MAX(0,MAX($L$2:L7))</f>
        <v>1.002</v>
      </c>
      <c r="N7" s="28" t="n">
        <f aca="false">L7-M7</f>
        <v>-1.6065</v>
      </c>
      <c r="O7" s="25" t="n">
        <f aca="false">IF(N7&gt;=-0.0000001,A7,O6)</f>
        <v>45812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IF(G236&lt;-0.0000001,$T$2-H236,0)</f>
        <v>6</v>
      </c>
    </row>
    <row r="8" customFormat="false" ht="15" hidden="false" customHeight="false" outlineLevel="0" collapsed="false">
      <c r="A8" s="25" t="n">
        <v>45818</v>
      </c>
      <c r="B8" s="26" t="s">
        <v>80</v>
      </c>
      <c r="C8" s="27" t="n">
        <v>14917.5</v>
      </c>
      <c r="D8" s="28" t="n">
        <f aca="false">C8/$T$1*100</f>
        <v>2.9835</v>
      </c>
      <c r="E8" s="28" t="n">
        <f aca="false">E7+D8</f>
        <v>0.563999999999999</v>
      </c>
      <c r="F8" s="28" t="n">
        <f aca="false">MAX(0,MAX($E$2:E8))</f>
        <v>1.002</v>
      </c>
      <c r="G8" s="28" t="n">
        <f aca="false">E8-F8</f>
        <v>-0.438000000000001</v>
      </c>
      <c r="H8" s="25" t="n">
        <f aca="false">IF(G8&gt;=-0.0000001,A8,H7)</f>
        <v>45811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14917.5</v>
      </c>
      <c r="L8" s="28" t="n">
        <f aca="false">L7+K8/$T$1*100</f>
        <v>2.379</v>
      </c>
      <c r="M8" s="28" t="n">
        <f aca="false">MAX(0,MAX($L$2:L8))</f>
        <v>2.379</v>
      </c>
      <c r="N8" s="28" t="n">
        <f aca="false">L8-M8</f>
        <v>0</v>
      </c>
      <c r="O8" s="25" t="n">
        <f aca="false">IF(N8&gt;=-0.0000001,A8,O7)</f>
        <v>45818</v>
      </c>
      <c r="P8" s="29" t="n">
        <f aca="false">IF(AND(N8&gt;=-0.0000001,N7&lt;0),1,0)</f>
        <v>1</v>
      </c>
      <c r="Q8" s="30" t="n">
        <f aca="false">IF(P8=1,A8-O7,"")</f>
        <v>6</v>
      </c>
      <c r="S8" s="23" t="s">
        <v>114</v>
      </c>
      <c r="T8" s="32" t="n">
        <f aca="false">IF(N236&lt;-0.0000001,$T$2-O236,0)</f>
        <v>5</v>
      </c>
    </row>
    <row r="9" customFormat="false" ht="15" hidden="false" customHeight="false" outlineLevel="0" collapsed="false">
      <c r="A9" s="25" t="n">
        <v>45819</v>
      </c>
      <c r="B9" s="26" t="s">
        <v>81</v>
      </c>
      <c r="C9" s="27" t="n">
        <v>7200</v>
      </c>
      <c r="D9" s="28" t="n">
        <f aca="false">C9/$T$1*100</f>
        <v>1.44</v>
      </c>
      <c r="E9" s="28" t="n">
        <f aca="false">E8+D9</f>
        <v>2.004</v>
      </c>
      <c r="F9" s="28" t="n">
        <f aca="false">MAX(0,MAX($E$2:E9))</f>
        <v>2.004</v>
      </c>
      <c r="G9" s="28" t="n">
        <f aca="false">E9-F9</f>
        <v>0</v>
      </c>
      <c r="H9" s="25" t="n">
        <f aca="false">IF(G9&gt;=-0.0000001,A9,H8)</f>
        <v>45819</v>
      </c>
      <c r="I9" s="29" t="n">
        <f aca="false">IF(AND(G9&gt;=-0.0000001,G8&lt;0),1,0)</f>
        <v>1</v>
      </c>
      <c r="J9" s="30" t="n">
        <f aca="false">IF(I9=1,A9-H8,"")</f>
        <v>8</v>
      </c>
      <c r="K9" s="27" t="n">
        <f aca="false">IF(B9="Wednesday",0,C9)</f>
        <v>0</v>
      </c>
      <c r="L9" s="28" t="n">
        <f aca="false">L8+K9/$T$1*100</f>
        <v>2.379</v>
      </c>
      <c r="M9" s="28" t="n">
        <f aca="false">MAX(0,MAX($L$2:L9))</f>
        <v>2.379</v>
      </c>
      <c r="N9" s="28" t="n">
        <f aca="false">L9-M9</f>
        <v>0</v>
      </c>
      <c r="O9" s="25" t="n">
        <f aca="false">IF(N9&gt;=-0.0000001,A9,O8)</f>
        <v>45819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MIN(A2:A236)</f>
        <v>45810</v>
      </c>
    </row>
    <row r="10" customFormat="false" ht="15" hidden="false" customHeight="false" outlineLevel="0" collapsed="false">
      <c r="A10" s="25" t="n">
        <v>45820</v>
      </c>
      <c r="B10" s="26" t="s">
        <v>82</v>
      </c>
      <c r="C10" s="27" t="n">
        <v>235800</v>
      </c>
      <c r="D10" s="28" t="n">
        <f aca="false">C10/$T$1*100</f>
        <v>47.16</v>
      </c>
      <c r="E10" s="28" t="n">
        <f aca="false">E9+D10</f>
        <v>49.164</v>
      </c>
      <c r="F10" s="28" t="n">
        <f aca="false">MAX(0,MAX($E$2:E10))</f>
        <v>49.164</v>
      </c>
      <c r="G10" s="28" t="n">
        <f aca="false">E10-F10</f>
        <v>0</v>
      </c>
      <c r="H10" s="25" t="n">
        <f aca="false">IF(G10&gt;=-0.0000001,A10,H9)</f>
        <v>45820</v>
      </c>
      <c r="I10" s="29" t="n">
        <f aca="false">IF(AND(G10&gt;=-0.0000001,G9&lt;0),1,0)</f>
        <v>0</v>
      </c>
      <c r="J10" s="30" t="str">
        <f aca="false">IF(I10=1,A10-H9,"")</f>
        <v/>
      </c>
      <c r="K10" s="27" t="n">
        <f aca="false">IF(B10="Wednesday",0,C10)</f>
        <v>235800</v>
      </c>
      <c r="L10" s="28" t="n">
        <f aca="false">L9+K10/$T$1*100</f>
        <v>49.539</v>
      </c>
      <c r="M10" s="28" t="n">
        <f aca="false">MAX(0,MAX($L$2:L10))</f>
        <v>49.539</v>
      </c>
      <c r="N10" s="28" t="n">
        <f aca="false">L10-M10</f>
        <v>0</v>
      </c>
      <c r="O10" s="25" t="n">
        <f aca="false">IF(N10&gt;=-0.0000001,A10,O9)</f>
        <v>45820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45821</v>
      </c>
      <c r="B11" s="26" t="s">
        <v>83</v>
      </c>
      <c r="C11" s="27" t="n">
        <v>1905</v>
      </c>
      <c r="D11" s="28" t="n">
        <f aca="false">C11/$T$1*100</f>
        <v>0.381</v>
      </c>
      <c r="E11" s="28" t="n">
        <f aca="false">E10+D11</f>
        <v>49.545</v>
      </c>
      <c r="F11" s="28" t="n">
        <f aca="false">MAX(0,MAX($E$2:E11))</f>
        <v>49.545</v>
      </c>
      <c r="G11" s="28" t="n">
        <f aca="false">E11-F11</f>
        <v>0</v>
      </c>
      <c r="H11" s="25" t="n">
        <f aca="false">IF(G11&gt;=-0.0000001,A11,H10)</f>
        <v>45821</v>
      </c>
      <c r="I11" s="29" t="n">
        <f aca="false">IF(AND(G11&gt;=-0.0000001,G10&lt;0),1,0)</f>
        <v>0</v>
      </c>
      <c r="J11" s="30" t="str">
        <f aca="false">IF(I11=1,A11-H10,"")</f>
        <v/>
      </c>
      <c r="K11" s="27" t="n">
        <f aca="false">IF(B11="Wednesday",0,C11)</f>
        <v>1905</v>
      </c>
      <c r="L11" s="28" t="n">
        <f aca="false">L10+K11/$T$1*100</f>
        <v>49.92</v>
      </c>
      <c r="M11" s="28" t="n">
        <f aca="false">MAX(0,MAX($L$2:L11))</f>
        <v>49.92</v>
      </c>
      <c r="N11" s="28" t="n">
        <f aca="false">L11-M11</f>
        <v>0</v>
      </c>
      <c r="O11" s="25" t="n">
        <f aca="false">IF(N11&gt;=-0.0000001,A11,O10)</f>
        <v>45821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45824</v>
      </c>
      <c r="B12" s="26" t="s">
        <v>79</v>
      </c>
      <c r="C12" s="27" t="n">
        <v>-21341.25</v>
      </c>
      <c r="D12" s="28" t="n">
        <f aca="false">C12/$T$1*100</f>
        <v>-4.26825</v>
      </c>
      <c r="E12" s="28" t="n">
        <f aca="false">E11+D12</f>
        <v>45.27675</v>
      </c>
      <c r="F12" s="28" t="n">
        <f aca="false">MAX(0,MAX($E$2:E12))</f>
        <v>49.545</v>
      </c>
      <c r="G12" s="28" t="n">
        <f aca="false">E12-F12</f>
        <v>-4.26825</v>
      </c>
      <c r="H12" s="25" t="n">
        <f aca="false">IF(G12&gt;=-0.0000001,A12,H11)</f>
        <v>45821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-21341.25</v>
      </c>
      <c r="L12" s="28" t="n">
        <f aca="false">L11+K12/$T$1*100</f>
        <v>45.65175</v>
      </c>
      <c r="M12" s="28" t="n">
        <f aca="false">MAX(0,MAX($L$2:L12))</f>
        <v>49.92</v>
      </c>
      <c r="N12" s="28" t="n">
        <f aca="false">L12-M12</f>
        <v>-4.26825</v>
      </c>
      <c r="O12" s="25" t="n">
        <f aca="false">IF(N12&gt;=-0.0000001,A12,O11)</f>
        <v>45821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45825</v>
      </c>
      <c r="B13" s="26" t="s">
        <v>80</v>
      </c>
      <c r="C13" s="27" t="n">
        <v>10935</v>
      </c>
      <c r="D13" s="28" t="n">
        <f aca="false">C13/$T$1*100</f>
        <v>2.187</v>
      </c>
      <c r="E13" s="28" t="n">
        <f aca="false">E12+D13</f>
        <v>47.46375</v>
      </c>
      <c r="F13" s="28" t="n">
        <f aca="false">MAX(0,MAX($E$2:E13))</f>
        <v>49.545</v>
      </c>
      <c r="G13" s="28" t="n">
        <f aca="false">E13-F13</f>
        <v>-2.08125</v>
      </c>
      <c r="H13" s="25" t="n">
        <f aca="false">IF(G13&gt;=-0.0000001,A13,H12)</f>
        <v>45821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10935</v>
      </c>
      <c r="L13" s="28" t="n">
        <f aca="false">L12+K13/$T$1*100</f>
        <v>47.83875</v>
      </c>
      <c r="M13" s="28" t="n">
        <f aca="false">MAX(0,MAX($L$2:L13))</f>
        <v>49.92</v>
      </c>
      <c r="N13" s="28" t="n">
        <f aca="false">L13-M13</f>
        <v>-2.08125</v>
      </c>
      <c r="O13" s="25" t="n">
        <f aca="false">IF(N13&gt;=-0.0000001,A13,O12)</f>
        <v>45821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45826</v>
      </c>
      <c r="B14" s="26" t="s">
        <v>81</v>
      </c>
      <c r="C14" s="27" t="n">
        <v>-27378.75</v>
      </c>
      <c r="D14" s="28" t="n">
        <f aca="false">C14/$T$1*100</f>
        <v>-5.47575</v>
      </c>
      <c r="E14" s="28" t="n">
        <f aca="false">E13+D14</f>
        <v>41.988</v>
      </c>
      <c r="F14" s="28" t="n">
        <f aca="false">MAX(0,MAX($E$2:E14))</f>
        <v>49.545</v>
      </c>
      <c r="G14" s="28" t="n">
        <f aca="false">E14-F14</f>
        <v>-7.557</v>
      </c>
      <c r="H14" s="25" t="n">
        <f aca="false">IF(G14&gt;=-0.0000001,A14,H13)</f>
        <v>45821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0</v>
      </c>
      <c r="L14" s="28" t="n">
        <f aca="false">L13+K14/$T$1*100</f>
        <v>47.83875</v>
      </c>
      <c r="M14" s="28" t="n">
        <f aca="false">MAX(0,MAX($L$2:L14))</f>
        <v>49.92</v>
      </c>
      <c r="N14" s="28" t="n">
        <f aca="false">L14-M14</f>
        <v>-2.08125</v>
      </c>
      <c r="O14" s="25" t="n">
        <f aca="false">IF(N14&gt;=-0.0000001,A14,O13)</f>
        <v>45821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45827</v>
      </c>
      <c r="B15" s="26" t="s">
        <v>82</v>
      </c>
      <c r="C15" s="27" t="n">
        <v>-56092.5</v>
      </c>
      <c r="D15" s="28" t="n">
        <f aca="false">C15/$T$1*100</f>
        <v>-11.2185</v>
      </c>
      <c r="E15" s="28" t="n">
        <f aca="false">E14+D15</f>
        <v>30.7695</v>
      </c>
      <c r="F15" s="28" t="n">
        <f aca="false">MAX(0,MAX($E$2:E15))</f>
        <v>49.545</v>
      </c>
      <c r="G15" s="28" t="n">
        <f aca="false">E15-F15</f>
        <v>-18.7755</v>
      </c>
      <c r="H15" s="25" t="n">
        <f aca="false">IF(G15&gt;=-0.0000001,A15,H14)</f>
        <v>45821</v>
      </c>
      <c r="I15" s="29" t="n">
        <f aca="false">IF(AND(G15&gt;=-0.0000001,G14&lt;0),1,0)</f>
        <v>0</v>
      </c>
      <c r="J15" s="30" t="str">
        <f aca="false">IF(I15=1,A15-H14,"")</f>
        <v/>
      </c>
      <c r="K15" s="27" t="n">
        <f aca="false">IF(B15="Wednesday",0,C15)</f>
        <v>-56092.5</v>
      </c>
      <c r="L15" s="28" t="n">
        <f aca="false">L14+K15/$T$1*100</f>
        <v>36.62025</v>
      </c>
      <c r="M15" s="28" t="n">
        <f aca="false">MAX(0,MAX($L$2:L15))</f>
        <v>49.92</v>
      </c>
      <c r="N15" s="28" t="n">
        <f aca="false">L15-M15</f>
        <v>-13.29975</v>
      </c>
      <c r="O15" s="25" t="n">
        <f aca="false">IF(N15&gt;=-0.0000001,A15,O14)</f>
        <v>45821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45828</v>
      </c>
      <c r="B16" s="26" t="s">
        <v>83</v>
      </c>
      <c r="C16" s="27" t="n">
        <v>-14962.5</v>
      </c>
      <c r="D16" s="28" t="n">
        <f aca="false">C16/$T$1*100</f>
        <v>-2.9925</v>
      </c>
      <c r="E16" s="28" t="n">
        <f aca="false">E15+D16</f>
        <v>27.777</v>
      </c>
      <c r="F16" s="28" t="n">
        <f aca="false">MAX(0,MAX($E$2:E16))</f>
        <v>49.545</v>
      </c>
      <c r="G16" s="28" t="n">
        <f aca="false">E16-F16</f>
        <v>-21.768</v>
      </c>
      <c r="H16" s="25" t="n">
        <f aca="false">IF(G16&gt;=-0.0000001,A16,H15)</f>
        <v>45821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-14962.5</v>
      </c>
      <c r="L16" s="28" t="n">
        <f aca="false">L15+K16/$T$1*100</f>
        <v>33.62775</v>
      </c>
      <c r="M16" s="28" t="n">
        <f aca="false">MAX(0,MAX($L$2:L16))</f>
        <v>49.92</v>
      </c>
      <c r="N16" s="28" t="n">
        <f aca="false">L16-M16</f>
        <v>-16.29225</v>
      </c>
      <c r="O16" s="25" t="n">
        <f aca="false">IF(N16&gt;=-0.0000001,A16,O15)</f>
        <v>45821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45831</v>
      </c>
      <c r="B17" s="26" t="s">
        <v>79</v>
      </c>
      <c r="C17" s="27" t="n">
        <v>-17010</v>
      </c>
      <c r="D17" s="28" t="n">
        <f aca="false">C17/$T$1*100</f>
        <v>-3.402</v>
      </c>
      <c r="E17" s="28" t="n">
        <f aca="false">E16+D17</f>
        <v>24.375</v>
      </c>
      <c r="F17" s="28" t="n">
        <f aca="false">MAX(0,MAX($E$2:E17))</f>
        <v>49.545</v>
      </c>
      <c r="G17" s="28" t="n">
        <f aca="false">E17-F17</f>
        <v>-25.17</v>
      </c>
      <c r="H17" s="25" t="n">
        <f aca="false">IF(G17&gt;=-0.0000001,A17,H16)</f>
        <v>45821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-17010</v>
      </c>
      <c r="L17" s="28" t="n">
        <f aca="false">L16+K17/$T$1*100</f>
        <v>30.22575</v>
      </c>
      <c r="M17" s="28" t="n">
        <f aca="false">MAX(0,MAX($L$2:L17))</f>
        <v>49.92</v>
      </c>
      <c r="N17" s="28" t="n">
        <f aca="false">L17-M17</f>
        <v>-19.69425</v>
      </c>
      <c r="O17" s="25" t="n">
        <f aca="false">IF(N17&gt;=-0.0000001,A17,O16)</f>
        <v>45821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45832</v>
      </c>
      <c r="B18" s="26" t="s">
        <v>80</v>
      </c>
      <c r="C18" s="27" t="n">
        <v>67260</v>
      </c>
      <c r="D18" s="28" t="n">
        <f aca="false">C18/$T$1*100</f>
        <v>13.452</v>
      </c>
      <c r="E18" s="28" t="n">
        <f aca="false">E17+D18</f>
        <v>37.827</v>
      </c>
      <c r="F18" s="28" t="n">
        <f aca="false">MAX(0,MAX($E$2:E18))</f>
        <v>49.545</v>
      </c>
      <c r="G18" s="28" t="n">
        <f aca="false">E18-F18</f>
        <v>-11.718</v>
      </c>
      <c r="H18" s="25" t="n">
        <f aca="false">IF(G18&gt;=-0.0000001,A18,H17)</f>
        <v>45821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67260</v>
      </c>
      <c r="L18" s="28" t="n">
        <f aca="false">L17+K18/$T$1*100</f>
        <v>43.67775</v>
      </c>
      <c r="M18" s="28" t="n">
        <f aca="false">MAX(0,MAX($L$2:L18))</f>
        <v>49.92</v>
      </c>
      <c r="N18" s="28" t="n">
        <f aca="false">L18-M18</f>
        <v>-6.24225000000001</v>
      </c>
      <c r="O18" s="25" t="n">
        <f aca="false">IF(N18&gt;=-0.0000001,A18,O17)</f>
        <v>45821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45833</v>
      </c>
      <c r="B19" s="26" t="s">
        <v>81</v>
      </c>
      <c r="C19" s="27" t="n">
        <v>-32111.25</v>
      </c>
      <c r="D19" s="28" t="n">
        <f aca="false">C19/$T$1*100</f>
        <v>-6.42225</v>
      </c>
      <c r="E19" s="28" t="n">
        <f aca="false">E18+D19</f>
        <v>31.40475</v>
      </c>
      <c r="F19" s="28" t="n">
        <f aca="false">MAX(0,MAX($E$2:E19))</f>
        <v>49.545</v>
      </c>
      <c r="G19" s="28" t="n">
        <f aca="false">E19-F19</f>
        <v>-18.14025</v>
      </c>
      <c r="H19" s="25" t="n">
        <f aca="false">IF(G19&gt;=-0.0000001,A19,H18)</f>
        <v>45821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0</v>
      </c>
      <c r="L19" s="28" t="n">
        <f aca="false">L18+K19/$T$1*100</f>
        <v>43.67775</v>
      </c>
      <c r="M19" s="28" t="n">
        <f aca="false">MAX(0,MAX($L$2:L19))</f>
        <v>49.92</v>
      </c>
      <c r="N19" s="28" t="n">
        <f aca="false">L19-M19</f>
        <v>-6.24225000000001</v>
      </c>
      <c r="O19" s="25" t="n">
        <f aca="false">IF(N19&gt;=-0.0000001,A19,O18)</f>
        <v>45821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45834</v>
      </c>
      <c r="B20" s="26" t="s">
        <v>82</v>
      </c>
      <c r="C20" s="27" t="n">
        <v>53216.25</v>
      </c>
      <c r="D20" s="28" t="n">
        <f aca="false">C20/$T$1*100</f>
        <v>10.64325</v>
      </c>
      <c r="E20" s="28" t="n">
        <f aca="false">E19+D20</f>
        <v>42.048</v>
      </c>
      <c r="F20" s="28" t="n">
        <f aca="false">MAX(0,MAX($E$2:E20))</f>
        <v>49.545</v>
      </c>
      <c r="G20" s="28" t="n">
        <f aca="false">E20-F20</f>
        <v>-7.497</v>
      </c>
      <c r="H20" s="25" t="n">
        <f aca="false">IF(G20&gt;=-0.0000001,A20,H19)</f>
        <v>45821</v>
      </c>
      <c r="I20" s="29" t="n">
        <f aca="false">IF(AND(G20&gt;=-0.0000001,G19&lt;0),1,0)</f>
        <v>0</v>
      </c>
      <c r="J20" s="30" t="str">
        <f aca="false">IF(I20=1,A20-H19,"")</f>
        <v/>
      </c>
      <c r="K20" s="27" t="n">
        <f aca="false">IF(B20="Wednesday",0,C20)</f>
        <v>53216.25</v>
      </c>
      <c r="L20" s="28" t="n">
        <f aca="false">L19+K20/$T$1*100</f>
        <v>54.321</v>
      </c>
      <c r="M20" s="28" t="n">
        <f aca="false">MAX(0,MAX($L$2:L20))</f>
        <v>54.321</v>
      </c>
      <c r="N20" s="28" t="n">
        <f aca="false">L20-M20</f>
        <v>0</v>
      </c>
      <c r="O20" s="25" t="n">
        <f aca="false">IF(N20&gt;=-0.0000001,A20,O19)</f>
        <v>45834</v>
      </c>
      <c r="P20" s="29" t="n">
        <f aca="false">IF(AND(N20&gt;=-0.0000001,N19&lt;0),1,0)</f>
        <v>1</v>
      </c>
      <c r="Q20" s="30" t="n">
        <f aca="false">IF(P20=1,A20-O19,"")</f>
        <v>13</v>
      </c>
    </row>
    <row r="21" customFormat="false" ht="15" hidden="false" customHeight="false" outlineLevel="0" collapsed="false">
      <c r="A21" s="25" t="n">
        <v>45835</v>
      </c>
      <c r="B21" s="26" t="s">
        <v>83</v>
      </c>
      <c r="C21" s="27" t="n">
        <v>-13837.5</v>
      </c>
      <c r="D21" s="28" t="n">
        <f aca="false">C21/$T$1*100</f>
        <v>-2.7675</v>
      </c>
      <c r="E21" s="28" t="n">
        <f aca="false">E20+D21</f>
        <v>39.2805</v>
      </c>
      <c r="F21" s="28" t="n">
        <f aca="false">MAX(0,MAX($E$2:E21))</f>
        <v>49.545</v>
      </c>
      <c r="G21" s="28" t="n">
        <f aca="false">E21-F21</f>
        <v>-10.2645</v>
      </c>
      <c r="H21" s="25" t="n">
        <f aca="false">IF(G21&gt;=-0.0000001,A21,H20)</f>
        <v>45821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-13837.5</v>
      </c>
      <c r="L21" s="28" t="n">
        <f aca="false">L20+K21/$T$1*100</f>
        <v>51.5535</v>
      </c>
      <c r="M21" s="28" t="n">
        <f aca="false">MAX(0,MAX($L$2:L21))</f>
        <v>54.321</v>
      </c>
      <c r="N21" s="28" t="n">
        <f aca="false">L21-M21</f>
        <v>-2.7675</v>
      </c>
      <c r="O21" s="25" t="n">
        <f aca="false">IF(N21&gt;=-0.0000001,A21,O20)</f>
        <v>45834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45838</v>
      </c>
      <c r="B22" s="26" t="s">
        <v>79</v>
      </c>
      <c r="C22" s="27" t="n">
        <v>-24712.5</v>
      </c>
      <c r="D22" s="28" t="n">
        <f aca="false">C22/$T$1*100</f>
        <v>-4.9425</v>
      </c>
      <c r="E22" s="28" t="n">
        <f aca="false">E21+D22</f>
        <v>34.338</v>
      </c>
      <c r="F22" s="28" t="n">
        <f aca="false">MAX(0,MAX($E$2:E22))</f>
        <v>49.545</v>
      </c>
      <c r="G22" s="28" t="n">
        <f aca="false">E22-F22</f>
        <v>-15.207</v>
      </c>
      <c r="H22" s="25" t="n">
        <f aca="false">IF(G22&gt;=-0.0000001,A22,H21)</f>
        <v>45821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-24712.5</v>
      </c>
      <c r="L22" s="28" t="n">
        <f aca="false">L21+K22/$T$1*100</f>
        <v>46.611</v>
      </c>
      <c r="M22" s="28" t="n">
        <f aca="false">MAX(0,MAX($L$2:L22))</f>
        <v>54.321</v>
      </c>
      <c r="N22" s="28" t="n">
        <f aca="false">L22-M22</f>
        <v>-7.71</v>
      </c>
      <c r="O22" s="25" t="n">
        <f aca="false">IF(N22&gt;=-0.0000001,A22,O21)</f>
        <v>45834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45839</v>
      </c>
      <c r="B23" s="26" t="s">
        <v>80</v>
      </c>
      <c r="C23" s="27" t="n">
        <v>-7500</v>
      </c>
      <c r="D23" s="28" t="n">
        <f aca="false">C23/$T$1*100</f>
        <v>-1.5</v>
      </c>
      <c r="E23" s="28" t="n">
        <f aca="false">E22+D23</f>
        <v>32.838</v>
      </c>
      <c r="F23" s="28" t="n">
        <f aca="false">MAX(0,MAX($E$2:E23))</f>
        <v>49.545</v>
      </c>
      <c r="G23" s="28" t="n">
        <f aca="false">E23-F23</f>
        <v>-16.707</v>
      </c>
      <c r="H23" s="25" t="n">
        <f aca="false">IF(G23&gt;=-0.0000001,A23,H22)</f>
        <v>45821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-7500</v>
      </c>
      <c r="L23" s="28" t="n">
        <f aca="false">L22+K23/$T$1*100</f>
        <v>45.111</v>
      </c>
      <c r="M23" s="28" t="n">
        <f aca="false">MAX(0,MAX($L$2:L23))</f>
        <v>54.321</v>
      </c>
      <c r="N23" s="28" t="n">
        <f aca="false">L23-M23</f>
        <v>-9.21</v>
      </c>
      <c r="O23" s="25" t="n">
        <f aca="false">IF(N23&gt;=-0.0000001,A23,O22)</f>
        <v>45834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45840</v>
      </c>
      <c r="B24" s="26" t="s">
        <v>81</v>
      </c>
      <c r="C24" s="27" t="n">
        <v>33600</v>
      </c>
      <c r="D24" s="28" t="n">
        <f aca="false">C24/$T$1*100</f>
        <v>6.72</v>
      </c>
      <c r="E24" s="28" t="n">
        <f aca="false">E23+D24</f>
        <v>39.558</v>
      </c>
      <c r="F24" s="28" t="n">
        <f aca="false">MAX(0,MAX($E$2:E24))</f>
        <v>49.545</v>
      </c>
      <c r="G24" s="28" t="n">
        <f aca="false">E24-F24</f>
        <v>-9.987</v>
      </c>
      <c r="H24" s="25" t="n">
        <f aca="false">IF(G24&gt;=-0.0000001,A24,H23)</f>
        <v>45821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0</v>
      </c>
      <c r="L24" s="28" t="n">
        <f aca="false">L23+K24/$T$1*100</f>
        <v>45.111</v>
      </c>
      <c r="M24" s="28" t="n">
        <f aca="false">MAX(0,MAX($L$2:L24))</f>
        <v>54.321</v>
      </c>
      <c r="N24" s="28" t="n">
        <f aca="false">L24-M24</f>
        <v>-9.21</v>
      </c>
      <c r="O24" s="25" t="n">
        <f aca="false">IF(N24&gt;=-0.0000001,A24,O23)</f>
        <v>45834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45841</v>
      </c>
      <c r="B25" s="26" t="s">
        <v>82</v>
      </c>
      <c r="C25" s="27" t="n">
        <v>-55560</v>
      </c>
      <c r="D25" s="28" t="n">
        <f aca="false">C25/$T$1*100</f>
        <v>-11.112</v>
      </c>
      <c r="E25" s="28" t="n">
        <f aca="false">E24+D25</f>
        <v>28.446</v>
      </c>
      <c r="F25" s="28" t="n">
        <f aca="false">MAX(0,MAX($E$2:E25))</f>
        <v>49.545</v>
      </c>
      <c r="G25" s="28" t="n">
        <f aca="false">E25-F25</f>
        <v>-21.099</v>
      </c>
      <c r="H25" s="25" t="n">
        <f aca="false">IF(G25&gt;=-0.0000001,A25,H24)</f>
        <v>45821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-55560</v>
      </c>
      <c r="L25" s="28" t="n">
        <f aca="false">L24+K25/$T$1*100</f>
        <v>33.999</v>
      </c>
      <c r="M25" s="28" t="n">
        <f aca="false">MAX(0,MAX($L$2:L25))</f>
        <v>54.321</v>
      </c>
      <c r="N25" s="28" t="n">
        <f aca="false">L25-M25</f>
        <v>-20.322</v>
      </c>
      <c r="O25" s="25" t="n">
        <f aca="false">IF(N25&gt;=-0.0000001,A25,O24)</f>
        <v>45834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45842</v>
      </c>
      <c r="B26" s="26" t="s">
        <v>83</v>
      </c>
      <c r="C26" s="27" t="n">
        <v>7717.5</v>
      </c>
      <c r="D26" s="28" t="n">
        <f aca="false">C26/$T$1*100</f>
        <v>1.5435</v>
      </c>
      <c r="E26" s="28" t="n">
        <f aca="false">E25+D26</f>
        <v>29.9895</v>
      </c>
      <c r="F26" s="28" t="n">
        <f aca="false">MAX(0,MAX($E$2:E26))</f>
        <v>49.545</v>
      </c>
      <c r="G26" s="28" t="n">
        <f aca="false">E26-F26</f>
        <v>-19.5555</v>
      </c>
      <c r="H26" s="25" t="n">
        <f aca="false">IF(G26&gt;=-0.0000001,A26,H25)</f>
        <v>45821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7717.5</v>
      </c>
      <c r="L26" s="28" t="n">
        <f aca="false">L25+K26/$T$1*100</f>
        <v>35.5425</v>
      </c>
      <c r="M26" s="28" t="n">
        <f aca="false">MAX(0,MAX($L$2:L26))</f>
        <v>54.321</v>
      </c>
      <c r="N26" s="28" t="n">
        <f aca="false">L26-M26</f>
        <v>-18.7785</v>
      </c>
      <c r="O26" s="25" t="n">
        <f aca="false">IF(N26&gt;=-0.0000001,A26,O25)</f>
        <v>45834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45845</v>
      </c>
      <c r="B27" s="26" t="s">
        <v>79</v>
      </c>
      <c r="C27" s="27" t="n">
        <v>2193.75</v>
      </c>
      <c r="D27" s="28" t="n">
        <f aca="false">C27/$T$1*100</f>
        <v>0.43875</v>
      </c>
      <c r="E27" s="28" t="n">
        <f aca="false">E26+D27</f>
        <v>30.42825</v>
      </c>
      <c r="F27" s="28" t="n">
        <f aca="false">MAX(0,MAX($E$2:E27))</f>
        <v>49.545</v>
      </c>
      <c r="G27" s="28" t="n">
        <f aca="false">E27-F27</f>
        <v>-19.11675</v>
      </c>
      <c r="H27" s="25" t="n">
        <f aca="false">IF(G27&gt;=-0.0000001,A27,H26)</f>
        <v>45821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2193.75</v>
      </c>
      <c r="L27" s="28" t="n">
        <f aca="false">L26+K27/$T$1*100</f>
        <v>35.98125</v>
      </c>
      <c r="M27" s="28" t="n">
        <f aca="false">MAX(0,MAX($L$2:L27))</f>
        <v>54.321</v>
      </c>
      <c r="N27" s="28" t="n">
        <f aca="false">L27-M27</f>
        <v>-18.33975</v>
      </c>
      <c r="O27" s="25" t="n">
        <f aca="false">IF(N27&gt;=-0.0000001,A27,O26)</f>
        <v>45834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45846</v>
      </c>
      <c r="B28" s="26" t="s">
        <v>80</v>
      </c>
      <c r="C28" s="27" t="n">
        <v>12352.5</v>
      </c>
      <c r="D28" s="28" t="n">
        <f aca="false">C28/$T$1*100</f>
        <v>2.4705</v>
      </c>
      <c r="E28" s="28" t="n">
        <f aca="false">E27+D28</f>
        <v>32.89875</v>
      </c>
      <c r="F28" s="28" t="n">
        <f aca="false">MAX(0,MAX($E$2:E28))</f>
        <v>49.545</v>
      </c>
      <c r="G28" s="28" t="n">
        <f aca="false">E28-F28</f>
        <v>-16.64625</v>
      </c>
      <c r="H28" s="25" t="n">
        <f aca="false">IF(G28&gt;=-0.0000001,A28,H27)</f>
        <v>45821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12352.5</v>
      </c>
      <c r="L28" s="28" t="n">
        <f aca="false">L27+K28/$T$1*100</f>
        <v>38.45175</v>
      </c>
      <c r="M28" s="28" t="n">
        <f aca="false">MAX(0,MAX($L$2:L28))</f>
        <v>54.321</v>
      </c>
      <c r="N28" s="28" t="n">
        <f aca="false">L28-M28</f>
        <v>-15.86925</v>
      </c>
      <c r="O28" s="25" t="n">
        <f aca="false">IF(N28&gt;=-0.0000001,A28,O27)</f>
        <v>45834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45847</v>
      </c>
      <c r="B29" s="26" t="s">
        <v>81</v>
      </c>
      <c r="C29" s="27" t="n">
        <v>-28518.75</v>
      </c>
      <c r="D29" s="28" t="n">
        <f aca="false">C29/$T$1*100</f>
        <v>-5.70375</v>
      </c>
      <c r="E29" s="28" t="n">
        <f aca="false">E28+D29</f>
        <v>27.195</v>
      </c>
      <c r="F29" s="28" t="n">
        <f aca="false">MAX(0,MAX($E$2:E29))</f>
        <v>49.545</v>
      </c>
      <c r="G29" s="28" t="n">
        <f aca="false">E29-F29</f>
        <v>-22.35</v>
      </c>
      <c r="H29" s="25" t="n">
        <f aca="false">IF(G29&gt;=-0.0000001,A29,H28)</f>
        <v>45821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0</v>
      </c>
      <c r="L29" s="28" t="n">
        <f aca="false">L28+K29/$T$1*100</f>
        <v>38.45175</v>
      </c>
      <c r="M29" s="28" t="n">
        <f aca="false">MAX(0,MAX($L$2:L29))</f>
        <v>54.321</v>
      </c>
      <c r="N29" s="28" t="n">
        <f aca="false">L29-M29</f>
        <v>-15.86925</v>
      </c>
      <c r="O29" s="25" t="n">
        <f aca="false">IF(N29&gt;=-0.0000001,A29,O28)</f>
        <v>45834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45848</v>
      </c>
      <c r="B30" s="26" t="s">
        <v>82</v>
      </c>
      <c r="C30" s="27" t="n">
        <v>-58095</v>
      </c>
      <c r="D30" s="28" t="n">
        <f aca="false">C30/$T$1*100</f>
        <v>-11.619</v>
      </c>
      <c r="E30" s="28" t="n">
        <f aca="false">E29+D30</f>
        <v>15.576</v>
      </c>
      <c r="F30" s="28" t="n">
        <f aca="false">MAX(0,MAX($E$2:E30))</f>
        <v>49.545</v>
      </c>
      <c r="G30" s="28" t="n">
        <f aca="false">E30-F30</f>
        <v>-33.969</v>
      </c>
      <c r="H30" s="25" t="n">
        <f aca="false">IF(G30&gt;=-0.0000001,A30,H29)</f>
        <v>45821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-58095</v>
      </c>
      <c r="L30" s="28" t="n">
        <f aca="false">L29+K30/$T$1*100</f>
        <v>26.83275</v>
      </c>
      <c r="M30" s="28" t="n">
        <f aca="false">MAX(0,MAX($L$2:L30))</f>
        <v>54.321</v>
      </c>
      <c r="N30" s="28" t="n">
        <f aca="false">L30-M30</f>
        <v>-27.48825</v>
      </c>
      <c r="O30" s="25" t="n">
        <f aca="false">IF(N30&gt;=-0.0000001,A30,O29)</f>
        <v>45834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45849</v>
      </c>
      <c r="B31" s="26" t="s">
        <v>83</v>
      </c>
      <c r="C31" s="27" t="n">
        <v>-7260</v>
      </c>
      <c r="D31" s="28" t="n">
        <f aca="false">C31/$T$1*100</f>
        <v>-1.452</v>
      </c>
      <c r="E31" s="28" t="n">
        <f aca="false">E30+D31</f>
        <v>14.124</v>
      </c>
      <c r="F31" s="28" t="n">
        <f aca="false">MAX(0,MAX($E$2:E31))</f>
        <v>49.545</v>
      </c>
      <c r="G31" s="28" t="n">
        <f aca="false">E31-F31</f>
        <v>-35.421</v>
      </c>
      <c r="H31" s="25" t="n">
        <f aca="false">IF(G31&gt;=-0.0000001,A31,H30)</f>
        <v>45821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-7260</v>
      </c>
      <c r="L31" s="28" t="n">
        <f aca="false">L30+K31/$T$1*100</f>
        <v>25.38075</v>
      </c>
      <c r="M31" s="28" t="n">
        <f aca="false">MAX(0,MAX($L$2:L31))</f>
        <v>54.321</v>
      </c>
      <c r="N31" s="28" t="n">
        <f aca="false">L31-M31</f>
        <v>-28.94025</v>
      </c>
      <c r="O31" s="25" t="n">
        <f aca="false">IF(N31&gt;=-0.0000001,A31,O30)</f>
        <v>45834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45852</v>
      </c>
      <c r="B32" s="26" t="s">
        <v>79</v>
      </c>
      <c r="C32" s="27" t="n">
        <v>-9300</v>
      </c>
      <c r="D32" s="28" t="n">
        <f aca="false">C32/$T$1*100</f>
        <v>-1.86</v>
      </c>
      <c r="E32" s="28" t="n">
        <f aca="false">E31+D32</f>
        <v>12.264</v>
      </c>
      <c r="F32" s="28" t="n">
        <f aca="false">MAX(0,MAX($E$2:E32))</f>
        <v>49.545</v>
      </c>
      <c r="G32" s="28" t="n">
        <f aca="false">E32-F32</f>
        <v>-37.281</v>
      </c>
      <c r="H32" s="25" t="n">
        <f aca="false">IF(G32&gt;=-0.0000001,A32,H31)</f>
        <v>45821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-9300</v>
      </c>
      <c r="L32" s="28" t="n">
        <f aca="false">L31+K32/$T$1*100</f>
        <v>23.52075</v>
      </c>
      <c r="M32" s="28" t="n">
        <f aca="false">MAX(0,MAX($L$2:L32))</f>
        <v>54.321</v>
      </c>
      <c r="N32" s="28" t="n">
        <f aca="false">L32-M32</f>
        <v>-30.80025</v>
      </c>
      <c r="O32" s="25" t="n">
        <f aca="false">IF(N32&gt;=-0.0000001,A32,O31)</f>
        <v>45834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45853</v>
      </c>
      <c r="B33" s="26" t="s">
        <v>80</v>
      </c>
      <c r="C33" s="27" t="n">
        <v>-18090</v>
      </c>
      <c r="D33" s="28" t="n">
        <f aca="false">C33/$T$1*100</f>
        <v>-3.618</v>
      </c>
      <c r="E33" s="28" t="n">
        <f aca="false">E32+D33</f>
        <v>8.646</v>
      </c>
      <c r="F33" s="28" t="n">
        <f aca="false">MAX(0,MAX($E$2:E33))</f>
        <v>49.545</v>
      </c>
      <c r="G33" s="28" t="n">
        <f aca="false">E33-F33</f>
        <v>-40.899</v>
      </c>
      <c r="H33" s="25" t="n">
        <f aca="false">IF(G33&gt;=-0.0000001,A33,H32)</f>
        <v>45821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-18090</v>
      </c>
      <c r="L33" s="28" t="n">
        <f aca="false">L32+K33/$T$1*100</f>
        <v>19.90275</v>
      </c>
      <c r="M33" s="28" t="n">
        <f aca="false">MAX(0,MAX($L$2:L33))</f>
        <v>54.321</v>
      </c>
      <c r="N33" s="28" t="n">
        <f aca="false">L33-M33</f>
        <v>-34.41825</v>
      </c>
      <c r="O33" s="25" t="n">
        <f aca="false">IF(N33&gt;=-0.0000001,A33,O32)</f>
        <v>45834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45854</v>
      </c>
      <c r="B34" s="26" t="s">
        <v>81</v>
      </c>
      <c r="C34" s="27" t="n">
        <v>63300</v>
      </c>
      <c r="D34" s="28" t="n">
        <f aca="false">C34/$T$1*100</f>
        <v>12.66</v>
      </c>
      <c r="E34" s="28" t="n">
        <f aca="false">E33+D34</f>
        <v>21.306</v>
      </c>
      <c r="F34" s="28" t="n">
        <f aca="false">MAX(0,MAX($E$2:E34))</f>
        <v>49.545</v>
      </c>
      <c r="G34" s="28" t="n">
        <f aca="false">E34-F34</f>
        <v>-28.239</v>
      </c>
      <c r="H34" s="25" t="n">
        <f aca="false">IF(G34&gt;=-0.0000001,A34,H33)</f>
        <v>45821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0</v>
      </c>
      <c r="L34" s="28" t="n">
        <f aca="false">L33+K34/$T$1*100</f>
        <v>19.90275</v>
      </c>
      <c r="M34" s="28" t="n">
        <f aca="false">MAX(0,MAX($L$2:L34))</f>
        <v>54.321</v>
      </c>
      <c r="N34" s="28" t="n">
        <f aca="false">L34-M34</f>
        <v>-34.41825</v>
      </c>
      <c r="O34" s="25" t="n">
        <f aca="false">IF(N34&gt;=-0.0000001,A34,O33)</f>
        <v>45834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45859</v>
      </c>
      <c r="B35" s="26" t="s">
        <v>79</v>
      </c>
      <c r="C35" s="27" t="n">
        <v>1650</v>
      </c>
      <c r="D35" s="28" t="n">
        <f aca="false">C35/$T$1*100</f>
        <v>0.33</v>
      </c>
      <c r="E35" s="28" t="n">
        <f aca="false">E34+D35</f>
        <v>21.636</v>
      </c>
      <c r="F35" s="28" t="n">
        <f aca="false">MAX(0,MAX($E$2:E35))</f>
        <v>49.545</v>
      </c>
      <c r="G35" s="28" t="n">
        <f aca="false">E35-F35</f>
        <v>-27.909</v>
      </c>
      <c r="H35" s="25" t="n">
        <f aca="false">IF(G35&gt;=-0.0000001,A35,H34)</f>
        <v>45821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1650</v>
      </c>
      <c r="L35" s="28" t="n">
        <f aca="false">L34+K35/$T$1*100</f>
        <v>20.23275</v>
      </c>
      <c r="M35" s="28" t="n">
        <f aca="false">MAX(0,MAX($L$2:L35))</f>
        <v>54.321</v>
      </c>
      <c r="N35" s="28" t="n">
        <f aca="false">L35-M35</f>
        <v>-34.08825</v>
      </c>
      <c r="O35" s="25" t="n">
        <f aca="false">IF(N35&gt;=-0.0000001,A35,O34)</f>
        <v>45834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45862</v>
      </c>
      <c r="B36" s="26" t="s">
        <v>82</v>
      </c>
      <c r="C36" s="27" t="n">
        <v>95370</v>
      </c>
      <c r="D36" s="28" t="n">
        <f aca="false">C36/$T$1*100</f>
        <v>19.074</v>
      </c>
      <c r="E36" s="28" t="n">
        <f aca="false">E35+D36</f>
        <v>40.71</v>
      </c>
      <c r="F36" s="28" t="n">
        <f aca="false">MAX(0,MAX($E$2:E36))</f>
        <v>49.545</v>
      </c>
      <c r="G36" s="28" t="n">
        <f aca="false">E36-F36</f>
        <v>-8.83500000000001</v>
      </c>
      <c r="H36" s="25" t="n">
        <f aca="false">IF(G36&gt;=-0.0000001,A36,H35)</f>
        <v>45821</v>
      </c>
      <c r="I36" s="29" t="n">
        <f aca="false">IF(AND(G36&gt;=-0.0000001,G35&lt;0),1,0)</f>
        <v>0</v>
      </c>
      <c r="J36" s="30" t="str">
        <f aca="false">IF(I36=1,A36-H35,"")</f>
        <v/>
      </c>
      <c r="K36" s="27" t="n">
        <f aca="false">IF(B36="Wednesday",0,C36)</f>
        <v>95370</v>
      </c>
      <c r="L36" s="28" t="n">
        <f aca="false">L35+K36/$T$1*100</f>
        <v>39.30675</v>
      </c>
      <c r="M36" s="28" t="n">
        <f aca="false">MAX(0,MAX($L$2:L36))</f>
        <v>54.321</v>
      </c>
      <c r="N36" s="28" t="n">
        <f aca="false">L36-M36</f>
        <v>-15.01425</v>
      </c>
      <c r="O36" s="25" t="n">
        <f aca="false">IF(N36&gt;=-0.0000001,A36,O35)</f>
        <v>45834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45863</v>
      </c>
      <c r="B37" s="26" t="s">
        <v>83</v>
      </c>
      <c r="C37" s="27" t="n">
        <v>-17036.25</v>
      </c>
      <c r="D37" s="28" t="n">
        <f aca="false">C37/$T$1*100</f>
        <v>-3.40725</v>
      </c>
      <c r="E37" s="28" t="n">
        <f aca="false">E36+D37</f>
        <v>37.30275</v>
      </c>
      <c r="F37" s="28" t="n">
        <f aca="false">MAX(0,MAX($E$2:E37))</f>
        <v>49.545</v>
      </c>
      <c r="G37" s="28" t="n">
        <f aca="false">E37-F37</f>
        <v>-12.24225</v>
      </c>
      <c r="H37" s="25" t="n">
        <f aca="false">IF(G37&gt;=-0.0000001,A37,H36)</f>
        <v>45821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-17036.25</v>
      </c>
      <c r="L37" s="28" t="n">
        <f aca="false">L36+K37/$T$1*100</f>
        <v>35.8995</v>
      </c>
      <c r="M37" s="28" t="n">
        <f aca="false">MAX(0,MAX($L$2:L37))</f>
        <v>54.321</v>
      </c>
      <c r="N37" s="28" t="n">
        <f aca="false">L37-M37</f>
        <v>-18.4215</v>
      </c>
      <c r="O37" s="25" t="n">
        <f aca="false">IF(N37&gt;=-0.0000001,A37,O36)</f>
        <v>45834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45866</v>
      </c>
      <c r="B38" s="26" t="s">
        <v>79</v>
      </c>
      <c r="C38" s="27" t="n">
        <v>52312.5</v>
      </c>
      <c r="D38" s="28" t="n">
        <f aca="false">C38/$T$1*100</f>
        <v>10.4625</v>
      </c>
      <c r="E38" s="28" t="n">
        <f aca="false">E37+D38</f>
        <v>47.76525</v>
      </c>
      <c r="F38" s="28" t="n">
        <f aca="false">MAX(0,MAX($E$2:E38))</f>
        <v>49.545</v>
      </c>
      <c r="G38" s="28" t="n">
        <f aca="false">E38-F38</f>
        <v>-1.77975000000001</v>
      </c>
      <c r="H38" s="25" t="n">
        <f aca="false">IF(G38&gt;=-0.0000001,A38,H37)</f>
        <v>45821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52312.5</v>
      </c>
      <c r="L38" s="28" t="n">
        <f aca="false">L37+K38/$T$1*100</f>
        <v>46.362</v>
      </c>
      <c r="M38" s="28" t="n">
        <f aca="false">MAX(0,MAX($L$2:L38))</f>
        <v>54.321</v>
      </c>
      <c r="N38" s="28" t="n">
        <f aca="false">L38-M38</f>
        <v>-7.959</v>
      </c>
      <c r="O38" s="25" t="n">
        <f aca="false">IF(N38&gt;=-0.0000001,A38,O37)</f>
        <v>45834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45867</v>
      </c>
      <c r="B39" s="26" t="s">
        <v>80</v>
      </c>
      <c r="C39" s="27" t="n">
        <v>-54480</v>
      </c>
      <c r="D39" s="28" t="n">
        <f aca="false">C39/$T$1*100</f>
        <v>-10.896</v>
      </c>
      <c r="E39" s="28" t="n">
        <f aca="false">E38+D39</f>
        <v>36.86925</v>
      </c>
      <c r="F39" s="28" t="n">
        <f aca="false">MAX(0,MAX($E$2:E39))</f>
        <v>49.545</v>
      </c>
      <c r="G39" s="28" t="n">
        <f aca="false">E39-F39</f>
        <v>-12.67575</v>
      </c>
      <c r="H39" s="25" t="n">
        <f aca="false">IF(G39&gt;=-0.0000001,A39,H38)</f>
        <v>45821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-54480</v>
      </c>
      <c r="L39" s="28" t="n">
        <f aca="false">L38+K39/$T$1*100</f>
        <v>35.466</v>
      </c>
      <c r="M39" s="28" t="n">
        <f aca="false">MAX(0,MAX($L$2:L39))</f>
        <v>54.321</v>
      </c>
      <c r="N39" s="28" t="n">
        <f aca="false">L39-M39</f>
        <v>-18.855</v>
      </c>
      <c r="O39" s="25" t="n">
        <f aca="false">IF(N39&gt;=-0.0000001,A39,O38)</f>
        <v>45834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45868</v>
      </c>
      <c r="B40" s="26" t="s">
        <v>81</v>
      </c>
      <c r="C40" s="27" t="n">
        <v>-39412.5</v>
      </c>
      <c r="D40" s="28" t="n">
        <f aca="false">C40/$T$1*100</f>
        <v>-7.8825</v>
      </c>
      <c r="E40" s="28" t="n">
        <f aca="false">E39+D40</f>
        <v>28.98675</v>
      </c>
      <c r="F40" s="28" t="n">
        <f aca="false">MAX(0,MAX($E$2:E40))</f>
        <v>49.545</v>
      </c>
      <c r="G40" s="28" t="n">
        <f aca="false">E40-F40</f>
        <v>-20.55825</v>
      </c>
      <c r="H40" s="25" t="n">
        <f aca="false">IF(G40&gt;=-0.0000001,A40,H39)</f>
        <v>45821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0</v>
      </c>
      <c r="L40" s="28" t="n">
        <f aca="false">L39+K40/$T$1*100</f>
        <v>35.466</v>
      </c>
      <c r="M40" s="28" t="n">
        <f aca="false">MAX(0,MAX($L$2:L40))</f>
        <v>54.321</v>
      </c>
      <c r="N40" s="28" t="n">
        <f aca="false">L40-M40</f>
        <v>-18.855</v>
      </c>
      <c r="O40" s="25" t="n">
        <f aca="false">IF(N40&gt;=-0.0000001,A40,O39)</f>
        <v>45834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45869</v>
      </c>
      <c r="B41" s="26" t="s">
        <v>82</v>
      </c>
      <c r="C41" s="27" t="n">
        <v>-27450</v>
      </c>
      <c r="D41" s="28" t="n">
        <f aca="false">C41/$T$1*100</f>
        <v>-5.49</v>
      </c>
      <c r="E41" s="28" t="n">
        <f aca="false">E40+D41</f>
        <v>23.49675</v>
      </c>
      <c r="F41" s="28" t="n">
        <f aca="false">MAX(0,MAX($E$2:E41))</f>
        <v>49.545</v>
      </c>
      <c r="G41" s="28" t="n">
        <f aca="false">E41-F41</f>
        <v>-26.04825</v>
      </c>
      <c r="H41" s="25" t="n">
        <f aca="false">IF(G41&gt;=-0.0000001,A41,H40)</f>
        <v>45821</v>
      </c>
      <c r="I41" s="29" t="n">
        <f aca="false">IF(AND(G41&gt;=-0.0000001,G40&lt;0),1,0)</f>
        <v>0</v>
      </c>
      <c r="J41" s="30" t="str">
        <f aca="false">IF(I41=1,A41-H40,"")</f>
        <v/>
      </c>
      <c r="K41" s="27" t="n">
        <f aca="false">IF(B41="Wednesday",0,C41)</f>
        <v>-27450</v>
      </c>
      <c r="L41" s="28" t="n">
        <f aca="false">L40+K41/$T$1*100</f>
        <v>29.976</v>
      </c>
      <c r="M41" s="28" t="n">
        <f aca="false">MAX(0,MAX($L$2:L41))</f>
        <v>54.321</v>
      </c>
      <c r="N41" s="28" t="n">
        <f aca="false">L41-M41</f>
        <v>-24.345</v>
      </c>
      <c r="O41" s="25" t="n">
        <f aca="false">IF(N41&gt;=-0.0000001,A41,O40)</f>
        <v>45834</v>
      </c>
      <c r="P41" s="29" t="n">
        <f aca="false">IF(AND(N41&gt;=-0.0000001,N40&lt;0),1,0)</f>
        <v>0</v>
      </c>
      <c r="Q41" s="30" t="str">
        <f aca="false">IF(P41=1,A41-O40,"")</f>
        <v/>
      </c>
    </row>
    <row r="42" customFormat="false" ht="15" hidden="false" customHeight="false" outlineLevel="0" collapsed="false">
      <c r="A42" s="25" t="n">
        <v>45870</v>
      </c>
      <c r="B42" s="26" t="s">
        <v>83</v>
      </c>
      <c r="C42" s="27" t="n">
        <v>17775</v>
      </c>
      <c r="D42" s="28" t="n">
        <f aca="false">C42/$T$1*100</f>
        <v>3.555</v>
      </c>
      <c r="E42" s="28" t="n">
        <f aca="false">E41+D42</f>
        <v>27.05175</v>
      </c>
      <c r="F42" s="28" t="n">
        <f aca="false">MAX(0,MAX($E$2:E42))</f>
        <v>49.545</v>
      </c>
      <c r="G42" s="28" t="n">
        <f aca="false">E42-F42</f>
        <v>-22.49325</v>
      </c>
      <c r="H42" s="25" t="n">
        <f aca="false">IF(G42&gt;=-0.0000001,A42,H41)</f>
        <v>45821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17775</v>
      </c>
      <c r="L42" s="28" t="n">
        <f aca="false">L41+K42/$T$1*100</f>
        <v>33.531</v>
      </c>
      <c r="M42" s="28" t="n">
        <f aca="false">MAX(0,MAX($L$2:L42))</f>
        <v>54.321</v>
      </c>
      <c r="N42" s="28" t="n">
        <f aca="false">L42-M42</f>
        <v>-20.79</v>
      </c>
      <c r="O42" s="25" t="n">
        <f aca="false">IF(N42&gt;=-0.0000001,A42,O41)</f>
        <v>45834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45873</v>
      </c>
      <c r="B43" s="26" t="s">
        <v>79</v>
      </c>
      <c r="C43" s="27" t="n">
        <v>7065</v>
      </c>
      <c r="D43" s="28" t="n">
        <f aca="false">C43/$T$1*100</f>
        <v>1.413</v>
      </c>
      <c r="E43" s="28" t="n">
        <f aca="false">E42+D43</f>
        <v>28.46475</v>
      </c>
      <c r="F43" s="28" t="n">
        <f aca="false">MAX(0,MAX($E$2:E43))</f>
        <v>49.545</v>
      </c>
      <c r="G43" s="28" t="n">
        <f aca="false">E43-F43</f>
        <v>-21.08025</v>
      </c>
      <c r="H43" s="25" t="n">
        <f aca="false">IF(G43&gt;=-0.0000001,A43,H42)</f>
        <v>45821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7065</v>
      </c>
      <c r="L43" s="28" t="n">
        <f aca="false">L42+K43/$T$1*100</f>
        <v>34.944</v>
      </c>
      <c r="M43" s="28" t="n">
        <f aca="false">MAX(0,MAX($L$2:L43))</f>
        <v>54.321</v>
      </c>
      <c r="N43" s="28" t="n">
        <f aca="false">L43-M43</f>
        <v>-19.377</v>
      </c>
      <c r="O43" s="25" t="n">
        <f aca="false">IF(N43&gt;=-0.0000001,A43,O42)</f>
        <v>45834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45874</v>
      </c>
      <c r="B44" s="26" t="s">
        <v>80</v>
      </c>
      <c r="C44" s="27" t="n">
        <v>-10091.25</v>
      </c>
      <c r="D44" s="28" t="n">
        <f aca="false">C44/$T$1*100</f>
        <v>-2.01825</v>
      </c>
      <c r="E44" s="28" t="n">
        <f aca="false">E43+D44</f>
        <v>26.4465</v>
      </c>
      <c r="F44" s="28" t="n">
        <f aca="false">MAX(0,MAX($E$2:E44))</f>
        <v>49.545</v>
      </c>
      <c r="G44" s="28" t="n">
        <f aca="false">E44-F44</f>
        <v>-23.0985</v>
      </c>
      <c r="H44" s="25" t="n">
        <f aca="false">IF(G44&gt;=-0.0000001,A44,H43)</f>
        <v>45821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-10091.25</v>
      </c>
      <c r="L44" s="28" t="n">
        <f aca="false">L43+K44/$T$1*100</f>
        <v>32.92575</v>
      </c>
      <c r="M44" s="28" t="n">
        <f aca="false">MAX(0,MAX($L$2:L44))</f>
        <v>54.321</v>
      </c>
      <c r="N44" s="28" t="n">
        <f aca="false">L44-M44</f>
        <v>-21.39525</v>
      </c>
      <c r="O44" s="25" t="n">
        <f aca="false">IF(N44&gt;=-0.0000001,A44,O43)</f>
        <v>45834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45875</v>
      </c>
      <c r="B45" s="26" t="s">
        <v>81</v>
      </c>
      <c r="C45" s="27" t="n">
        <v>22560</v>
      </c>
      <c r="D45" s="28" t="n">
        <f aca="false">C45/$T$1*100</f>
        <v>4.512</v>
      </c>
      <c r="E45" s="28" t="n">
        <f aca="false">E44+D45</f>
        <v>30.9585</v>
      </c>
      <c r="F45" s="28" t="n">
        <f aca="false">MAX(0,MAX($E$2:E45))</f>
        <v>49.545</v>
      </c>
      <c r="G45" s="28" t="n">
        <f aca="false">E45-F45</f>
        <v>-18.5865</v>
      </c>
      <c r="H45" s="25" t="n">
        <f aca="false">IF(G45&gt;=-0.0000001,A45,H44)</f>
        <v>45821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0</v>
      </c>
      <c r="L45" s="28" t="n">
        <f aca="false">L44+K45/$T$1*100</f>
        <v>32.92575</v>
      </c>
      <c r="M45" s="28" t="n">
        <f aca="false">MAX(0,MAX($L$2:L45))</f>
        <v>54.321</v>
      </c>
      <c r="N45" s="28" t="n">
        <f aca="false">L45-M45</f>
        <v>-21.39525</v>
      </c>
      <c r="O45" s="25" t="n">
        <f aca="false">IF(N45&gt;=-0.0000001,A45,O44)</f>
        <v>45834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45876</v>
      </c>
      <c r="B46" s="26" t="s">
        <v>82</v>
      </c>
      <c r="C46" s="27" t="n">
        <v>91425</v>
      </c>
      <c r="D46" s="28" t="n">
        <f aca="false">C46/$T$1*100</f>
        <v>18.285</v>
      </c>
      <c r="E46" s="28" t="n">
        <f aca="false">E45+D46</f>
        <v>49.2435</v>
      </c>
      <c r="F46" s="28" t="n">
        <f aca="false">MAX(0,MAX($E$2:E46))</f>
        <v>49.545</v>
      </c>
      <c r="G46" s="28" t="n">
        <f aca="false">E46-F46</f>
        <v>-0.301500000000004</v>
      </c>
      <c r="H46" s="25" t="n">
        <f aca="false">IF(G46&gt;=-0.0000001,A46,H45)</f>
        <v>45821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91425</v>
      </c>
      <c r="L46" s="28" t="n">
        <f aca="false">L45+K46/$T$1*100</f>
        <v>51.21075</v>
      </c>
      <c r="M46" s="28" t="n">
        <f aca="false">MAX(0,MAX($L$2:L46))</f>
        <v>54.321</v>
      </c>
      <c r="N46" s="28" t="n">
        <f aca="false">L46-M46</f>
        <v>-3.11025000000001</v>
      </c>
      <c r="O46" s="25" t="n">
        <f aca="false">IF(N46&gt;=-0.0000001,A46,O45)</f>
        <v>45834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45877</v>
      </c>
      <c r="B47" s="26" t="s">
        <v>83</v>
      </c>
      <c r="C47" s="27" t="n">
        <v>1050</v>
      </c>
      <c r="D47" s="28" t="n">
        <f aca="false">C47/$T$1*100</f>
        <v>0.21</v>
      </c>
      <c r="E47" s="28" t="n">
        <f aca="false">E46+D47</f>
        <v>49.4535</v>
      </c>
      <c r="F47" s="28" t="n">
        <f aca="false">MAX(0,MAX($E$2:E47))</f>
        <v>49.545</v>
      </c>
      <c r="G47" s="28" t="n">
        <f aca="false">E47-F47</f>
        <v>-0.0915000000000035</v>
      </c>
      <c r="H47" s="25" t="n">
        <f aca="false">IF(G47&gt;=-0.0000001,A47,H46)</f>
        <v>45821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1050</v>
      </c>
      <c r="L47" s="28" t="n">
        <f aca="false">L46+K47/$T$1*100</f>
        <v>51.42075</v>
      </c>
      <c r="M47" s="28" t="n">
        <f aca="false">MAX(0,MAX($L$2:L47))</f>
        <v>54.321</v>
      </c>
      <c r="N47" s="28" t="n">
        <f aca="false">L47-M47</f>
        <v>-2.90025000000001</v>
      </c>
      <c r="O47" s="25" t="n">
        <f aca="false">IF(N47&gt;=-0.0000001,A47,O46)</f>
        <v>45834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45880</v>
      </c>
      <c r="B48" s="26" t="s">
        <v>79</v>
      </c>
      <c r="C48" s="27" t="n">
        <v>27472.5</v>
      </c>
      <c r="D48" s="28" t="n">
        <f aca="false">C48/$T$1*100</f>
        <v>5.4945</v>
      </c>
      <c r="E48" s="28" t="n">
        <f aca="false">E47+D48</f>
        <v>54.948</v>
      </c>
      <c r="F48" s="28" t="n">
        <f aca="false">MAX(0,MAX($E$2:E48))</f>
        <v>54.948</v>
      </c>
      <c r="G48" s="28" t="n">
        <f aca="false">E48-F48</f>
        <v>0</v>
      </c>
      <c r="H48" s="25" t="n">
        <f aca="false">IF(G48&gt;=-0.0000001,A48,H47)</f>
        <v>45880</v>
      </c>
      <c r="I48" s="29" t="n">
        <f aca="false">IF(AND(G48&gt;=-0.0000001,G47&lt;0),1,0)</f>
        <v>1</v>
      </c>
      <c r="J48" s="30" t="n">
        <f aca="false">IF(I48=1,A48-H47,"")</f>
        <v>59</v>
      </c>
      <c r="K48" s="27" t="n">
        <f aca="false">IF(B48="Wednesday",0,C48)</f>
        <v>27472.5</v>
      </c>
      <c r="L48" s="28" t="n">
        <f aca="false">L47+K48/$T$1*100</f>
        <v>56.91525</v>
      </c>
      <c r="M48" s="28" t="n">
        <f aca="false">MAX(0,MAX($L$2:L48))</f>
        <v>56.91525</v>
      </c>
      <c r="N48" s="28" t="n">
        <f aca="false">L48-M48</f>
        <v>0</v>
      </c>
      <c r="O48" s="25" t="n">
        <f aca="false">IF(N48&gt;=-0.0000001,A48,O47)</f>
        <v>45880</v>
      </c>
      <c r="P48" s="29" t="n">
        <f aca="false">IF(AND(N48&gt;=-0.0000001,N47&lt;0),1,0)</f>
        <v>1</v>
      </c>
      <c r="Q48" s="30" t="n">
        <f aca="false">IF(P48=1,A48-O47,"")</f>
        <v>46</v>
      </c>
    </row>
    <row r="49" customFormat="false" ht="15" hidden="false" customHeight="false" outlineLevel="0" collapsed="false">
      <c r="A49" s="25" t="n">
        <v>45881</v>
      </c>
      <c r="B49" s="26" t="s">
        <v>80</v>
      </c>
      <c r="C49" s="27" t="n">
        <v>-26400</v>
      </c>
      <c r="D49" s="28" t="n">
        <f aca="false">C49/$T$1*100</f>
        <v>-5.28</v>
      </c>
      <c r="E49" s="28" t="n">
        <f aca="false">E48+D49</f>
        <v>49.668</v>
      </c>
      <c r="F49" s="28" t="n">
        <f aca="false">MAX(0,MAX($E$2:E49))</f>
        <v>54.948</v>
      </c>
      <c r="G49" s="28" t="n">
        <f aca="false">E49-F49</f>
        <v>-5.28</v>
      </c>
      <c r="H49" s="25" t="n">
        <f aca="false">IF(G49&gt;=-0.0000001,A49,H48)</f>
        <v>45880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-26400</v>
      </c>
      <c r="L49" s="28" t="n">
        <f aca="false">L48+K49/$T$1*100</f>
        <v>51.63525</v>
      </c>
      <c r="M49" s="28" t="n">
        <f aca="false">MAX(0,MAX($L$2:L49))</f>
        <v>56.91525</v>
      </c>
      <c r="N49" s="28" t="n">
        <f aca="false">L49-M49</f>
        <v>-5.28</v>
      </c>
      <c r="O49" s="25" t="n">
        <f aca="false">IF(N49&gt;=-0.0000001,A49,O48)</f>
        <v>45880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45882</v>
      </c>
      <c r="B50" s="26" t="s">
        <v>81</v>
      </c>
      <c r="C50" s="27" t="n">
        <v>12746.25</v>
      </c>
      <c r="D50" s="28" t="n">
        <f aca="false">C50/$T$1*100</f>
        <v>2.54925</v>
      </c>
      <c r="E50" s="28" t="n">
        <f aca="false">E49+D50</f>
        <v>52.21725</v>
      </c>
      <c r="F50" s="28" t="n">
        <f aca="false">MAX(0,MAX($E$2:E50))</f>
        <v>54.948</v>
      </c>
      <c r="G50" s="28" t="n">
        <f aca="false">E50-F50</f>
        <v>-2.73075</v>
      </c>
      <c r="H50" s="25" t="n">
        <f aca="false">IF(G50&gt;=-0.0000001,A50,H49)</f>
        <v>45880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0</v>
      </c>
      <c r="L50" s="28" t="n">
        <f aca="false">L49+K50/$T$1*100</f>
        <v>51.63525</v>
      </c>
      <c r="M50" s="28" t="n">
        <f aca="false">MAX(0,MAX($L$2:L50))</f>
        <v>56.91525</v>
      </c>
      <c r="N50" s="28" t="n">
        <f aca="false">L50-M50</f>
        <v>-5.28</v>
      </c>
      <c r="O50" s="25" t="n">
        <f aca="false">IF(N50&gt;=-0.0000001,A50,O49)</f>
        <v>45880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45883</v>
      </c>
      <c r="B51" s="26" t="s">
        <v>82</v>
      </c>
      <c r="C51" s="27" t="n">
        <v>-49395</v>
      </c>
      <c r="D51" s="28" t="n">
        <f aca="false">C51/$T$1*100</f>
        <v>-9.879</v>
      </c>
      <c r="E51" s="28" t="n">
        <f aca="false">E50+D51</f>
        <v>42.33825</v>
      </c>
      <c r="F51" s="28" t="n">
        <f aca="false">MAX(0,MAX($E$2:E51))</f>
        <v>54.948</v>
      </c>
      <c r="G51" s="28" t="n">
        <f aca="false">E51-F51</f>
        <v>-12.60975</v>
      </c>
      <c r="H51" s="25" t="n">
        <f aca="false">IF(G51&gt;=-0.0000001,A51,H50)</f>
        <v>45880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-49395</v>
      </c>
      <c r="L51" s="28" t="n">
        <f aca="false">L50+K51/$T$1*100</f>
        <v>41.75625</v>
      </c>
      <c r="M51" s="28" t="n">
        <f aca="false">MAX(0,MAX($L$2:L51))</f>
        <v>56.91525</v>
      </c>
      <c r="N51" s="28" t="n">
        <f aca="false">L51-M51</f>
        <v>-15.159</v>
      </c>
      <c r="O51" s="25" t="n">
        <f aca="false">IF(N51&gt;=-0.0000001,A51,O50)</f>
        <v>45880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45887</v>
      </c>
      <c r="B52" s="26" t="s">
        <v>79</v>
      </c>
      <c r="C52" s="27" t="n">
        <v>-6322.5</v>
      </c>
      <c r="D52" s="28" t="n">
        <f aca="false">C52/$T$1*100</f>
        <v>-1.2645</v>
      </c>
      <c r="E52" s="28" t="n">
        <f aca="false">E51+D52</f>
        <v>41.07375</v>
      </c>
      <c r="F52" s="28" t="n">
        <f aca="false">MAX(0,MAX($E$2:E52))</f>
        <v>54.948</v>
      </c>
      <c r="G52" s="28" t="n">
        <f aca="false">E52-F52</f>
        <v>-13.87425</v>
      </c>
      <c r="H52" s="25" t="n">
        <f aca="false">IF(G52&gt;=-0.0000001,A52,H51)</f>
        <v>45880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-6322.5</v>
      </c>
      <c r="L52" s="28" t="n">
        <f aca="false">L51+K52/$T$1*100</f>
        <v>40.49175</v>
      </c>
      <c r="M52" s="28" t="n">
        <f aca="false">MAX(0,MAX($L$2:L52))</f>
        <v>56.91525</v>
      </c>
      <c r="N52" s="28" t="n">
        <f aca="false">L52-M52</f>
        <v>-16.4235</v>
      </c>
      <c r="O52" s="25" t="n">
        <f aca="false">IF(N52&gt;=-0.0000001,A52,O51)</f>
        <v>45880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45888</v>
      </c>
      <c r="B53" s="26" t="s">
        <v>80</v>
      </c>
      <c r="C53" s="27" t="n">
        <v>14231.25</v>
      </c>
      <c r="D53" s="28" t="n">
        <f aca="false">C53/$T$1*100</f>
        <v>2.84625</v>
      </c>
      <c r="E53" s="28" t="n">
        <f aca="false">E52+D53</f>
        <v>43.92</v>
      </c>
      <c r="F53" s="28" t="n">
        <f aca="false">MAX(0,MAX($E$2:E53))</f>
        <v>54.948</v>
      </c>
      <c r="G53" s="28" t="n">
        <f aca="false">E53-F53</f>
        <v>-11.028</v>
      </c>
      <c r="H53" s="25" t="n">
        <f aca="false">IF(G53&gt;=-0.0000001,A53,H52)</f>
        <v>45880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14231.25</v>
      </c>
      <c r="L53" s="28" t="n">
        <f aca="false">L52+K53/$T$1*100</f>
        <v>43.338</v>
      </c>
      <c r="M53" s="28" t="n">
        <f aca="false">MAX(0,MAX($L$2:L53))</f>
        <v>56.91525</v>
      </c>
      <c r="N53" s="28" t="n">
        <f aca="false">L53-M53</f>
        <v>-13.57725</v>
      </c>
      <c r="O53" s="25" t="n">
        <f aca="false">IF(N53&gt;=-0.0000001,A53,O52)</f>
        <v>45880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45889</v>
      </c>
      <c r="B54" s="26" t="s">
        <v>81</v>
      </c>
      <c r="C54" s="27" t="n">
        <v>33243.75</v>
      </c>
      <c r="D54" s="28" t="n">
        <f aca="false">C54/$T$1*100</f>
        <v>6.64875</v>
      </c>
      <c r="E54" s="28" t="n">
        <f aca="false">E53+D54</f>
        <v>50.56875</v>
      </c>
      <c r="F54" s="28" t="n">
        <f aca="false">MAX(0,MAX($E$2:E54))</f>
        <v>54.948</v>
      </c>
      <c r="G54" s="28" t="n">
        <f aca="false">E54-F54</f>
        <v>-4.37925</v>
      </c>
      <c r="H54" s="25" t="n">
        <f aca="false">IF(G54&gt;=-0.0000001,A54,H53)</f>
        <v>45880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0</v>
      </c>
      <c r="L54" s="28" t="n">
        <f aca="false">L53+K54/$T$1*100</f>
        <v>43.338</v>
      </c>
      <c r="M54" s="28" t="n">
        <f aca="false">MAX(0,MAX($L$2:L54))</f>
        <v>56.91525</v>
      </c>
      <c r="N54" s="28" t="n">
        <f aca="false">L54-M54</f>
        <v>-13.57725</v>
      </c>
      <c r="O54" s="25" t="n">
        <f aca="false">IF(N54&gt;=-0.0000001,A54,O53)</f>
        <v>45880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45890</v>
      </c>
      <c r="B55" s="26" t="s">
        <v>82</v>
      </c>
      <c r="C55" s="27" t="n">
        <v>-19140</v>
      </c>
      <c r="D55" s="28" t="n">
        <f aca="false">C55/$T$1*100</f>
        <v>-3.828</v>
      </c>
      <c r="E55" s="28" t="n">
        <f aca="false">E54+D55</f>
        <v>46.74075</v>
      </c>
      <c r="F55" s="28" t="n">
        <f aca="false">MAX(0,MAX($E$2:E55))</f>
        <v>54.948</v>
      </c>
      <c r="G55" s="28" t="n">
        <f aca="false">E55-F55</f>
        <v>-8.20725</v>
      </c>
      <c r="H55" s="25" t="n">
        <f aca="false">IF(G55&gt;=-0.0000001,A55,H54)</f>
        <v>45880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-19140</v>
      </c>
      <c r="L55" s="28" t="n">
        <f aca="false">L54+K55/$T$1*100</f>
        <v>39.51</v>
      </c>
      <c r="M55" s="28" t="n">
        <f aca="false">MAX(0,MAX($L$2:L55))</f>
        <v>56.91525</v>
      </c>
      <c r="N55" s="28" t="n">
        <f aca="false">L55-M55</f>
        <v>-17.40525</v>
      </c>
      <c r="O55" s="25" t="n">
        <f aca="false">IF(N55&gt;=-0.0000001,A55,O54)</f>
        <v>45880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45891</v>
      </c>
      <c r="B56" s="26" t="s">
        <v>83</v>
      </c>
      <c r="C56" s="27" t="n">
        <v>16290</v>
      </c>
      <c r="D56" s="28" t="n">
        <f aca="false">C56/$T$1*100</f>
        <v>3.258</v>
      </c>
      <c r="E56" s="28" t="n">
        <f aca="false">E55+D56</f>
        <v>49.99875</v>
      </c>
      <c r="F56" s="28" t="n">
        <f aca="false">MAX(0,MAX($E$2:E56))</f>
        <v>54.948</v>
      </c>
      <c r="G56" s="28" t="n">
        <f aca="false">E56-F56</f>
        <v>-4.94925</v>
      </c>
      <c r="H56" s="25" t="n">
        <f aca="false">IF(G56&gt;=-0.0000001,A56,H55)</f>
        <v>45880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16290</v>
      </c>
      <c r="L56" s="28" t="n">
        <f aca="false">L55+K56/$T$1*100</f>
        <v>42.768</v>
      </c>
      <c r="M56" s="28" t="n">
        <f aca="false">MAX(0,MAX($L$2:L56))</f>
        <v>56.91525</v>
      </c>
      <c r="N56" s="28" t="n">
        <f aca="false">L56-M56</f>
        <v>-14.14725</v>
      </c>
      <c r="O56" s="25" t="n">
        <f aca="false">IF(N56&gt;=-0.0000001,A56,O55)</f>
        <v>45880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45894</v>
      </c>
      <c r="B57" s="26" t="s">
        <v>79</v>
      </c>
      <c r="C57" s="27" t="n">
        <v>4623.75</v>
      </c>
      <c r="D57" s="28" t="n">
        <f aca="false">C57/$T$1*100</f>
        <v>0.92475</v>
      </c>
      <c r="E57" s="28" t="n">
        <f aca="false">E56+D57</f>
        <v>50.9235</v>
      </c>
      <c r="F57" s="28" t="n">
        <f aca="false">MAX(0,MAX($E$2:E57))</f>
        <v>54.948</v>
      </c>
      <c r="G57" s="28" t="n">
        <f aca="false">E57-F57</f>
        <v>-4.0245</v>
      </c>
      <c r="H57" s="25" t="n">
        <f aca="false">IF(G57&gt;=-0.0000001,A57,H56)</f>
        <v>45880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4623.75</v>
      </c>
      <c r="L57" s="28" t="n">
        <f aca="false">L56+K57/$T$1*100</f>
        <v>43.69275</v>
      </c>
      <c r="M57" s="28" t="n">
        <f aca="false">MAX(0,MAX($L$2:L57))</f>
        <v>56.91525</v>
      </c>
      <c r="N57" s="28" t="n">
        <f aca="false">L57-M57</f>
        <v>-13.2225</v>
      </c>
      <c r="O57" s="25" t="n">
        <f aca="false">IF(N57&gt;=-0.0000001,A57,O56)</f>
        <v>45880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45895</v>
      </c>
      <c r="B58" s="26" t="s">
        <v>80</v>
      </c>
      <c r="C58" s="27" t="n">
        <v>1350</v>
      </c>
      <c r="D58" s="28" t="n">
        <f aca="false">C58/$T$1*100</f>
        <v>0.27</v>
      </c>
      <c r="E58" s="28" t="n">
        <f aca="false">E57+D58</f>
        <v>51.1935</v>
      </c>
      <c r="F58" s="28" t="n">
        <f aca="false">MAX(0,MAX($E$2:E58))</f>
        <v>54.948</v>
      </c>
      <c r="G58" s="28" t="n">
        <f aca="false">E58-F58</f>
        <v>-3.75449999999999</v>
      </c>
      <c r="H58" s="25" t="n">
        <f aca="false">IF(G58&gt;=-0.0000001,A58,H57)</f>
        <v>45880</v>
      </c>
      <c r="I58" s="29" t="n">
        <f aca="false">IF(AND(G58&gt;=-0.0000001,G57&lt;0),1,0)</f>
        <v>0</v>
      </c>
      <c r="J58" s="30" t="str">
        <f aca="false">IF(I58=1,A58-H57,"")</f>
        <v/>
      </c>
      <c r="K58" s="27" t="n">
        <f aca="false">IF(B58="Wednesday",0,C58)</f>
        <v>1350</v>
      </c>
      <c r="L58" s="28" t="n">
        <f aca="false">L57+K58/$T$1*100</f>
        <v>43.96275</v>
      </c>
      <c r="M58" s="28" t="n">
        <f aca="false">MAX(0,MAX($L$2:L58))</f>
        <v>56.91525</v>
      </c>
      <c r="N58" s="28" t="n">
        <f aca="false">L58-M58</f>
        <v>-12.9525</v>
      </c>
      <c r="O58" s="25" t="n">
        <f aca="false">IF(N58&gt;=-0.0000001,A58,O57)</f>
        <v>45880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45897</v>
      </c>
      <c r="B59" s="26" t="s">
        <v>82</v>
      </c>
      <c r="C59" s="27" t="n">
        <v>151612.5</v>
      </c>
      <c r="D59" s="28" t="n">
        <f aca="false">C59/$T$1*100</f>
        <v>30.3225</v>
      </c>
      <c r="E59" s="28" t="n">
        <f aca="false">E58+D59</f>
        <v>81.516</v>
      </c>
      <c r="F59" s="28" t="n">
        <f aca="false">MAX(0,MAX($E$2:E59))</f>
        <v>81.516</v>
      </c>
      <c r="G59" s="28" t="n">
        <f aca="false">E59-F59</f>
        <v>0</v>
      </c>
      <c r="H59" s="25" t="n">
        <f aca="false">IF(G59&gt;=-0.0000001,A59,H58)</f>
        <v>45897</v>
      </c>
      <c r="I59" s="29" t="n">
        <f aca="false">IF(AND(G59&gt;=-0.0000001,G58&lt;0),1,0)</f>
        <v>1</v>
      </c>
      <c r="J59" s="30" t="n">
        <f aca="false">IF(I59=1,A59-H58,"")</f>
        <v>17</v>
      </c>
      <c r="K59" s="27" t="n">
        <f aca="false">IF(B59="Wednesday",0,C59)</f>
        <v>151612.5</v>
      </c>
      <c r="L59" s="28" t="n">
        <f aca="false">L58+K59/$T$1*100</f>
        <v>74.28525</v>
      </c>
      <c r="M59" s="28" t="n">
        <f aca="false">MAX(0,MAX($L$2:L59))</f>
        <v>74.28525</v>
      </c>
      <c r="N59" s="28" t="n">
        <f aca="false">L59-M59</f>
        <v>0</v>
      </c>
      <c r="O59" s="25" t="n">
        <f aca="false">IF(N59&gt;=-0.0000001,A59,O58)</f>
        <v>45897</v>
      </c>
      <c r="P59" s="29" t="n">
        <f aca="false">IF(AND(N59&gt;=-0.0000001,N58&lt;0),1,0)</f>
        <v>1</v>
      </c>
      <c r="Q59" s="30" t="n">
        <f aca="false">IF(P59=1,A59-O58,"")</f>
        <v>17</v>
      </c>
    </row>
    <row r="60" customFormat="false" ht="15" hidden="false" customHeight="false" outlineLevel="0" collapsed="false">
      <c r="A60" s="25" t="n">
        <v>45898</v>
      </c>
      <c r="B60" s="26" t="s">
        <v>83</v>
      </c>
      <c r="C60" s="27" t="n">
        <v>-30138.75</v>
      </c>
      <c r="D60" s="28" t="n">
        <f aca="false">C60/$T$1*100</f>
        <v>-6.02775</v>
      </c>
      <c r="E60" s="28" t="n">
        <f aca="false">E59+D60</f>
        <v>75.48825</v>
      </c>
      <c r="F60" s="28" t="n">
        <f aca="false">MAX(0,MAX($E$2:E60))</f>
        <v>81.516</v>
      </c>
      <c r="G60" s="28" t="n">
        <f aca="false">E60-F60</f>
        <v>-6.02775</v>
      </c>
      <c r="H60" s="25" t="n">
        <f aca="false">IF(G60&gt;=-0.0000001,A60,H59)</f>
        <v>45897</v>
      </c>
      <c r="I60" s="29" t="n">
        <f aca="false">IF(AND(G60&gt;=-0.0000001,G59&lt;0),1,0)</f>
        <v>0</v>
      </c>
      <c r="J60" s="30" t="str">
        <f aca="false">IF(I60=1,A60-H59,"")</f>
        <v/>
      </c>
      <c r="K60" s="27" t="n">
        <f aca="false">IF(B60="Wednesday",0,C60)</f>
        <v>-30138.75</v>
      </c>
      <c r="L60" s="28" t="n">
        <f aca="false">L59+K60/$T$1*100</f>
        <v>68.2575</v>
      </c>
      <c r="M60" s="28" t="n">
        <f aca="false">MAX(0,MAX($L$2:L60))</f>
        <v>74.28525</v>
      </c>
      <c r="N60" s="28" t="n">
        <f aca="false">L60-M60</f>
        <v>-6.02775</v>
      </c>
      <c r="O60" s="25" t="n">
        <f aca="false">IF(N60&gt;=-0.0000001,A60,O59)</f>
        <v>45897</v>
      </c>
      <c r="P60" s="29" t="n">
        <f aca="false">IF(AND(N60&gt;=-0.0000001,N59&lt;0),1,0)</f>
        <v>0</v>
      </c>
      <c r="Q60" s="30" t="str">
        <f aca="false">IF(P60=1,A60-O59,"")</f>
        <v/>
      </c>
    </row>
    <row r="61" customFormat="false" ht="15" hidden="false" customHeight="false" outlineLevel="0" collapsed="false">
      <c r="A61" s="25" t="n">
        <v>45901</v>
      </c>
      <c r="B61" s="26" t="s">
        <v>79</v>
      </c>
      <c r="C61" s="27" t="n">
        <v>55293.75</v>
      </c>
      <c r="D61" s="28" t="n">
        <f aca="false">C61/$T$1*100</f>
        <v>11.05875</v>
      </c>
      <c r="E61" s="28" t="n">
        <f aca="false">E60+D61</f>
        <v>86.547</v>
      </c>
      <c r="F61" s="28" t="n">
        <f aca="false">MAX(0,MAX($E$2:E61))</f>
        <v>86.547</v>
      </c>
      <c r="G61" s="28" t="n">
        <f aca="false">E61-F61</f>
        <v>0</v>
      </c>
      <c r="H61" s="25" t="n">
        <f aca="false">IF(G61&gt;=-0.0000001,A61,H60)</f>
        <v>45901</v>
      </c>
      <c r="I61" s="29" t="n">
        <f aca="false">IF(AND(G61&gt;=-0.0000001,G60&lt;0),1,0)</f>
        <v>1</v>
      </c>
      <c r="J61" s="30" t="n">
        <f aca="false">IF(I61=1,A61-H60,"")</f>
        <v>4</v>
      </c>
      <c r="K61" s="27" t="n">
        <f aca="false">IF(B61="Wednesday",0,C61)</f>
        <v>55293.75</v>
      </c>
      <c r="L61" s="28" t="n">
        <f aca="false">L60+K61/$T$1*100</f>
        <v>79.31625</v>
      </c>
      <c r="M61" s="28" t="n">
        <f aca="false">MAX(0,MAX($L$2:L61))</f>
        <v>79.31625</v>
      </c>
      <c r="N61" s="28" t="n">
        <f aca="false">L61-M61</f>
        <v>0</v>
      </c>
      <c r="O61" s="25" t="n">
        <f aca="false">IF(N61&gt;=-0.0000001,A61,O60)</f>
        <v>45901</v>
      </c>
      <c r="P61" s="29" t="n">
        <f aca="false">IF(AND(N61&gt;=-0.0000001,N60&lt;0),1,0)</f>
        <v>1</v>
      </c>
      <c r="Q61" s="30" t="n">
        <f aca="false">IF(P61=1,A61-O60,"")</f>
        <v>4</v>
      </c>
    </row>
    <row r="62" customFormat="false" ht="15" hidden="false" customHeight="false" outlineLevel="0" collapsed="false">
      <c r="A62" s="25" t="n">
        <v>45902</v>
      </c>
      <c r="B62" s="26" t="s">
        <v>80</v>
      </c>
      <c r="C62" s="27" t="n">
        <v>195142.5</v>
      </c>
      <c r="D62" s="28" t="n">
        <f aca="false">C62/$T$1*100</f>
        <v>39.0285</v>
      </c>
      <c r="E62" s="28" t="n">
        <f aca="false">E61+D62</f>
        <v>125.5755</v>
      </c>
      <c r="F62" s="28" t="n">
        <f aca="false">MAX(0,MAX($E$2:E62))</f>
        <v>125.5755</v>
      </c>
      <c r="G62" s="28" t="n">
        <f aca="false">E62-F62</f>
        <v>0</v>
      </c>
      <c r="H62" s="25" t="n">
        <f aca="false">IF(G62&gt;=-0.0000001,A62,H61)</f>
        <v>45902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195142.5</v>
      </c>
      <c r="L62" s="28" t="n">
        <f aca="false">L61+K62/$T$1*100</f>
        <v>118.34475</v>
      </c>
      <c r="M62" s="28" t="n">
        <f aca="false">MAX(0,MAX($L$2:L62))</f>
        <v>118.34475</v>
      </c>
      <c r="N62" s="28" t="n">
        <f aca="false">L62-M62</f>
        <v>0</v>
      </c>
      <c r="O62" s="25" t="n">
        <f aca="false">IF(N62&gt;=-0.0000001,A62,O61)</f>
        <v>45902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45903</v>
      </c>
      <c r="B63" s="26" t="s">
        <v>81</v>
      </c>
      <c r="C63" s="27" t="n">
        <v>-28312.5</v>
      </c>
      <c r="D63" s="28" t="n">
        <f aca="false">C63/$T$1*100</f>
        <v>-5.6625</v>
      </c>
      <c r="E63" s="28" t="n">
        <f aca="false">E62+D63</f>
        <v>119.913</v>
      </c>
      <c r="F63" s="28" t="n">
        <f aca="false">MAX(0,MAX($E$2:E63))</f>
        <v>125.5755</v>
      </c>
      <c r="G63" s="28" t="n">
        <f aca="false">E63-F63</f>
        <v>-5.66249999999999</v>
      </c>
      <c r="H63" s="25" t="n">
        <f aca="false">IF(G63&gt;=-0.0000001,A63,H62)</f>
        <v>45902</v>
      </c>
      <c r="I63" s="29" t="n">
        <f aca="false">IF(AND(G63&gt;=-0.0000001,G62&lt;0),1,0)</f>
        <v>0</v>
      </c>
      <c r="J63" s="30" t="str">
        <f aca="false">IF(I63=1,A63-H62,"")</f>
        <v/>
      </c>
      <c r="K63" s="27" t="n">
        <f aca="false">IF(B63="Wednesday",0,C63)</f>
        <v>0</v>
      </c>
      <c r="L63" s="28" t="n">
        <f aca="false">L62+K63/$T$1*100</f>
        <v>118.34475</v>
      </c>
      <c r="M63" s="28" t="n">
        <f aca="false">MAX(0,MAX($L$2:L63))</f>
        <v>118.34475</v>
      </c>
      <c r="N63" s="28" t="n">
        <f aca="false">L63-M63</f>
        <v>0</v>
      </c>
      <c r="O63" s="25" t="n">
        <f aca="false">IF(N63&gt;=-0.0000001,A63,O62)</f>
        <v>45903</v>
      </c>
      <c r="P63" s="29" t="n">
        <f aca="false">IF(AND(N63&gt;=-0.0000001,N62&lt;0),1,0)</f>
        <v>0</v>
      </c>
      <c r="Q63" s="30" t="str">
        <f aca="false">IF(P63=1,A63-O62,"")</f>
        <v/>
      </c>
    </row>
    <row r="64" customFormat="false" ht="15" hidden="false" customHeight="false" outlineLevel="0" collapsed="false">
      <c r="A64" s="25" t="n">
        <v>45904</v>
      </c>
      <c r="B64" s="26" t="s">
        <v>82</v>
      </c>
      <c r="C64" s="27" t="n">
        <v>37800</v>
      </c>
      <c r="D64" s="28" t="n">
        <f aca="false">C64/$T$1*100</f>
        <v>7.56</v>
      </c>
      <c r="E64" s="28" t="n">
        <f aca="false">E63+D64</f>
        <v>127.473</v>
      </c>
      <c r="F64" s="28" t="n">
        <f aca="false">MAX(0,MAX($E$2:E64))</f>
        <v>127.473</v>
      </c>
      <c r="G64" s="28" t="n">
        <f aca="false">E64-F64</f>
        <v>0</v>
      </c>
      <c r="H64" s="25" t="n">
        <f aca="false">IF(G64&gt;=-0.0000001,A64,H63)</f>
        <v>45904</v>
      </c>
      <c r="I64" s="29" t="n">
        <f aca="false">IF(AND(G64&gt;=-0.0000001,G63&lt;0),1,0)</f>
        <v>1</v>
      </c>
      <c r="J64" s="30" t="n">
        <f aca="false">IF(I64=1,A64-H63,"")</f>
        <v>2</v>
      </c>
      <c r="K64" s="27" t="n">
        <f aca="false">IF(B64="Wednesday",0,C64)</f>
        <v>37800</v>
      </c>
      <c r="L64" s="28" t="n">
        <f aca="false">L63+K64/$T$1*100</f>
        <v>125.90475</v>
      </c>
      <c r="M64" s="28" t="n">
        <f aca="false">MAX(0,MAX($L$2:L64))</f>
        <v>125.90475</v>
      </c>
      <c r="N64" s="28" t="n">
        <f aca="false">L64-M64</f>
        <v>0</v>
      </c>
      <c r="O64" s="25" t="n">
        <f aca="false">IF(N64&gt;=-0.0000001,A64,O63)</f>
        <v>45904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45905</v>
      </c>
      <c r="B65" s="26" t="s">
        <v>83</v>
      </c>
      <c r="C65" s="27" t="n">
        <v>-32985</v>
      </c>
      <c r="D65" s="28" t="n">
        <f aca="false">C65/$T$1*100</f>
        <v>-6.597</v>
      </c>
      <c r="E65" s="28" t="n">
        <f aca="false">E64+D65</f>
        <v>120.876</v>
      </c>
      <c r="F65" s="28" t="n">
        <f aca="false">MAX(0,MAX($E$2:E65))</f>
        <v>127.473</v>
      </c>
      <c r="G65" s="28" t="n">
        <f aca="false">E65-F65</f>
        <v>-6.59699999999999</v>
      </c>
      <c r="H65" s="25" t="n">
        <f aca="false">IF(G65&gt;=-0.0000001,A65,H64)</f>
        <v>45904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-32985</v>
      </c>
      <c r="L65" s="28" t="n">
        <f aca="false">L64+K65/$T$1*100</f>
        <v>119.30775</v>
      </c>
      <c r="M65" s="28" t="n">
        <f aca="false">MAX(0,MAX($L$2:L65))</f>
        <v>125.90475</v>
      </c>
      <c r="N65" s="28" t="n">
        <f aca="false">L65-M65</f>
        <v>-6.59699999999999</v>
      </c>
      <c r="O65" s="25" t="n">
        <f aca="false">IF(N65&gt;=-0.0000001,A65,O64)</f>
        <v>45904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45908</v>
      </c>
      <c r="B66" s="26" t="s">
        <v>79</v>
      </c>
      <c r="C66" s="27" t="n">
        <v>-16136.25</v>
      </c>
      <c r="D66" s="28" t="n">
        <f aca="false">C66/$T$1*100</f>
        <v>-3.22725</v>
      </c>
      <c r="E66" s="28" t="n">
        <f aca="false">E65+D66</f>
        <v>117.64875</v>
      </c>
      <c r="F66" s="28" t="n">
        <f aca="false">MAX(0,MAX($E$2:E66))</f>
        <v>127.473</v>
      </c>
      <c r="G66" s="28" t="n">
        <f aca="false">E66-F66</f>
        <v>-9.82424999999999</v>
      </c>
      <c r="H66" s="25" t="n">
        <f aca="false">IF(G66&gt;=-0.0000001,A66,H65)</f>
        <v>45904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-16136.25</v>
      </c>
      <c r="L66" s="28" t="n">
        <f aca="false">L65+K66/$T$1*100</f>
        <v>116.0805</v>
      </c>
      <c r="M66" s="28" t="n">
        <f aca="false">MAX(0,MAX($L$2:L66))</f>
        <v>125.90475</v>
      </c>
      <c r="N66" s="28" t="n">
        <f aca="false">L66-M66</f>
        <v>-9.82424999999999</v>
      </c>
      <c r="O66" s="25" t="n">
        <f aca="false">IF(N66&gt;=-0.0000001,A66,O65)</f>
        <v>45904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45909</v>
      </c>
      <c r="B67" s="26" t="s">
        <v>80</v>
      </c>
      <c r="C67" s="27" t="n">
        <v>-28875</v>
      </c>
      <c r="D67" s="28" t="n">
        <f aca="false">C67/$T$1*100</f>
        <v>-5.775</v>
      </c>
      <c r="E67" s="28" t="n">
        <f aca="false">E66+D67</f>
        <v>111.87375</v>
      </c>
      <c r="F67" s="28" t="n">
        <f aca="false">MAX(0,MAX($E$2:E67))</f>
        <v>127.473</v>
      </c>
      <c r="G67" s="28" t="n">
        <f aca="false">E67-F67</f>
        <v>-15.59925</v>
      </c>
      <c r="H67" s="25" t="n">
        <f aca="false">IF(G67&gt;=-0.0000001,A67,H66)</f>
        <v>45904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-28875</v>
      </c>
      <c r="L67" s="28" t="n">
        <f aca="false">L66+K67/$T$1*100</f>
        <v>110.3055</v>
      </c>
      <c r="M67" s="28" t="n">
        <f aca="false">MAX(0,MAX($L$2:L67))</f>
        <v>125.90475</v>
      </c>
      <c r="N67" s="28" t="n">
        <f aca="false">L67-M67</f>
        <v>-15.59925</v>
      </c>
      <c r="O67" s="25" t="n">
        <f aca="false">IF(N67&gt;=-0.0000001,A67,O66)</f>
        <v>45904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45910</v>
      </c>
      <c r="B68" s="26" t="s">
        <v>81</v>
      </c>
      <c r="C68" s="27" t="n">
        <v>-16170</v>
      </c>
      <c r="D68" s="28" t="n">
        <f aca="false">C68/$T$1*100</f>
        <v>-3.234</v>
      </c>
      <c r="E68" s="28" t="n">
        <f aca="false">E67+D68</f>
        <v>108.63975</v>
      </c>
      <c r="F68" s="28" t="n">
        <f aca="false">MAX(0,MAX($E$2:E68))</f>
        <v>127.473</v>
      </c>
      <c r="G68" s="28" t="n">
        <f aca="false">E68-F68</f>
        <v>-18.83325</v>
      </c>
      <c r="H68" s="25" t="n">
        <f aca="false">IF(G68&gt;=-0.0000001,A68,H67)</f>
        <v>45904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0</v>
      </c>
      <c r="L68" s="28" t="n">
        <f aca="false">L67+K68/$T$1*100</f>
        <v>110.3055</v>
      </c>
      <c r="M68" s="28" t="n">
        <f aca="false">MAX(0,MAX($L$2:L68))</f>
        <v>125.90475</v>
      </c>
      <c r="N68" s="28" t="n">
        <f aca="false">L68-M68</f>
        <v>-15.59925</v>
      </c>
      <c r="O68" s="25" t="n">
        <f aca="false">IF(N68&gt;=-0.0000001,A68,O67)</f>
        <v>45904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45911</v>
      </c>
      <c r="B69" s="26" t="s">
        <v>82</v>
      </c>
      <c r="C69" s="27" t="n">
        <v>-13200</v>
      </c>
      <c r="D69" s="28" t="n">
        <f aca="false">C69/$T$1*100</f>
        <v>-2.64</v>
      </c>
      <c r="E69" s="28" t="n">
        <f aca="false">E68+D69</f>
        <v>105.99975</v>
      </c>
      <c r="F69" s="28" t="n">
        <f aca="false">MAX(0,MAX($E$2:E69))</f>
        <v>127.473</v>
      </c>
      <c r="G69" s="28" t="n">
        <f aca="false">E69-F69</f>
        <v>-21.47325</v>
      </c>
      <c r="H69" s="25" t="n">
        <f aca="false">IF(G69&gt;=-0.0000001,A69,H68)</f>
        <v>45904</v>
      </c>
      <c r="I69" s="29" t="n">
        <f aca="false">IF(AND(G69&gt;=-0.0000001,G68&lt;0),1,0)</f>
        <v>0</v>
      </c>
      <c r="J69" s="30" t="str">
        <f aca="false">IF(I69=1,A69-H68,"")</f>
        <v/>
      </c>
      <c r="K69" s="27" t="n">
        <f aca="false">IF(B69="Wednesday",0,C69)</f>
        <v>-13200</v>
      </c>
      <c r="L69" s="28" t="n">
        <f aca="false">L68+K69/$T$1*100</f>
        <v>107.6655</v>
      </c>
      <c r="M69" s="28" t="n">
        <f aca="false">MAX(0,MAX($L$2:L69))</f>
        <v>125.90475</v>
      </c>
      <c r="N69" s="28" t="n">
        <f aca="false">L69-M69</f>
        <v>-18.23925</v>
      </c>
      <c r="O69" s="25" t="n">
        <f aca="false">IF(N69&gt;=-0.0000001,A69,O68)</f>
        <v>45904</v>
      </c>
      <c r="P69" s="29" t="n">
        <f aca="false">IF(AND(N69&gt;=-0.0000001,N68&lt;0),1,0)</f>
        <v>0</v>
      </c>
      <c r="Q69" s="30" t="str">
        <f aca="false">IF(P69=1,A69-O68,"")</f>
        <v/>
      </c>
    </row>
    <row r="70" customFormat="false" ht="15" hidden="false" customHeight="false" outlineLevel="0" collapsed="false">
      <c r="A70" s="25" t="n">
        <v>45912</v>
      </c>
      <c r="B70" s="26" t="s">
        <v>83</v>
      </c>
      <c r="C70" s="27" t="n">
        <v>1732.5</v>
      </c>
      <c r="D70" s="28" t="n">
        <f aca="false">C70/$T$1*100</f>
        <v>0.3465</v>
      </c>
      <c r="E70" s="28" t="n">
        <f aca="false">E69+D70</f>
        <v>106.34625</v>
      </c>
      <c r="F70" s="28" t="n">
        <f aca="false">MAX(0,MAX($E$2:E70))</f>
        <v>127.473</v>
      </c>
      <c r="G70" s="28" t="n">
        <f aca="false">E70-F70</f>
        <v>-21.12675</v>
      </c>
      <c r="H70" s="25" t="n">
        <f aca="false">IF(G70&gt;=-0.0000001,A70,H69)</f>
        <v>45904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1732.5</v>
      </c>
      <c r="L70" s="28" t="n">
        <f aca="false">L69+K70/$T$1*100</f>
        <v>108.012</v>
      </c>
      <c r="M70" s="28" t="n">
        <f aca="false">MAX(0,MAX($L$2:L70))</f>
        <v>125.90475</v>
      </c>
      <c r="N70" s="28" t="n">
        <f aca="false">L70-M70</f>
        <v>-17.89275</v>
      </c>
      <c r="O70" s="25" t="n">
        <f aca="false">IF(N70&gt;=-0.0000001,A70,O69)</f>
        <v>45904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45915</v>
      </c>
      <c r="B71" s="26" t="s">
        <v>79</v>
      </c>
      <c r="C71" s="27" t="n">
        <v>-17467.5</v>
      </c>
      <c r="D71" s="28" t="n">
        <f aca="false">C71/$T$1*100</f>
        <v>-3.4935</v>
      </c>
      <c r="E71" s="28" t="n">
        <f aca="false">E70+D71</f>
        <v>102.85275</v>
      </c>
      <c r="F71" s="28" t="n">
        <f aca="false">MAX(0,MAX($E$2:E71))</f>
        <v>127.473</v>
      </c>
      <c r="G71" s="28" t="n">
        <f aca="false">E71-F71</f>
        <v>-24.62025</v>
      </c>
      <c r="H71" s="25" t="n">
        <f aca="false">IF(G71&gt;=-0.0000001,A71,H70)</f>
        <v>45904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-17467.5</v>
      </c>
      <c r="L71" s="28" t="n">
        <f aca="false">L70+K71/$T$1*100</f>
        <v>104.5185</v>
      </c>
      <c r="M71" s="28" t="n">
        <f aca="false">MAX(0,MAX($L$2:L71))</f>
        <v>125.90475</v>
      </c>
      <c r="N71" s="28" t="n">
        <f aca="false">L71-M71</f>
        <v>-21.38625</v>
      </c>
      <c r="O71" s="25" t="n">
        <f aca="false">IF(N71&gt;=-0.0000001,A71,O70)</f>
        <v>45904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45916</v>
      </c>
      <c r="B72" s="26" t="s">
        <v>80</v>
      </c>
      <c r="C72" s="27" t="n">
        <v>-58342.5</v>
      </c>
      <c r="D72" s="28" t="n">
        <f aca="false">C72/$T$1*100</f>
        <v>-11.6685</v>
      </c>
      <c r="E72" s="28" t="n">
        <f aca="false">E71+D72</f>
        <v>91.18425</v>
      </c>
      <c r="F72" s="28" t="n">
        <f aca="false">MAX(0,MAX($E$2:E72))</f>
        <v>127.473</v>
      </c>
      <c r="G72" s="28" t="n">
        <f aca="false">E72-F72</f>
        <v>-36.28875</v>
      </c>
      <c r="H72" s="25" t="n">
        <f aca="false">IF(G72&gt;=-0.0000001,A72,H71)</f>
        <v>45904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-58342.5</v>
      </c>
      <c r="L72" s="28" t="n">
        <f aca="false">L71+K72/$T$1*100</f>
        <v>92.85</v>
      </c>
      <c r="M72" s="28" t="n">
        <f aca="false">MAX(0,MAX($L$2:L72))</f>
        <v>125.90475</v>
      </c>
      <c r="N72" s="28" t="n">
        <f aca="false">L72-M72</f>
        <v>-33.05475</v>
      </c>
      <c r="O72" s="25" t="n">
        <f aca="false">IF(N72&gt;=-0.0000001,A72,O71)</f>
        <v>45904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45917</v>
      </c>
      <c r="B73" s="26" t="s">
        <v>81</v>
      </c>
      <c r="C73" s="27" t="n">
        <v>4972.5</v>
      </c>
      <c r="D73" s="28" t="n">
        <f aca="false">C73/$T$1*100</f>
        <v>0.9945</v>
      </c>
      <c r="E73" s="28" t="n">
        <f aca="false">E72+D73</f>
        <v>92.17875</v>
      </c>
      <c r="F73" s="28" t="n">
        <f aca="false">MAX(0,MAX($E$2:E73))</f>
        <v>127.473</v>
      </c>
      <c r="G73" s="28" t="n">
        <f aca="false">E73-F73</f>
        <v>-35.29425</v>
      </c>
      <c r="H73" s="25" t="n">
        <f aca="false">IF(G73&gt;=-0.0000001,A73,H72)</f>
        <v>45904</v>
      </c>
      <c r="I73" s="29" t="n">
        <f aca="false">IF(AND(G73&gt;=-0.0000001,G72&lt;0),1,0)</f>
        <v>0</v>
      </c>
      <c r="J73" s="30" t="str">
        <f aca="false">IF(I73=1,A73-H72,"")</f>
        <v/>
      </c>
      <c r="K73" s="27" t="n">
        <f aca="false">IF(B73="Wednesday",0,C73)</f>
        <v>0</v>
      </c>
      <c r="L73" s="28" t="n">
        <f aca="false">L72+K73/$T$1*100</f>
        <v>92.85</v>
      </c>
      <c r="M73" s="28" t="n">
        <f aca="false">MAX(0,MAX($L$2:L73))</f>
        <v>125.90475</v>
      </c>
      <c r="N73" s="28" t="n">
        <f aca="false">L73-M73</f>
        <v>-33.05475</v>
      </c>
      <c r="O73" s="25" t="n">
        <f aca="false">IF(N73&gt;=-0.0000001,A73,O72)</f>
        <v>45904</v>
      </c>
      <c r="P73" s="29" t="n">
        <f aca="false">IF(AND(N73&gt;=-0.0000001,N72&lt;0),1,0)</f>
        <v>0</v>
      </c>
      <c r="Q73" s="30" t="str">
        <f aca="false">IF(P73=1,A73-O72,"")</f>
        <v/>
      </c>
    </row>
    <row r="74" customFormat="false" ht="15" hidden="false" customHeight="false" outlineLevel="0" collapsed="false">
      <c r="A74" s="25" t="n">
        <v>45918</v>
      </c>
      <c r="B74" s="26" t="s">
        <v>82</v>
      </c>
      <c r="C74" s="27" t="n">
        <v>-4260</v>
      </c>
      <c r="D74" s="28" t="n">
        <f aca="false">C74/$T$1*100</f>
        <v>-0.852</v>
      </c>
      <c r="E74" s="28" t="n">
        <f aca="false">E73+D74</f>
        <v>91.32675</v>
      </c>
      <c r="F74" s="28" t="n">
        <f aca="false">MAX(0,MAX($E$2:E74))</f>
        <v>127.473</v>
      </c>
      <c r="G74" s="28" t="n">
        <f aca="false">E74-F74</f>
        <v>-36.14625</v>
      </c>
      <c r="H74" s="25" t="n">
        <f aca="false">IF(G74&gt;=-0.0000001,A74,H73)</f>
        <v>45904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-4260</v>
      </c>
      <c r="L74" s="28" t="n">
        <f aca="false">L73+K74/$T$1*100</f>
        <v>91.998</v>
      </c>
      <c r="M74" s="28" t="n">
        <f aca="false">MAX(0,MAX($L$2:L74))</f>
        <v>125.90475</v>
      </c>
      <c r="N74" s="28" t="n">
        <f aca="false">L74-M74</f>
        <v>-33.90675</v>
      </c>
      <c r="O74" s="25" t="n">
        <f aca="false">IF(N74&gt;=-0.0000001,A74,O73)</f>
        <v>45904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45919</v>
      </c>
      <c r="B75" s="26" t="s">
        <v>83</v>
      </c>
      <c r="C75" s="27" t="n">
        <v>-24480</v>
      </c>
      <c r="D75" s="28" t="n">
        <f aca="false">C75/$T$1*100</f>
        <v>-4.896</v>
      </c>
      <c r="E75" s="28" t="n">
        <f aca="false">E74+D75</f>
        <v>86.43075</v>
      </c>
      <c r="F75" s="28" t="n">
        <f aca="false">MAX(0,MAX($E$2:E75))</f>
        <v>127.473</v>
      </c>
      <c r="G75" s="28" t="n">
        <f aca="false">E75-F75</f>
        <v>-41.04225</v>
      </c>
      <c r="H75" s="25" t="n">
        <f aca="false">IF(G75&gt;=-0.0000001,A75,H74)</f>
        <v>45904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-24480</v>
      </c>
      <c r="L75" s="28" t="n">
        <f aca="false">L74+K75/$T$1*100</f>
        <v>87.102</v>
      </c>
      <c r="M75" s="28" t="n">
        <f aca="false">MAX(0,MAX($L$2:L75))</f>
        <v>125.90475</v>
      </c>
      <c r="N75" s="28" t="n">
        <f aca="false">L75-M75</f>
        <v>-38.80275</v>
      </c>
      <c r="O75" s="25" t="n">
        <f aca="false">IF(N75&gt;=-0.0000001,A75,O74)</f>
        <v>45904</v>
      </c>
      <c r="P75" s="29" t="n">
        <f aca="false">IF(AND(N75&gt;=-0.0000001,N74&lt;0),1,0)</f>
        <v>0</v>
      </c>
      <c r="Q75" s="30" t="str">
        <f aca="false">IF(P75=1,A75-O74,"")</f>
        <v/>
      </c>
    </row>
    <row r="76" customFormat="false" ht="15" hidden="false" customHeight="false" outlineLevel="0" collapsed="false">
      <c r="A76" s="25" t="n">
        <v>45922</v>
      </c>
      <c r="B76" s="26" t="s">
        <v>79</v>
      </c>
      <c r="C76" s="27" t="n">
        <v>84150</v>
      </c>
      <c r="D76" s="28" t="n">
        <f aca="false">C76/$T$1*100</f>
        <v>16.83</v>
      </c>
      <c r="E76" s="28" t="n">
        <f aca="false">E75+D76</f>
        <v>103.26075</v>
      </c>
      <c r="F76" s="28" t="n">
        <f aca="false">MAX(0,MAX($E$2:E76))</f>
        <v>127.473</v>
      </c>
      <c r="G76" s="28" t="n">
        <f aca="false">E76-F76</f>
        <v>-24.21225</v>
      </c>
      <c r="H76" s="25" t="n">
        <f aca="false">IF(G76&gt;=-0.0000001,A76,H75)</f>
        <v>45904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84150</v>
      </c>
      <c r="L76" s="28" t="n">
        <f aca="false">L75+K76/$T$1*100</f>
        <v>103.932</v>
      </c>
      <c r="M76" s="28" t="n">
        <f aca="false">MAX(0,MAX($L$2:L76))</f>
        <v>125.90475</v>
      </c>
      <c r="N76" s="28" t="n">
        <f aca="false">L76-M76</f>
        <v>-21.97275</v>
      </c>
      <c r="O76" s="25" t="n">
        <f aca="false">IF(N76&gt;=-0.0000001,A76,O75)</f>
        <v>45904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45923</v>
      </c>
      <c r="B77" s="26" t="s">
        <v>80</v>
      </c>
      <c r="C77" s="27" t="n">
        <v>-58740</v>
      </c>
      <c r="D77" s="28" t="n">
        <f aca="false">C77/$T$1*100</f>
        <v>-11.748</v>
      </c>
      <c r="E77" s="28" t="n">
        <f aca="false">E76+D77</f>
        <v>91.51275</v>
      </c>
      <c r="F77" s="28" t="n">
        <f aca="false">MAX(0,MAX($E$2:E77))</f>
        <v>127.473</v>
      </c>
      <c r="G77" s="28" t="n">
        <f aca="false">E77-F77</f>
        <v>-35.96025</v>
      </c>
      <c r="H77" s="25" t="n">
        <f aca="false">IF(G77&gt;=-0.0000001,A77,H76)</f>
        <v>45904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-58740</v>
      </c>
      <c r="L77" s="28" t="n">
        <f aca="false">L76+K77/$T$1*100</f>
        <v>92.184</v>
      </c>
      <c r="M77" s="28" t="n">
        <f aca="false">MAX(0,MAX($L$2:L77))</f>
        <v>125.90475</v>
      </c>
      <c r="N77" s="28" t="n">
        <f aca="false">L77-M77</f>
        <v>-33.72075</v>
      </c>
      <c r="O77" s="25" t="n">
        <f aca="false">IF(N77&gt;=-0.0000001,A77,O76)</f>
        <v>45904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45924</v>
      </c>
      <c r="B78" s="26" t="s">
        <v>81</v>
      </c>
      <c r="C78" s="27" t="n">
        <v>-13807.5</v>
      </c>
      <c r="D78" s="28" t="n">
        <f aca="false">C78/$T$1*100</f>
        <v>-2.7615</v>
      </c>
      <c r="E78" s="28" t="n">
        <f aca="false">E77+D78</f>
        <v>88.75125</v>
      </c>
      <c r="F78" s="28" t="n">
        <f aca="false">MAX(0,MAX($E$2:E78))</f>
        <v>127.473</v>
      </c>
      <c r="G78" s="28" t="n">
        <f aca="false">E78-F78</f>
        <v>-38.72175</v>
      </c>
      <c r="H78" s="25" t="n">
        <f aca="false">IF(G78&gt;=-0.0000001,A78,H77)</f>
        <v>45904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0</v>
      </c>
      <c r="L78" s="28" t="n">
        <f aca="false">L77+K78/$T$1*100</f>
        <v>92.184</v>
      </c>
      <c r="M78" s="28" t="n">
        <f aca="false">MAX(0,MAX($L$2:L78))</f>
        <v>125.90475</v>
      </c>
      <c r="N78" s="28" t="n">
        <f aca="false">L78-M78</f>
        <v>-33.72075</v>
      </c>
      <c r="O78" s="25" t="n">
        <f aca="false">IF(N78&gt;=-0.0000001,A78,O77)</f>
        <v>45904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45925</v>
      </c>
      <c r="B79" s="26" t="s">
        <v>82</v>
      </c>
      <c r="C79" s="27" t="n">
        <v>45450</v>
      </c>
      <c r="D79" s="28" t="n">
        <f aca="false">C79/$T$1*100</f>
        <v>9.09</v>
      </c>
      <c r="E79" s="28" t="n">
        <f aca="false">E78+D79</f>
        <v>97.84125</v>
      </c>
      <c r="F79" s="28" t="n">
        <f aca="false">MAX(0,MAX($E$2:E79))</f>
        <v>127.473</v>
      </c>
      <c r="G79" s="28" t="n">
        <f aca="false">E79-F79</f>
        <v>-29.63175</v>
      </c>
      <c r="H79" s="25" t="n">
        <f aca="false">IF(G79&gt;=-0.0000001,A79,H78)</f>
        <v>45904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45450</v>
      </c>
      <c r="L79" s="28" t="n">
        <f aca="false">L78+K79/$T$1*100</f>
        <v>101.274</v>
      </c>
      <c r="M79" s="28" t="n">
        <f aca="false">MAX(0,MAX($L$2:L79))</f>
        <v>125.90475</v>
      </c>
      <c r="N79" s="28" t="n">
        <f aca="false">L79-M79</f>
        <v>-24.63075</v>
      </c>
      <c r="O79" s="25" t="n">
        <f aca="false">IF(N79&gt;=-0.0000001,A79,O78)</f>
        <v>45904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45926</v>
      </c>
      <c r="B80" s="26" t="s">
        <v>83</v>
      </c>
      <c r="C80" s="27" t="n">
        <v>117450</v>
      </c>
      <c r="D80" s="28" t="n">
        <f aca="false">C80/$T$1*100</f>
        <v>23.49</v>
      </c>
      <c r="E80" s="28" t="n">
        <f aca="false">E79+D80</f>
        <v>121.33125</v>
      </c>
      <c r="F80" s="28" t="n">
        <f aca="false">MAX(0,MAX($E$2:E80))</f>
        <v>127.473</v>
      </c>
      <c r="G80" s="28" t="n">
        <f aca="false">E80-F80</f>
        <v>-6.14174999999999</v>
      </c>
      <c r="H80" s="25" t="n">
        <f aca="false">IF(G80&gt;=-0.0000001,A80,H79)</f>
        <v>45904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117450</v>
      </c>
      <c r="L80" s="28" t="n">
        <f aca="false">L79+K80/$T$1*100</f>
        <v>124.764</v>
      </c>
      <c r="M80" s="28" t="n">
        <f aca="false">MAX(0,MAX($L$2:L80))</f>
        <v>125.90475</v>
      </c>
      <c r="N80" s="28" t="n">
        <f aca="false">L80-M80</f>
        <v>-1.14075</v>
      </c>
      <c r="O80" s="25" t="n">
        <f aca="false">IF(N80&gt;=-0.0000001,A80,O79)</f>
        <v>45904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45929</v>
      </c>
      <c r="B81" s="26" t="s">
        <v>79</v>
      </c>
      <c r="C81" s="27" t="n">
        <v>75442.5</v>
      </c>
      <c r="D81" s="28" t="n">
        <f aca="false">C81/$T$1*100</f>
        <v>15.0885</v>
      </c>
      <c r="E81" s="28" t="n">
        <f aca="false">E80+D81</f>
        <v>136.41975</v>
      </c>
      <c r="F81" s="28" t="n">
        <f aca="false">MAX(0,MAX($E$2:E81))</f>
        <v>136.41975</v>
      </c>
      <c r="G81" s="28" t="n">
        <f aca="false">E81-F81</f>
        <v>0</v>
      </c>
      <c r="H81" s="25" t="n">
        <f aca="false">IF(G81&gt;=-0.0000001,A81,H80)</f>
        <v>45929</v>
      </c>
      <c r="I81" s="29" t="n">
        <f aca="false">IF(AND(G81&gt;=-0.0000001,G80&lt;0),1,0)</f>
        <v>1</v>
      </c>
      <c r="J81" s="30" t="n">
        <f aca="false">IF(I81=1,A81-H80,"")</f>
        <v>25</v>
      </c>
      <c r="K81" s="27" t="n">
        <f aca="false">IF(B81="Wednesday",0,C81)</f>
        <v>75442.5</v>
      </c>
      <c r="L81" s="28" t="n">
        <f aca="false">L80+K81/$T$1*100</f>
        <v>139.8525</v>
      </c>
      <c r="M81" s="28" t="n">
        <f aca="false">MAX(0,MAX($L$2:L81))</f>
        <v>139.8525</v>
      </c>
      <c r="N81" s="28" t="n">
        <f aca="false">L81-M81</f>
        <v>0</v>
      </c>
      <c r="O81" s="25" t="n">
        <f aca="false">IF(N81&gt;=-0.0000001,A81,O80)</f>
        <v>45929</v>
      </c>
      <c r="P81" s="29" t="n">
        <f aca="false">IF(AND(N81&gt;=-0.0000001,N80&lt;0),1,0)</f>
        <v>1</v>
      </c>
      <c r="Q81" s="30" t="n">
        <f aca="false">IF(P81=1,A81-O80,"")</f>
        <v>25</v>
      </c>
    </row>
    <row r="82" customFormat="false" ht="15" hidden="false" customHeight="false" outlineLevel="0" collapsed="false">
      <c r="A82" s="25" t="n">
        <v>45930</v>
      </c>
      <c r="B82" s="26" t="s">
        <v>80</v>
      </c>
      <c r="C82" s="27" t="n">
        <v>-58957.5</v>
      </c>
      <c r="D82" s="28" t="n">
        <f aca="false">C82/$T$1*100</f>
        <v>-11.7915</v>
      </c>
      <c r="E82" s="28" t="n">
        <f aca="false">E81+D82</f>
        <v>124.62825</v>
      </c>
      <c r="F82" s="28" t="n">
        <f aca="false">MAX(0,MAX($E$2:E82))</f>
        <v>136.41975</v>
      </c>
      <c r="G82" s="28" t="n">
        <f aca="false">E82-F82</f>
        <v>-11.7915</v>
      </c>
      <c r="H82" s="25" t="n">
        <f aca="false">IF(G82&gt;=-0.0000001,A82,H81)</f>
        <v>45929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-58957.5</v>
      </c>
      <c r="L82" s="28" t="n">
        <f aca="false">L81+K82/$T$1*100</f>
        <v>128.061</v>
      </c>
      <c r="M82" s="28" t="n">
        <f aca="false">MAX(0,MAX($L$2:L82))</f>
        <v>139.8525</v>
      </c>
      <c r="N82" s="28" t="n">
        <f aca="false">L82-M82</f>
        <v>-11.7915</v>
      </c>
      <c r="O82" s="25" t="n">
        <f aca="false">IF(N82&gt;=-0.0000001,A82,O81)</f>
        <v>45929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45931</v>
      </c>
      <c r="B83" s="26" t="s">
        <v>81</v>
      </c>
      <c r="C83" s="27" t="n">
        <v>-27637.5</v>
      </c>
      <c r="D83" s="28" t="n">
        <f aca="false">C83/$T$1*100</f>
        <v>-5.5275</v>
      </c>
      <c r="E83" s="28" t="n">
        <f aca="false">E82+D83</f>
        <v>119.10075</v>
      </c>
      <c r="F83" s="28" t="n">
        <f aca="false">MAX(0,MAX($E$2:E83))</f>
        <v>136.41975</v>
      </c>
      <c r="G83" s="28" t="n">
        <f aca="false">E83-F83</f>
        <v>-17.319</v>
      </c>
      <c r="H83" s="25" t="n">
        <f aca="false">IF(G83&gt;=-0.0000001,A83,H82)</f>
        <v>45929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0</v>
      </c>
      <c r="L83" s="28" t="n">
        <f aca="false">L82+K83/$T$1*100</f>
        <v>128.061</v>
      </c>
      <c r="M83" s="28" t="n">
        <f aca="false">MAX(0,MAX($L$2:L83))</f>
        <v>139.8525</v>
      </c>
      <c r="N83" s="28" t="n">
        <f aca="false">L83-M83</f>
        <v>-11.7915</v>
      </c>
      <c r="O83" s="25" t="n">
        <f aca="false">IF(N83&gt;=-0.0000001,A83,O82)</f>
        <v>45929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45933</v>
      </c>
      <c r="B84" s="26" t="s">
        <v>83</v>
      </c>
      <c r="C84" s="27" t="n">
        <v>-29475</v>
      </c>
      <c r="D84" s="28" t="n">
        <f aca="false">C84/$T$1*100</f>
        <v>-5.895</v>
      </c>
      <c r="E84" s="28" t="n">
        <f aca="false">E83+D84</f>
        <v>113.20575</v>
      </c>
      <c r="F84" s="28" t="n">
        <f aca="false">MAX(0,MAX($E$2:E84))</f>
        <v>136.41975</v>
      </c>
      <c r="G84" s="28" t="n">
        <f aca="false">E84-F84</f>
        <v>-23.214</v>
      </c>
      <c r="H84" s="25" t="n">
        <f aca="false">IF(G84&gt;=-0.0000001,A84,H83)</f>
        <v>45929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-29475</v>
      </c>
      <c r="L84" s="28" t="n">
        <f aca="false">L83+K84/$T$1*100</f>
        <v>122.166</v>
      </c>
      <c r="M84" s="28" t="n">
        <f aca="false">MAX(0,MAX($L$2:L84))</f>
        <v>139.8525</v>
      </c>
      <c r="N84" s="28" t="n">
        <f aca="false">L84-M84</f>
        <v>-17.6865</v>
      </c>
      <c r="O84" s="25" t="n">
        <f aca="false">IF(N84&gt;=-0.0000001,A84,O83)</f>
        <v>45929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45936</v>
      </c>
      <c r="B85" s="26" t="s">
        <v>79</v>
      </c>
      <c r="C85" s="27" t="n">
        <v>-47520</v>
      </c>
      <c r="D85" s="28" t="n">
        <f aca="false">C85/$T$1*100</f>
        <v>-9.504</v>
      </c>
      <c r="E85" s="28" t="n">
        <f aca="false">E84+D85</f>
        <v>103.70175</v>
      </c>
      <c r="F85" s="28" t="n">
        <f aca="false">MAX(0,MAX($E$2:E85))</f>
        <v>136.41975</v>
      </c>
      <c r="G85" s="28" t="n">
        <f aca="false">E85-F85</f>
        <v>-32.718</v>
      </c>
      <c r="H85" s="25" t="n">
        <f aca="false">IF(G85&gt;=-0.0000001,A85,H84)</f>
        <v>45929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-47520</v>
      </c>
      <c r="L85" s="28" t="n">
        <f aca="false">L84+K85/$T$1*100</f>
        <v>112.662</v>
      </c>
      <c r="M85" s="28" t="n">
        <f aca="false">MAX(0,MAX($L$2:L85))</f>
        <v>139.8525</v>
      </c>
      <c r="N85" s="28" t="n">
        <f aca="false">L85-M85</f>
        <v>-27.1905</v>
      </c>
      <c r="O85" s="25" t="n">
        <f aca="false">IF(N85&gt;=-0.0000001,A85,O84)</f>
        <v>45929</v>
      </c>
      <c r="P85" s="29" t="n">
        <f aca="false">IF(AND(N85&gt;=-0.0000001,N84&lt;0),1,0)</f>
        <v>0</v>
      </c>
      <c r="Q85" s="30" t="str">
        <f aca="false">IF(P85=1,A85-O84,"")</f>
        <v/>
      </c>
    </row>
    <row r="86" customFormat="false" ht="15" hidden="false" customHeight="false" outlineLevel="0" collapsed="false">
      <c r="A86" s="25" t="n">
        <v>45937</v>
      </c>
      <c r="B86" s="26" t="s">
        <v>80</v>
      </c>
      <c r="C86" s="27" t="n">
        <v>210476.25</v>
      </c>
      <c r="D86" s="28" t="n">
        <f aca="false">C86/$T$1*100</f>
        <v>42.09525</v>
      </c>
      <c r="E86" s="28" t="n">
        <f aca="false">E85+D86</f>
        <v>145.797</v>
      </c>
      <c r="F86" s="28" t="n">
        <f aca="false">MAX(0,MAX($E$2:E86))</f>
        <v>145.797</v>
      </c>
      <c r="G86" s="28" t="n">
        <f aca="false">E86-F86</f>
        <v>0</v>
      </c>
      <c r="H86" s="25" t="n">
        <f aca="false">IF(G86&gt;=-0.0000001,A86,H85)</f>
        <v>45937</v>
      </c>
      <c r="I86" s="29" t="n">
        <f aca="false">IF(AND(G86&gt;=-0.0000001,G85&lt;0),1,0)</f>
        <v>1</v>
      </c>
      <c r="J86" s="30" t="n">
        <f aca="false">IF(I86=1,A86-H85,"")</f>
        <v>8</v>
      </c>
      <c r="K86" s="27" t="n">
        <f aca="false">IF(B86="Wednesday",0,C86)</f>
        <v>210476.25</v>
      </c>
      <c r="L86" s="28" t="n">
        <f aca="false">L85+K86/$T$1*100</f>
        <v>154.75725</v>
      </c>
      <c r="M86" s="28" t="n">
        <f aca="false">MAX(0,MAX($L$2:L86))</f>
        <v>154.75725</v>
      </c>
      <c r="N86" s="28" t="n">
        <f aca="false">L86-M86</f>
        <v>0</v>
      </c>
      <c r="O86" s="25" t="n">
        <f aca="false">IF(N86&gt;=-0.0000001,A86,O85)</f>
        <v>45937</v>
      </c>
      <c r="P86" s="29" t="n">
        <f aca="false">IF(AND(N86&gt;=-0.0000001,N85&lt;0),1,0)</f>
        <v>1</v>
      </c>
      <c r="Q86" s="30" t="n">
        <f aca="false">IF(P86=1,A86-O85,"")</f>
        <v>8</v>
      </c>
    </row>
    <row r="87" customFormat="false" ht="15" hidden="false" customHeight="false" outlineLevel="0" collapsed="false">
      <c r="A87" s="25" t="n">
        <v>45938</v>
      </c>
      <c r="B87" s="26" t="s">
        <v>81</v>
      </c>
      <c r="C87" s="27" t="n">
        <v>-17550</v>
      </c>
      <c r="D87" s="28" t="n">
        <f aca="false">C87/$T$1*100</f>
        <v>-3.51</v>
      </c>
      <c r="E87" s="28" t="n">
        <f aca="false">E86+D87</f>
        <v>142.287</v>
      </c>
      <c r="F87" s="28" t="n">
        <f aca="false">MAX(0,MAX($E$2:E87))</f>
        <v>145.797</v>
      </c>
      <c r="G87" s="28" t="n">
        <f aca="false">E87-F87</f>
        <v>-3.50999999999999</v>
      </c>
      <c r="H87" s="25" t="n">
        <f aca="false">IF(G87&gt;=-0.0000001,A87,H86)</f>
        <v>45937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0</v>
      </c>
      <c r="L87" s="28" t="n">
        <f aca="false">L86+K87/$T$1*100</f>
        <v>154.75725</v>
      </c>
      <c r="M87" s="28" t="n">
        <f aca="false">MAX(0,MAX($L$2:L87))</f>
        <v>154.75725</v>
      </c>
      <c r="N87" s="28" t="n">
        <f aca="false">L87-M87</f>
        <v>0</v>
      </c>
      <c r="O87" s="25" t="n">
        <f aca="false">IF(N87&gt;=-0.0000001,A87,O86)</f>
        <v>45938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45939</v>
      </c>
      <c r="B88" s="26" t="s">
        <v>82</v>
      </c>
      <c r="C88" s="27" t="n">
        <v>32261.25</v>
      </c>
      <c r="D88" s="28" t="n">
        <f aca="false">C88/$T$1*100</f>
        <v>6.45225</v>
      </c>
      <c r="E88" s="28" t="n">
        <f aca="false">E87+D88</f>
        <v>148.73925</v>
      </c>
      <c r="F88" s="28" t="n">
        <f aca="false">MAX(0,MAX($E$2:E88))</f>
        <v>148.73925</v>
      </c>
      <c r="G88" s="28" t="n">
        <f aca="false">E88-F88</f>
        <v>0</v>
      </c>
      <c r="H88" s="25" t="n">
        <f aca="false">IF(G88&gt;=-0.0000001,A88,H87)</f>
        <v>45939</v>
      </c>
      <c r="I88" s="29" t="n">
        <f aca="false">IF(AND(G88&gt;=-0.0000001,G87&lt;0),1,0)</f>
        <v>1</v>
      </c>
      <c r="J88" s="30" t="n">
        <f aca="false">IF(I88=1,A88-H87,"")</f>
        <v>2</v>
      </c>
      <c r="K88" s="27" t="n">
        <f aca="false">IF(B88="Wednesday",0,C88)</f>
        <v>32261.25</v>
      </c>
      <c r="L88" s="28" t="n">
        <f aca="false">L87+K88/$T$1*100</f>
        <v>161.2095</v>
      </c>
      <c r="M88" s="28" t="n">
        <f aca="false">MAX(0,MAX($L$2:L88))</f>
        <v>161.2095</v>
      </c>
      <c r="N88" s="28" t="n">
        <f aca="false">L88-M88</f>
        <v>0</v>
      </c>
      <c r="O88" s="25" t="n">
        <f aca="false">IF(N88&gt;=-0.0000001,A88,O87)</f>
        <v>45939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45940</v>
      </c>
      <c r="B89" s="26" t="s">
        <v>83</v>
      </c>
      <c r="C89" s="27" t="n">
        <v>-10380</v>
      </c>
      <c r="D89" s="28" t="n">
        <f aca="false">C89/$T$1*100</f>
        <v>-2.076</v>
      </c>
      <c r="E89" s="28" t="n">
        <f aca="false">E88+D89</f>
        <v>146.66325</v>
      </c>
      <c r="F89" s="28" t="n">
        <f aca="false">MAX(0,MAX($E$2:E89))</f>
        <v>148.73925</v>
      </c>
      <c r="G89" s="28" t="n">
        <f aca="false">E89-F89</f>
        <v>-2.07599999999999</v>
      </c>
      <c r="H89" s="25" t="n">
        <f aca="false">IF(G89&gt;=-0.0000001,A89,H88)</f>
        <v>45939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-10380</v>
      </c>
      <c r="L89" s="28" t="n">
        <f aca="false">L88+K89/$T$1*100</f>
        <v>159.1335</v>
      </c>
      <c r="M89" s="28" t="n">
        <f aca="false">MAX(0,MAX($L$2:L89))</f>
        <v>161.2095</v>
      </c>
      <c r="N89" s="28" t="n">
        <f aca="false">L89-M89</f>
        <v>-2.07599999999999</v>
      </c>
      <c r="O89" s="25" t="n">
        <f aca="false">IF(N89&gt;=-0.0000001,A89,O88)</f>
        <v>45939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45943</v>
      </c>
      <c r="B90" s="26" t="s">
        <v>79</v>
      </c>
      <c r="C90" s="27" t="n">
        <v>20587.5</v>
      </c>
      <c r="D90" s="28" t="n">
        <f aca="false">C90/$T$1*100</f>
        <v>4.1175</v>
      </c>
      <c r="E90" s="28" t="n">
        <f aca="false">E89+D90</f>
        <v>150.78075</v>
      </c>
      <c r="F90" s="28" t="n">
        <f aca="false">MAX(0,MAX($E$2:E90))</f>
        <v>150.78075</v>
      </c>
      <c r="G90" s="28" t="n">
        <f aca="false">E90-F90</f>
        <v>0</v>
      </c>
      <c r="H90" s="25" t="n">
        <f aca="false">IF(G90&gt;=-0.0000001,A90,H89)</f>
        <v>45943</v>
      </c>
      <c r="I90" s="29" t="n">
        <f aca="false">IF(AND(G90&gt;=-0.0000001,G89&lt;0),1,0)</f>
        <v>1</v>
      </c>
      <c r="J90" s="30" t="n">
        <f aca="false">IF(I90=1,A90-H89,"")</f>
        <v>4</v>
      </c>
      <c r="K90" s="27" t="n">
        <f aca="false">IF(B90="Wednesday",0,C90)</f>
        <v>20587.5</v>
      </c>
      <c r="L90" s="28" t="n">
        <f aca="false">L89+K90/$T$1*100</f>
        <v>163.251</v>
      </c>
      <c r="M90" s="28" t="n">
        <f aca="false">MAX(0,MAX($L$2:L90))</f>
        <v>163.251</v>
      </c>
      <c r="N90" s="28" t="n">
        <f aca="false">L90-M90</f>
        <v>0</v>
      </c>
      <c r="O90" s="25" t="n">
        <f aca="false">IF(N90&gt;=-0.0000001,A90,O89)</f>
        <v>45943</v>
      </c>
      <c r="P90" s="29" t="n">
        <f aca="false">IF(AND(N90&gt;=-0.0000001,N89&lt;0),1,0)</f>
        <v>1</v>
      </c>
      <c r="Q90" s="30" t="n">
        <f aca="false">IF(P90=1,A90-O89,"")</f>
        <v>4</v>
      </c>
    </row>
    <row r="91" customFormat="false" ht="15" hidden="false" customHeight="false" outlineLevel="0" collapsed="false">
      <c r="A91" s="25" t="n">
        <v>45944</v>
      </c>
      <c r="B91" s="26" t="s">
        <v>80</v>
      </c>
      <c r="C91" s="27" t="n">
        <v>-59651.25</v>
      </c>
      <c r="D91" s="28" t="n">
        <f aca="false">C91/$T$1*100</f>
        <v>-11.93025</v>
      </c>
      <c r="E91" s="28" t="n">
        <f aca="false">E90+D91</f>
        <v>138.8505</v>
      </c>
      <c r="F91" s="28" t="n">
        <f aca="false">MAX(0,MAX($E$2:E91))</f>
        <v>150.78075</v>
      </c>
      <c r="G91" s="28" t="n">
        <f aca="false">E91-F91</f>
        <v>-11.93025</v>
      </c>
      <c r="H91" s="25" t="n">
        <f aca="false">IF(G91&gt;=-0.0000001,A91,H90)</f>
        <v>45943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-59651.25</v>
      </c>
      <c r="L91" s="28" t="n">
        <f aca="false">L90+K91/$T$1*100</f>
        <v>151.32075</v>
      </c>
      <c r="M91" s="28" t="n">
        <f aca="false">MAX(0,MAX($L$2:L91))</f>
        <v>163.251</v>
      </c>
      <c r="N91" s="28" t="n">
        <f aca="false">L91-M91</f>
        <v>-11.93025</v>
      </c>
      <c r="O91" s="25" t="n">
        <f aca="false">IF(N91&gt;=-0.0000001,A91,O90)</f>
        <v>45943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45945</v>
      </c>
      <c r="B92" s="26" t="s">
        <v>81</v>
      </c>
      <c r="C92" s="27" t="n">
        <v>-3690</v>
      </c>
      <c r="D92" s="28" t="n">
        <f aca="false">C92/$T$1*100</f>
        <v>-0.738</v>
      </c>
      <c r="E92" s="28" t="n">
        <f aca="false">E91+D92</f>
        <v>138.1125</v>
      </c>
      <c r="F92" s="28" t="n">
        <f aca="false">MAX(0,MAX($E$2:E92))</f>
        <v>150.78075</v>
      </c>
      <c r="G92" s="28" t="n">
        <f aca="false">E92-F92</f>
        <v>-12.66825</v>
      </c>
      <c r="H92" s="25" t="n">
        <f aca="false">IF(G92&gt;=-0.0000001,A92,H91)</f>
        <v>45943</v>
      </c>
      <c r="I92" s="29" t="n">
        <f aca="false">IF(AND(G92&gt;=-0.0000001,G91&lt;0),1,0)</f>
        <v>0</v>
      </c>
      <c r="J92" s="30" t="str">
        <f aca="false">IF(I92=1,A92-H91,"")</f>
        <v/>
      </c>
      <c r="K92" s="27" t="n">
        <f aca="false">IF(B92="Wednesday",0,C92)</f>
        <v>0</v>
      </c>
      <c r="L92" s="28" t="n">
        <f aca="false">L91+K92/$T$1*100</f>
        <v>151.32075</v>
      </c>
      <c r="M92" s="28" t="n">
        <f aca="false">MAX(0,MAX($L$2:L92))</f>
        <v>163.251</v>
      </c>
      <c r="N92" s="28" t="n">
        <f aca="false">L92-M92</f>
        <v>-11.93025</v>
      </c>
      <c r="O92" s="25" t="n">
        <f aca="false">IF(N92&gt;=-0.0000001,A92,O91)</f>
        <v>45943</v>
      </c>
      <c r="P92" s="29" t="n">
        <f aca="false">IF(AND(N92&gt;=-0.0000001,N91&lt;0),1,0)</f>
        <v>0</v>
      </c>
      <c r="Q92" s="30" t="str">
        <f aca="false">IF(P92=1,A92-O91,"")</f>
        <v/>
      </c>
    </row>
    <row r="93" customFormat="false" ht="15" hidden="false" customHeight="false" outlineLevel="0" collapsed="false">
      <c r="A93" s="25" t="n">
        <v>45946</v>
      </c>
      <c r="B93" s="26" t="s">
        <v>82</v>
      </c>
      <c r="C93" s="27" t="n">
        <v>65160</v>
      </c>
      <c r="D93" s="28" t="n">
        <f aca="false">C93/$T$1*100</f>
        <v>13.032</v>
      </c>
      <c r="E93" s="28" t="n">
        <f aca="false">E92+D93</f>
        <v>151.1445</v>
      </c>
      <c r="F93" s="28" t="n">
        <f aca="false">MAX(0,MAX($E$2:E93))</f>
        <v>151.1445</v>
      </c>
      <c r="G93" s="28" t="n">
        <f aca="false">E93-F93</f>
        <v>0</v>
      </c>
      <c r="H93" s="25" t="n">
        <f aca="false">IF(G93&gt;=-0.0000001,A93,H92)</f>
        <v>45946</v>
      </c>
      <c r="I93" s="29" t="n">
        <f aca="false">IF(AND(G93&gt;=-0.0000001,G92&lt;0),1,0)</f>
        <v>1</v>
      </c>
      <c r="J93" s="30" t="n">
        <f aca="false">IF(I93=1,A93-H92,"")</f>
        <v>3</v>
      </c>
      <c r="K93" s="27" t="n">
        <f aca="false">IF(B93="Wednesday",0,C93)</f>
        <v>65160</v>
      </c>
      <c r="L93" s="28" t="n">
        <f aca="false">L92+K93/$T$1*100</f>
        <v>164.35275</v>
      </c>
      <c r="M93" s="28" t="n">
        <f aca="false">MAX(0,MAX($L$2:L93))</f>
        <v>164.35275</v>
      </c>
      <c r="N93" s="28" t="n">
        <f aca="false">L93-M93</f>
        <v>0</v>
      </c>
      <c r="O93" s="25" t="n">
        <f aca="false">IF(N93&gt;=-0.0000001,A93,O92)</f>
        <v>45946</v>
      </c>
      <c r="P93" s="29" t="n">
        <f aca="false">IF(AND(N93&gt;=-0.0000001,N92&lt;0),1,0)</f>
        <v>1</v>
      </c>
      <c r="Q93" s="30" t="n">
        <f aca="false">IF(P93=1,A93-O92,"")</f>
        <v>3</v>
      </c>
    </row>
    <row r="94" customFormat="false" ht="15" hidden="false" customHeight="false" outlineLevel="0" collapsed="false">
      <c r="A94" s="25" t="n">
        <v>45947</v>
      </c>
      <c r="B94" s="26" t="s">
        <v>83</v>
      </c>
      <c r="C94" s="27" t="n">
        <v>-57397.5</v>
      </c>
      <c r="D94" s="28" t="n">
        <f aca="false">C94/$T$1*100</f>
        <v>-11.4795</v>
      </c>
      <c r="E94" s="28" t="n">
        <f aca="false">E93+D94</f>
        <v>139.665</v>
      </c>
      <c r="F94" s="28" t="n">
        <f aca="false">MAX(0,MAX($E$2:E94))</f>
        <v>151.1445</v>
      </c>
      <c r="G94" s="28" t="n">
        <f aca="false">E94-F94</f>
        <v>-11.4795</v>
      </c>
      <c r="H94" s="25" t="n">
        <f aca="false">IF(G94&gt;=-0.0000001,A94,H93)</f>
        <v>45946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-57397.5</v>
      </c>
      <c r="L94" s="28" t="n">
        <f aca="false">L93+K94/$T$1*100</f>
        <v>152.87325</v>
      </c>
      <c r="M94" s="28" t="n">
        <f aca="false">MAX(0,MAX($L$2:L94))</f>
        <v>164.35275</v>
      </c>
      <c r="N94" s="28" t="n">
        <f aca="false">L94-M94</f>
        <v>-11.4795</v>
      </c>
      <c r="O94" s="25" t="n">
        <f aca="false">IF(N94&gt;=-0.0000001,A94,O93)</f>
        <v>45946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45950</v>
      </c>
      <c r="B95" s="26" t="s">
        <v>79</v>
      </c>
      <c r="C95" s="27" t="n">
        <v>72641.25</v>
      </c>
      <c r="D95" s="28" t="n">
        <f aca="false">C95/$T$1*100</f>
        <v>14.52825</v>
      </c>
      <c r="E95" s="28" t="n">
        <f aca="false">E94+D95</f>
        <v>154.19325</v>
      </c>
      <c r="F95" s="28" t="n">
        <f aca="false">MAX(0,MAX($E$2:E95))</f>
        <v>154.19325</v>
      </c>
      <c r="G95" s="28" t="n">
        <f aca="false">E95-F95</f>
        <v>0</v>
      </c>
      <c r="H95" s="25" t="n">
        <f aca="false">IF(G95&gt;=-0.0000001,A95,H94)</f>
        <v>45950</v>
      </c>
      <c r="I95" s="29" t="n">
        <f aca="false">IF(AND(G95&gt;=-0.0000001,G94&lt;0),1,0)</f>
        <v>1</v>
      </c>
      <c r="J95" s="30" t="n">
        <f aca="false">IF(I95=1,A95-H94,"")</f>
        <v>4</v>
      </c>
      <c r="K95" s="27" t="n">
        <f aca="false">IF(B95="Wednesday",0,C95)</f>
        <v>72641.25</v>
      </c>
      <c r="L95" s="28" t="n">
        <f aca="false">L94+K95/$T$1*100</f>
        <v>167.4015</v>
      </c>
      <c r="M95" s="28" t="n">
        <f aca="false">MAX(0,MAX($L$2:L95))</f>
        <v>167.4015</v>
      </c>
      <c r="N95" s="28" t="n">
        <f aca="false">L95-M95</f>
        <v>0</v>
      </c>
      <c r="O95" s="25" t="n">
        <f aca="false">IF(N95&gt;=-0.0000001,A95,O94)</f>
        <v>45950</v>
      </c>
      <c r="P95" s="29" t="n">
        <f aca="false">IF(AND(N95&gt;=-0.0000001,N94&lt;0),1,0)</f>
        <v>1</v>
      </c>
      <c r="Q95" s="30" t="n">
        <f aca="false">IF(P95=1,A95-O94,"")</f>
        <v>4</v>
      </c>
    </row>
    <row r="96" customFormat="false" ht="15" hidden="false" customHeight="false" outlineLevel="0" collapsed="false">
      <c r="A96" s="25" t="n">
        <v>45953</v>
      </c>
      <c r="B96" s="26" t="s">
        <v>82</v>
      </c>
      <c r="C96" s="27" t="n">
        <v>-29025</v>
      </c>
      <c r="D96" s="28" t="n">
        <f aca="false">C96/$T$1*100</f>
        <v>-5.805</v>
      </c>
      <c r="E96" s="28" t="n">
        <f aca="false">E95+D96</f>
        <v>148.38825</v>
      </c>
      <c r="F96" s="28" t="n">
        <f aca="false">MAX(0,MAX($E$2:E96))</f>
        <v>154.19325</v>
      </c>
      <c r="G96" s="28" t="n">
        <f aca="false">E96-F96</f>
        <v>-5.80500000000001</v>
      </c>
      <c r="H96" s="25" t="n">
        <f aca="false">IF(G96&gt;=-0.0000001,A96,H95)</f>
        <v>45950</v>
      </c>
      <c r="I96" s="29" t="n">
        <f aca="false">IF(AND(G96&gt;=-0.0000001,G95&lt;0),1,0)</f>
        <v>0</v>
      </c>
      <c r="J96" s="30" t="str">
        <f aca="false">IF(I96=1,A96-H95,"")</f>
        <v/>
      </c>
      <c r="K96" s="27" t="n">
        <f aca="false">IF(B96="Wednesday",0,C96)</f>
        <v>-29025</v>
      </c>
      <c r="L96" s="28" t="n">
        <f aca="false">L95+K96/$T$1*100</f>
        <v>161.5965</v>
      </c>
      <c r="M96" s="28" t="n">
        <f aca="false">MAX(0,MAX($L$2:L96))</f>
        <v>167.4015</v>
      </c>
      <c r="N96" s="28" t="n">
        <f aca="false">L96-M96</f>
        <v>-5.80500000000001</v>
      </c>
      <c r="O96" s="25" t="n">
        <f aca="false">IF(N96&gt;=-0.0000001,A96,O95)</f>
        <v>45950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45954</v>
      </c>
      <c r="B97" s="26" t="s">
        <v>83</v>
      </c>
      <c r="C97" s="27" t="n">
        <v>26422.5</v>
      </c>
      <c r="D97" s="28" t="n">
        <f aca="false">C97/$T$1*100</f>
        <v>5.2845</v>
      </c>
      <c r="E97" s="28" t="n">
        <f aca="false">E96+D97</f>
        <v>153.67275</v>
      </c>
      <c r="F97" s="28" t="n">
        <f aca="false">MAX(0,MAX($E$2:E97))</f>
        <v>154.19325</v>
      </c>
      <c r="G97" s="28" t="n">
        <f aca="false">E97-F97</f>
        <v>-0.520499999999998</v>
      </c>
      <c r="H97" s="25" t="n">
        <f aca="false">IF(G97&gt;=-0.0000001,A97,H96)</f>
        <v>45950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26422.5</v>
      </c>
      <c r="L97" s="28" t="n">
        <f aca="false">L96+K97/$T$1*100</f>
        <v>166.881</v>
      </c>
      <c r="M97" s="28" t="n">
        <f aca="false">MAX(0,MAX($L$2:L97))</f>
        <v>167.4015</v>
      </c>
      <c r="N97" s="28" t="n">
        <f aca="false">L97-M97</f>
        <v>-0.520499999999998</v>
      </c>
      <c r="O97" s="25" t="n">
        <f aca="false">IF(N97&gt;=-0.0000001,A97,O96)</f>
        <v>45950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45957</v>
      </c>
      <c r="B98" s="26" t="s">
        <v>79</v>
      </c>
      <c r="C98" s="27" t="n">
        <v>-15720</v>
      </c>
      <c r="D98" s="28" t="n">
        <f aca="false">C98/$T$1*100</f>
        <v>-3.144</v>
      </c>
      <c r="E98" s="28" t="n">
        <f aca="false">E97+D98</f>
        <v>150.52875</v>
      </c>
      <c r="F98" s="28" t="n">
        <f aca="false">MAX(0,MAX($E$2:E98))</f>
        <v>154.19325</v>
      </c>
      <c r="G98" s="28" t="n">
        <f aca="false">E98-F98</f>
        <v>-3.6645</v>
      </c>
      <c r="H98" s="25" t="n">
        <f aca="false">IF(G98&gt;=-0.0000001,A98,H97)</f>
        <v>45950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-15720</v>
      </c>
      <c r="L98" s="28" t="n">
        <f aca="false">L97+K98/$T$1*100</f>
        <v>163.737</v>
      </c>
      <c r="M98" s="28" t="n">
        <f aca="false">MAX(0,MAX($L$2:L98))</f>
        <v>167.4015</v>
      </c>
      <c r="N98" s="28" t="n">
        <f aca="false">L98-M98</f>
        <v>-3.6645</v>
      </c>
      <c r="O98" s="25" t="n">
        <f aca="false">IF(N98&gt;=-0.0000001,A98,O97)</f>
        <v>45950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45958</v>
      </c>
      <c r="B99" s="26" t="s">
        <v>80</v>
      </c>
      <c r="C99" s="27" t="n">
        <v>113298.75</v>
      </c>
      <c r="D99" s="28" t="n">
        <f aca="false">C99/$T$1*100</f>
        <v>22.65975</v>
      </c>
      <c r="E99" s="28" t="n">
        <f aca="false">E98+D99</f>
        <v>173.1885</v>
      </c>
      <c r="F99" s="28" t="n">
        <f aca="false">MAX(0,MAX($E$2:E99))</f>
        <v>173.1885</v>
      </c>
      <c r="G99" s="28" t="n">
        <f aca="false">E99-F99</f>
        <v>0</v>
      </c>
      <c r="H99" s="25" t="n">
        <f aca="false">IF(G99&gt;=-0.0000001,A99,H98)</f>
        <v>45958</v>
      </c>
      <c r="I99" s="29" t="n">
        <f aca="false">IF(AND(G99&gt;=-0.0000001,G98&lt;0),1,0)</f>
        <v>1</v>
      </c>
      <c r="J99" s="30" t="n">
        <f aca="false">IF(I99=1,A99-H98,"")</f>
        <v>8</v>
      </c>
      <c r="K99" s="27" t="n">
        <f aca="false">IF(B99="Wednesday",0,C99)</f>
        <v>113298.75</v>
      </c>
      <c r="L99" s="28" t="n">
        <f aca="false">L98+K99/$T$1*100</f>
        <v>186.39675</v>
      </c>
      <c r="M99" s="28" t="n">
        <f aca="false">MAX(0,MAX($L$2:L99))</f>
        <v>186.39675</v>
      </c>
      <c r="N99" s="28" t="n">
        <f aca="false">L99-M99</f>
        <v>0</v>
      </c>
      <c r="O99" s="25" t="n">
        <f aca="false">IF(N99&gt;=-0.0000001,A99,O98)</f>
        <v>45958</v>
      </c>
      <c r="P99" s="29" t="n">
        <f aca="false">IF(AND(N99&gt;=-0.0000001,N98&lt;0),1,0)</f>
        <v>1</v>
      </c>
      <c r="Q99" s="30" t="n">
        <f aca="false">IF(P99=1,A99-O98,"")</f>
        <v>8</v>
      </c>
    </row>
    <row r="100" customFormat="false" ht="15" hidden="false" customHeight="false" outlineLevel="0" collapsed="false">
      <c r="A100" s="25" t="n">
        <v>45959</v>
      </c>
      <c r="B100" s="26" t="s">
        <v>81</v>
      </c>
      <c r="C100" s="27" t="n">
        <v>168.75</v>
      </c>
      <c r="D100" s="28" t="n">
        <f aca="false">C100/$T$1*100</f>
        <v>0.03375</v>
      </c>
      <c r="E100" s="28" t="n">
        <f aca="false">E99+D100</f>
        <v>173.22225</v>
      </c>
      <c r="F100" s="28" t="n">
        <f aca="false">MAX(0,MAX($E$2:E100))</f>
        <v>173.22225</v>
      </c>
      <c r="G100" s="28" t="n">
        <f aca="false">E100-F100</f>
        <v>0</v>
      </c>
      <c r="H100" s="25" t="n">
        <f aca="false">IF(G100&gt;=-0.0000001,A100,H99)</f>
        <v>45959</v>
      </c>
      <c r="I100" s="29" t="n">
        <f aca="false">IF(AND(G100&gt;=-0.0000001,G99&lt;0),1,0)</f>
        <v>0</v>
      </c>
      <c r="J100" s="30" t="str">
        <f aca="false">IF(I100=1,A100-H99,"")</f>
        <v/>
      </c>
      <c r="K100" s="27" t="n">
        <f aca="false">IF(B100="Wednesday",0,C100)</f>
        <v>0</v>
      </c>
      <c r="L100" s="28" t="n">
        <f aca="false">L99+K100/$T$1*100</f>
        <v>186.39675</v>
      </c>
      <c r="M100" s="28" t="n">
        <f aca="false">MAX(0,MAX($L$2:L100))</f>
        <v>186.39675</v>
      </c>
      <c r="N100" s="28" t="n">
        <f aca="false">L100-M100</f>
        <v>0</v>
      </c>
      <c r="O100" s="25" t="n">
        <f aca="false">IF(N100&gt;=-0.0000001,A100,O99)</f>
        <v>45959</v>
      </c>
      <c r="P100" s="29" t="n">
        <f aca="false">IF(AND(N100&gt;=-0.0000001,N99&lt;0),1,0)</f>
        <v>0</v>
      </c>
      <c r="Q100" s="30" t="str">
        <f aca="false">IF(P100=1,A100-O99,"")</f>
        <v/>
      </c>
    </row>
    <row r="101" customFormat="false" ht="15" hidden="false" customHeight="false" outlineLevel="0" collapsed="false">
      <c r="A101" s="25" t="n">
        <v>45960</v>
      </c>
      <c r="B101" s="26" t="s">
        <v>82</v>
      </c>
      <c r="C101" s="27" t="n">
        <v>-12600</v>
      </c>
      <c r="D101" s="28" t="n">
        <f aca="false">C101/$T$1*100</f>
        <v>-2.52</v>
      </c>
      <c r="E101" s="28" t="n">
        <f aca="false">E100+D101</f>
        <v>170.70225</v>
      </c>
      <c r="F101" s="28" t="n">
        <f aca="false">MAX(0,MAX($E$2:E101))</f>
        <v>173.22225</v>
      </c>
      <c r="G101" s="28" t="n">
        <f aca="false">E101-F101</f>
        <v>-2.52000000000001</v>
      </c>
      <c r="H101" s="25" t="n">
        <f aca="false">IF(G101&gt;=-0.0000001,A101,H100)</f>
        <v>45959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-12600</v>
      </c>
      <c r="L101" s="28" t="n">
        <f aca="false">L100+K101/$T$1*100</f>
        <v>183.87675</v>
      </c>
      <c r="M101" s="28" t="n">
        <f aca="false">MAX(0,MAX($L$2:L101))</f>
        <v>186.39675</v>
      </c>
      <c r="N101" s="28" t="n">
        <f aca="false">L101-M101</f>
        <v>-2.52000000000001</v>
      </c>
      <c r="O101" s="25" t="n">
        <f aca="false">IF(N101&gt;=-0.0000001,A101,O100)</f>
        <v>45959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45961</v>
      </c>
      <c r="B102" s="26" t="s">
        <v>83</v>
      </c>
      <c r="C102" s="27" t="n">
        <v>17775</v>
      </c>
      <c r="D102" s="28" t="n">
        <f aca="false">C102/$T$1*100</f>
        <v>3.555</v>
      </c>
      <c r="E102" s="28" t="n">
        <f aca="false">E101+D102</f>
        <v>174.25725</v>
      </c>
      <c r="F102" s="28" t="n">
        <f aca="false">MAX(0,MAX($E$2:E102))</f>
        <v>174.25725</v>
      </c>
      <c r="G102" s="28" t="n">
        <f aca="false">E102-F102</f>
        <v>0</v>
      </c>
      <c r="H102" s="25" t="n">
        <f aca="false">IF(G102&gt;=-0.0000001,A102,H101)</f>
        <v>45961</v>
      </c>
      <c r="I102" s="29" t="n">
        <f aca="false">IF(AND(G102&gt;=-0.0000001,G101&lt;0),1,0)</f>
        <v>1</v>
      </c>
      <c r="J102" s="30" t="n">
        <f aca="false">IF(I102=1,A102-H101,"")</f>
        <v>2</v>
      </c>
      <c r="K102" s="27" t="n">
        <f aca="false">IF(B102="Wednesday",0,C102)</f>
        <v>17775</v>
      </c>
      <c r="L102" s="28" t="n">
        <f aca="false">L101+K102/$T$1*100</f>
        <v>187.43175</v>
      </c>
      <c r="M102" s="28" t="n">
        <f aca="false">MAX(0,MAX($L$2:L102))</f>
        <v>187.43175</v>
      </c>
      <c r="N102" s="28" t="n">
        <f aca="false">L102-M102</f>
        <v>0</v>
      </c>
      <c r="O102" s="25" t="n">
        <f aca="false">IF(N102&gt;=-0.0000001,A102,O101)</f>
        <v>45961</v>
      </c>
      <c r="P102" s="29" t="n">
        <f aca="false">IF(AND(N102&gt;=-0.0000001,N101&lt;0),1,0)</f>
        <v>1</v>
      </c>
      <c r="Q102" s="30" t="n">
        <f aca="false">IF(P102=1,A102-O101,"")</f>
        <v>2</v>
      </c>
    </row>
    <row r="103" customFormat="false" ht="15" hidden="false" customHeight="false" outlineLevel="0" collapsed="false">
      <c r="A103" s="25" t="n">
        <v>45964</v>
      </c>
      <c r="B103" s="26" t="s">
        <v>79</v>
      </c>
      <c r="C103" s="27" t="n">
        <v>-10350</v>
      </c>
      <c r="D103" s="28" t="n">
        <f aca="false">C103/$T$1*100</f>
        <v>-2.07</v>
      </c>
      <c r="E103" s="28" t="n">
        <f aca="false">E102+D103</f>
        <v>172.18725</v>
      </c>
      <c r="F103" s="28" t="n">
        <f aca="false">MAX(0,MAX($E$2:E103))</f>
        <v>174.25725</v>
      </c>
      <c r="G103" s="28" t="n">
        <f aca="false">E103-F103</f>
        <v>-2.06999999999999</v>
      </c>
      <c r="H103" s="25" t="n">
        <f aca="false">IF(G103&gt;=-0.0000001,A103,H102)</f>
        <v>45961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-10350</v>
      </c>
      <c r="L103" s="28" t="n">
        <f aca="false">L102+K103/$T$1*100</f>
        <v>185.36175</v>
      </c>
      <c r="M103" s="28" t="n">
        <f aca="false">MAX(0,MAX($L$2:L103))</f>
        <v>187.43175</v>
      </c>
      <c r="N103" s="28" t="n">
        <f aca="false">L103-M103</f>
        <v>-2.06999999999999</v>
      </c>
      <c r="O103" s="25" t="n">
        <f aca="false">IF(N103&gt;=-0.0000001,A103,O102)</f>
        <v>45961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45965</v>
      </c>
      <c r="B104" s="26" t="s">
        <v>80</v>
      </c>
      <c r="C104" s="27" t="n">
        <v>-59966.25</v>
      </c>
      <c r="D104" s="28" t="n">
        <f aca="false">C104/$T$1*100</f>
        <v>-11.99325</v>
      </c>
      <c r="E104" s="28" t="n">
        <f aca="false">E103+D104</f>
        <v>160.194</v>
      </c>
      <c r="F104" s="28" t="n">
        <f aca="false">MAX(0,MAX($E$2:E104))</f>
        <v>174.25725</v>
      </c>
      <c r="G104" s="28" t="n">
        <f aca="false">E104-F104</f>
        <v>-14.06325</v>
      </c>
      <c r="H104" s="25" t="n">
        <f aca="false">IF(G104&gt;=-0.0000001,A104,H103)</f>
        <v>45961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-59966.25</v>
      </c>
      <c r="L104" s="28" t="n">
        <f aca="false">L103+K104/$T$1*100</f>
        <v>173.3685</v>
      </c>
      <c r="M104" s="28" t="n">
        <f aca="false">MAX(0,MAX($L$2:L104))</f>
        <v>187.43175</v>
      </c>
      <c r="N104" s="28" t="n">
        <f aca="false">L104-M104</f>
        <v>-14.06325</v>
      </c>
      <c r="O104" s="25" t="n">
        <f aca="false">IF(N104&gt;=-0.0000001,A104,O103)</f>
        <v>45961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45967</v>
      </c>
      <c r="B105" s="26" t="s">
        <v>82</v>
      </c>
      <c r="C105" s="27" t="n">
        <v>-1140</v>
      </c>
      <c r="D105" s="28" t="n">
        <f aca="false">C105/$T$1*100</f>
        <v>-0.228</v>
      </c>
      <c r="E105" s="28" t="n">
        <f aca="false">E104+D105</f>
        <v>159.966</v>
      </c>
      <c r="F105" s="28" t="n">
        <f aca="false">MAX(0,MAX($E$2:E105))</f>
        <v>174.25725</v>
      </c>
      <c r="G105" s="28" t="n">
        <f aca="false">E105-F105</f>
        <v>-14.29125</v>
      </c>
      <c r="H105" s="25" t="n">
        <f aca="false">IF(G105&gt;=-0.0000001,A105,H104)</f>
        <v>45961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-1140</v>
      </c>
      <c r="L105" s="28" t="n">
        <f aca="false">L104+K105/$T$1*100</f>
        <v>173.1405</v>
      </c>
      <c r="M105" s="28" t="n">
        <f aca="false">MAX(0,MAX($L$2:L105))</f>
        <v>187.43175</v>
      </c>
      <c r="N105" s="28" t="n">
        <f aca="false">L105-M105</f>
        <v>-14.29125</v>
      </c>
      <c r="O105" s="25" t="n">
        <f aca="false">IF(N105&gt;=-0.0000001,A105,O104)</f>
        <v>45961</v>
      </c>
      <c r="P105" s="29" t="n">
        <f aca="false">IF(AND(N105&gt;=-0.0000001,N104&lt;0),1,0)</f>
        <v>0</v>
      </c>
      <c r="Q105" s="30" t="str">
        <f aca="false">IF(P105=1,A105-O104,"")</f>
        <v/>
      </c>
    </row>
    <row r="106" customFormat="false" ht="15" hidden="false" customHeight="false" outlineLevel="0" collapsed="false">
      <c r="A106" s="25" t="n">
        <v>45968</v>
      </c>
      <c r="B106" s="26" t="s">
        <v>83</v>
      </c>
      <c r="C106" s="27" t="n">
        <v>-22125</v>
      </c>
      <c r="D106" s="28" t="n">
        <f aca="false">C106/$T$1*100</f>
        <v>-4.425</v>
      </c>
      <c r="E106" s="28" t="n">
        <f aca="false">E105+D106</f>
        <v>155.541</v>
      </c>
      <c r="F106" s="28" t="n">
        <f aca="false">MAX(0,MAX($E$2:E106))</f>
        <v>174.25725</v>
      </c>
      <c r="G106" s="28" t="n">
        <f aca="false">E106-F106</f>
        <v>-18.71625</v>
      </c>
      <c r="H106" s="25" t="n">
        <f aca="false">IF(G106&gt;=-0.0000001,A106,H105)</f>
        <v>45961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-22125</v>
      </c>
      <c r="L106" s="28" t="n">
        <f aca="false">L105+K106/$T$1*100</f>
        <v>168.7155</v>
      </c>
      <c r="M106" s="28" t="n">
        <f aca="false">MAX(0,MAX($L$2:L106))</f>
        <v>187.43175</v>
      </c>
      <c r="N106" s="28" t="n">
        <f aca="false">L106-M106</f>
        <v>-18.71625</v>
      </c>
      <c r="O106" s="25" t="n">
        <f aca="false">IF(N106&gt;=-0.0000001,A106,O105)</f>
        <v>45961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45971</v>
      </c>
      <c r="B107" s="26" t="s">
        <v>79</v>
      </c>
      <c r="C107" s="27" t="n">
        <v>-10271.25</v>
      </c>
      <c r="D107" s="28" t="n">
        <f aca="false">C107/$T$1*100</f>
        <v>-2.05425</v>
      </c>
      <c r="E107" s="28" t="n">
        <f aca="false">E106+D107</f>
        <v>153.48675</v>
      </c>
      <c r="F107" s="28" t="n">
        <f aca="false">MAX(0,MAX($E$2:E107))</f>
        <v>174.25725</v>
      </c>
      <c r="G107" s="28" t="n">
        <f aca="false">E107-F107</f>
        <v>-20.7705</v>
      </c>
      <c r="H107" s="25" t="n">
        <f aca="false">IF(G107&gt;=-0.0000001,A107,H106)</f>
        <v>45961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-10271.25</v>
      </c>
      <c r="L107" s="28" t="n">
        <f aca="false">L106+K107/$T$1*100</f>
        <v>166.66125</v>
      </c>
      <c r="M107" s="28" t="n">
        <f aca="false">MAX(0,MAX($L$2:L107))</f>
        <v>187.43175</v>
      </c>
      <c r="N107" s="28" t="n">
        <f aca="false">L107-M107</f>
        <v>-20.7705</v>
      </c>
      <c r="O107" s="25" t="n">
        <f aca="false">IF(N107&gt;=-0.0000001,A107,O106)</f>
        <v>45961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45972</v>
      </c>
      <c r="B108" s="26" t="s">
        <v>80</v>
      </c>
      <c r="C108" s="27" t="n">
        <v>350302.5</v>
      </c>
      <c r="D108" s="28" t="n">
        <f aca="false">C108/$T$1*100</f>
        <v>70.0605</v>
      </c>
      <c r="E108" s="28" t="n">
        <f aca="false">E107+D108</f>
        <v>223.54725</v>
      </c>
      <c r="F108" s="28" t="n">
        <f aca="false">MAX(0,MAX($E$2:E108))</f>
        <v>223.54725</v>
      </c>
      <c r="G108" s="28" t="n">
        <f aca="false">E108-F108</f>
        <v>0</v>
      </c>
      <c r="H108" s="25" t="n">
        <f aca="false">IF(G108&gt;=-0.0000001,A108,H107)</f>
        <v>45972</v>
      </c>
      <c r="I108" s="29" t="n">
        <f aca="false">IF(AND(G108&gt;=-0.0000001,G107&lt;0),1,0)</f>
        <v>1</v>
      </c>
      <c r="J108" s="30" t="n">
        <f aca="false">IF(I108=1,A108-H107,"")</f>
        <v>11</v>
      </c>
      <c r="K108" s="27" t="n">
        <f aca="false">IF(B108="Wednesday",0,C108)</f>
        <v>350302.5</v>
      </c>
      <c r="L108" s="28" t="n">
        <f aca="false">L107+K108/$T$1*100</f>
        <v>236.72175</v>
      </c>
      <c r="M108" s="28" t="n">
        <f aca="false">MAX(0,MAX($L$2:L108))</f>
        <v>236.72175</v>
      </c>
      <c r="N108" s="28" t="n">
        <f aca="false">L108-M108</f>
        <v>0</v>
      </c>
      <c r="O108" s="25" t="n">
        <f aca="false">IF(N108&gt;=-0.0000001,A108,O107)</f>
        <v>45972</v>
      </c>
      <c r="P108" s="29" t="n">
        <f aca="false">IF(AND(N108&gt;=-0.0000001,N107&lt;0),1,0)</f>
        <v>1</v>
      </c>
      <c r="Q108" s="30" t="n">
        <f aca="false">IF(P108=1,A108-O107,"")</f>
        <v>11</v>
      </c>
    </row>
    <row r="109" customFormat="false" ht="15" hidden="false" customHeight="false" outlineLevel="0" collapsed="false">
      <c r="A109" s="25" t="n">
        <v>45973</v>
      </c>
      <c r="B109" s="26" t="s">
        <v>81</v>
      </c>
      <c r="C109" s="27" t="n">
        <v>4477.5</v>
      </c>
      <c r="D109" s="28" t="n">
        <f aca="false">C109/$T$1*100</f>
        <v>0.8955</v>
      </c>
      <c r="E109" s="28" t="n">
        <f aca="false">E108+D109</f>
        <v>224.44275</v>
      </c>
      <c r="F109" s="28" t="n">
        <f aca="false">MAX(0,MAX($E$2:E109))</f>
        <v>224.44275</v>
      </c>
      <c r="G109" s="28" t="n">
        <f aca="false">E109-F109</f>
        <v>0</v>
      </c>
      <c r="H109" s="25" t="n">
        <f aca="false">IF(G109&gt;=-0.0000001,A109,H108)</f>
        <v>45973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0</v>
      </c>
      <c r="L109" s="28" t="n">
        <f aca="false">L108+K109/$T$1*100</f>
        <v>236.72175</v>
      </c>
      <c r="M109" s="28" t="n">
        <f aca="false">MAX(0,MAX($L$2:L109))</f>
        <v>236.72175</v>
      </c>
      <c r="N109" s="28" t="n">
        <f aca="false">L109-M109</f>
        <v>0</v>
      </c>
      <c r="O109" s="25" t="n">
        <f aca="false">IF(N109&gt;=-0.0000001,A109,O108)</f>
        <v>45973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45974</v>
      </c>
      <c r="B110" s="26" t="s">
        <v>82</v>
      </c>
      <c r="C110" s="27" t="n">
        <v>24266.25</v>
      </c>
      <c r="D110" s="28" t="n">
        <f aca="false">C110/$T$1*100</f>
        <v>4.85325</v>
      </c>
      <c r="E110" s="28" t="n">
        <f aca="false">E109+D110</f>
        <v>229.296</v>
      </c>
      <c r="F110" s="28" t="n">
        <f aca="false">MAX(0,MAX($E$2:E110))</f>
        <v>229.296</v>
      </c>
      <c r="G110" s="28" t="n">
        <f aca="false">E110-F110</f>
        <v>0</v>
      </c>
      <c r="H110" s="25" t="n">
        <f aca="false">IF(G110&gt;=-0.0000001,A110,H109)</f>
        <v>45974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24266.25</v>
      </c>
      <c r="L110" s="28" t="n">
        <f aca="false">L109+K110/$T$1*100</f>
        <v>241.575</v>
      </c>
      <c r="M110" s="28" t="n">
        <f aca="false">MAX(0,MAX($L$2:L110))</f>
        <v>241.575</v>
      </c>
      <c r="N110" s="28" t="n">
        <f aca="false">L110-M110</f>
        <v>0</v>
      </c>
      <c r="O110" s="25" t="n">
        <f aca="false">IF(N110&gt;=-0.0000001,A110,O109)</f>
        <v>45974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45975</v>
      </c>
      <c r="B111" s="26" t="s">
        <v>83</v>
      </c>
      <c r="C111" s="27" t="n">
        <v>3300</v>
      </c>
      <c r="D111" s="28" t="n">
        <f aca="false">C111/$T$1*100</f>
        <v>0.66</v>
      </c>
      <c r="E111" s="28" t="n">
        <f aca="false">E110+D111</f>
        <v>229.956</v>
      </c>
      <c r="F111" s="28" t="n">
        <f aca="false">MAX(0,MAX($E$2:E111))</f>
        <v>229.956</v>
      </c>
      <c r="G111" s="28" t="n">
        <f aca="false">E111-F111</f>
        <v>0</v>
      </c>
      <c r="H111" s="25" t="n">
        <f aca="false">IF(G111&gt;=-0.0000001,A111,H110)</f>
        <v>45975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3300</v>
      </c>
      <c r="L111" s="28" t="n">
        <f aca="false">L110+K111/$T$1*100</f>
        <v>242.235</v>
      </c>
      <c r="M111" s="28" t="n">
        <f aca="false">MAX(0,MAX($L$2:L111))</f>
        <v>242.235</v>
      </c>
      <c r="N111" s="28" t="n">
        <f aca="false">L111-M111</f>
        <v>0</v>
      </c>
      <c r="O111" s="25" t="n">
        <f aca="false">IF(N111&gt;=-0.0000001,A111,O110)</f>
        <v>45975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45978</v>
      </c>
      <c r="B112" s="26" t="s">
        <v>79</v>
      </c>
      <c r="C112" s="27" t="n">
        <v>-2362.5</v>
      </c>
      <c r="D112" s="28" t="n">
        <f aca="false">C112/$T$1*100</f>
        <v>-0.4725</v>
      </c>
      <c r="E112" s="28" t="n">
        <f aca="false">E111+D112</f>
        <v>229.4835</v>
      </c>
      <c r="F112" s="28" t="n">
        <f aca="false">MAX(0,MAX($E$2:E112))</f>
        <v>229.956</v>
      </c>
      <c r="G112" s="28" t="n">
        <f aca="false">E112-F112</f>
        <v>-0.472499999999997</v>
      </c>
      <c r="H112" s="25" t="n">
        <f aca="false">IF(G112&gt;=-0.0000001,A112,H111)</f>
        <v>45975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-2362.5</v>
      </c>
      <c r="L112" s="28" t="n">
        <f aca="false">L111+K112/$T$1*100</f>
        <v>241.7625</v>
      </c>
      <c r="M112" s="28" t="n">
        <f aca="false">MAX(0,MAX($L$2:L112))</f>
        <v>242.235</v>
      </c>
      <c r="N112" s="28" t="n">
        <f aca="false">L112-M112</f>
        <v>-0.472499999999997</v>
      </c>
      <c r="O112" s="25" t="n">
        <f aca="false">IF(N112&gt;=-0.0000001,A112,O111)</f>
        <v>45975</v>
      </c>
      <c r="P112" s="29" t="n">
        <f aca="false">IF(AND(N112&gt;=-0.0000001,N111&lt;0),1,0)</f>
        <v>0</v>
      </c>
      <c r="Q112" s="30" t="str">
        <f aca="false">IF(P112=1,A112-O111,"")</f>
        <v/>
      </c>
    </row>
    <row r="113" customFormat="false" ht="15" hidden="false" customHeight="false" outlineLevel="0" collapsed="false">
      <c r="A113" s="25" t="n">
        <v>45979</v>
      </c>
      <c r="B113" s="26" t="s">
        <v>80</v>
      </c>
      <c r="C113" s="27" t="n">
        <v>-29711.25</v>
      </c>
      <c r="D113" s="28" t="n">
        <f aca="false">C113/$T$1*100</f>
        <v>-5.94225</v>
      </c>
      <c r="E113" s="28" t="n">
        <f aca="false">E112+D113</f>
        <v>223.54125</v>
      </c>
      <c r="F113" s="28" t="n">
        <f aca="false">MAX(0,MAX($E$2:E113))</f>
        <v>229.956</v>
      </c>
      <c r="G113" s="28" t="n">
        <f aca="false">E113-F113</f>
        <v>-6.41475</v>
      </c>
      <c r="H113" s="25" t="n">
        <f aca="false">IF(G113&gt;=-0.0000001,A113,H112)</f>
        <v>45975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-29711.25</v>
      </c>
      <c r="L113" s="28" t="n">
        <f aca="false">L112+K113/$T$1*100</f>
        <v>235.82025</v>
      </c>
      <c r="M113" s="28" t="n">
        <f aca="false">MAX(0,MAX($L$2:L113))</f>
        <v>242.235</v>
      </c>
      <c r="N113" s="28" t="n">
        <f aca="false">L113-M113</f>
        <v>-6.41475</v>
      </c>
      <c r="O113" s="25" t="n">
        <f aca="false">IF(N113&gt;=-0.0000001,A113,O112)</f>
        <v>45975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45980</v>
      </c>
      <c r="B114" s="26" t="s">
        <v>81</v>
      </c>
      <c r="C114" s="27" t="n">
        <v>-4860</v>
      </c>
      <c r="D114" s="28" t="n">
        <f aca="false">C114/$T$1*100</f>
        <v>-0.972</v>
      </c>
      <c r="E114" s="28" t="n">
        <f aca="false">E113+D114</f>
        <v>222.56925</v>
      </c>
      <c r="F114" s="28" t="n">
        <f aca="false">MAX(0,MAX($E$2:E114))</f>
        <v>229.956</v>
      </c>
      <c r="G114" s="28" t="n">
        <f aca="false">E114-F114</f>
        <v>-7.38675000000001</v>
      </c>
      <c r="H114" s="25" t="n">
        <f aca="false">IF(G114&gt;=-0.0000001,A114,H113)</f>
        <v>45975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0</v>
      </c>
      <c r="L114" s="28" t="n">
        <f aca="false">L113+K114/$T$1*100</f>
        <v>235.82025</v>
      </c>
      <c r="M114" s="28" t="n">
        <f aca="false">MAX(0,MAX($L$2:L114))</f>
        <v>242.235</v>
      </c>
      <c r="N114" s="28" t="n">
        <f aca="false">L114-M114</f>
        <v>-6.41475</v>
      </c>
      <c r="O114" s="25" t="n">
        <f aca="false">IF(N114&gt;=-0.0000001,A114,O113)</f>
        <v>45975</v>
      </c>
      <c r="P114" s="29" t="n">
        <f aca="false">IF(AND(N114&gt;=-0.0000001,N113&lt;0),1,0)</f>
        <v>0</v>
      </c>
      <c r="Q114" s="30" t="str">
        <f aca="false">IF(P114=1,A114-O113,"")</f>
        <v/>
      </c>
    </row>
    <row r="115" customFormat="false" ht="15" hidden="false" customHeight="false" outlineLevel="0" collapsed="false">
      <c r="A115" s="25" t="n">
        <v>45981</v>
      </c>
      <c r="B115" s="26" t="s">
        <v>82</v>
      </c>
      <c r="C115" s="27" t="n">
        <v>18821.25</v>
      </c>
      <c r="D115" s="28" t="n">
        <f aca="false">C115/$T$1*100</f>
        <v>3.76425</v>
      </c>
      <c r="E115" s="28" t="n">
        <f aca="false">E114+D115</f>
        <v>226.3335</v>
      </c>
      <c r="F115" s="28" t="n">
        <f aca="false">MAX(0,MAX($E$2:E115))</f>
        <v>229.956</v>
      </c>
      <c r="G115" s="28" t="n">
        <f aca="false">E115-F115</f>
        <v>-3.6225</v>
      </c>
      <c r="H115" s="25" t="n">
        <f aca="false">IF(G115&gt;=-0.0000001,A115,H114)</f>
        <v>45975</v>
      </c>
      <c r="I115" s="29" t="n">
        <f aca="false">IF(AND(G115&gt;=-0.0000001,G114&lt;0),1,0)</f>
        <v>0</v>
      </c>
      <c r="J115" s="30" t="str">
        <f aca="false">IF(I115=1,A115-H114,"")</f>
        <v/>
      </c>
      <c r="K115" s="27" t="n">
        <f aca="false">IF(B115="Wednesday",0,C115)</f>
        <v>18821.25</v>
      </c>
      <c r="L115" s="28" t="n">
        <f aca="false">L114+K115/$T$1*100</f>
        <v>239.5845</v>
      </c>
      <c r="M115" s="28" t="n">
        <f aca="false">MAX(0,MAX($L$2:L115))</f>
        <v>242.235</v>
      </c>
      <c r="N115" s="28" t="n">
        <f aca="false">L115-M115</f>
        <v>-2.65049999999999</v>
      </c>
      <c r="O115" s="25" t="n">
        <f aca="false">IF(N115&gt;=-0.0000001,A115,O114)</f>
        <v>45975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45982</v>
      </c>
      <c r="B116" s="26" t="s">
        <v>83</v>
      </c>
      <c r="C116" s="27" t="n">
        <v>-40226.25</v>
      </c>
      <c r="D116" s="28" t="n">
        <f aca="false">C116/$T$1*100</f>
        <v>-8.04525</v>
      </c>
      <c r="E116" s="28" t="n">
        <f aca="false">E115+D116</f>
        <v>218.28825</v>
      </c>
      <c r="F116" s="28" t="n">
        <f aca="false">MAX(0,MAX($E$2:E116))</f>
        <v>229.956</v>
      </c>
      <c r="G116" s="28" t="n">
        <f aca="false">E116-F116</f>
        <v>-11.66775</v>
      </c>
      <c r="H116" s="25" t="n">
        <f aca="false">IF(G116&gt;=-0.0000001,A116,H115)</f>
        <v>45975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-40226.25</v>
      </c>
      <c r="L116" s="28" t="n">
        <f aca="false">L115+K116/$T$1*100</f>
        <v>231.53925</v>
      </c>
      <c r="M116" s="28" t="n">
        <f aca="false">MAX(0,MAX($L$2:L116))</f>
        <v>242.235</v>
      </c>
      <c r="N116" s="28" t="n">
        <f aca="false">L116-M116</f>
        <v>-10.69575</v>
      </c>
      <c r="O116" s="25" t="n">
        <f aca="false">IF(N116&gt;=-0.0000001,A116,O115)</f>
        <v>45975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45985</v>
      </c>
      <c r="B117" s="26" t="s">
        <v>79</v>
      </c>
      <c r="C117" s="27" t="n">
        <v>57960</v>
      </c>
      <c r="D117" s="28" t="n">
        <f aca="false">C117/$T$1*100</f>
        <v>11.592</v>
      </c>
      <c r="E117" s="28" t="n">
        <f aca="false">E116+D117</f>
        <v>229.88025</v>
      </c>
      <c r="F117" s="28" t="n">
        <f aca="false">MAX(0,MAX($E$2:E117))</f>
        <v>229.956</v>
      </c>
      <c r="G117" s="28" t="n">
        <f aca="false">E117-F117</f>
        <v>-0.0757500000000277</v>
      </c>
      <c r="H117" s="25" t="n">
        <f aca="false">IF(G117&gt;=-0.0000001,A117,H116)</f>
        <v>45975</v>
      </c>
      <c r="I117" s="29" t="n">
        <f aca="false">IF(AND(G117&gt;=-0.0000001,G116&lt;0),1,0)</f>
        <v>0</v>
      </c>
      <c r="J117" s="30" t="str">
        <f aca="false">IF(I117=1,A117-H116,"")</f>
        <v/>
      </c>
      <c r="K117" s="27" t="n">
        <f aca="false">IF(B117="Wednesday",0,C117)</f>
        <v>57960</v>
      </c>
      <c r="L117" s="28" t="n">
        <f aca="false">L116+K117/$T$1*100</f>
        <v>243.13125</v>
      </c>
      <c r="M117" s="28" t="n">
        <f aca="false">MAX(0,MAX($L$2:L117))</f>
        <v>243.13125</v>
      </c>
      <c r="N117" s="28" t="n">
        <f aca="false">L117-M117</f>
        <v>0</v>
      </c>
      <c r="O117" s="25" t="n">
        <f aca="false">IF(N117&gt;=-0.0000001,A117,O116)</f>
        <v>45985</v>
      </c>
      <c r="P117" s="29" t="n">
        <f aca="false">IF(AND(N117&gt;=-0.0000001,N116&lt;0),1,0)</f>
        <v>1</v>
      </c>
      <c r="Q117" s="30" t="n">
        <f aca="false">IF(P117=1,A117-O116,"")</f>
        <v>10</v>
      </c>
    </row>
    <row r="118" customFormat="false" ht="15" hidden="false" customHeight="false" outlineLevel="0" collapsed="false">
      <c r="A118" s="25" t="n">
        <v>45986</v>
      </c>
      <c r="B118" s="26" t="s">
        <v>80</v>
      </c>
      <c r="C118" s="27" t="n">
        <v>-30675</v>
      </c>
      <c r="D118" s="28" t="n">
        <f aca="false">C118/$T$1*100</f>
        <v>-6.135</v>
      </c>
      <c r="E118" s="28" t="n">
        <f aca="false">E117+D118</f>
        <v>223.74525</v>
      </c>
      <c r="F118" s="28" t="n">
        <f aca="false">MAX(0,MAX($E$2:E118))</f>
        <v>229.956</v>
      </c>
      <c r="G118" s="28" t="n">
        <f aca="false">E118-F118</f>
        <v>-6.21075000000002</v>
      </c>
      <c r="H118" s="25" t="n">
        <f aca="false">IF(G118&gt;=-0.0000001,A118,H117)</f>
        <v>45975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-30675</v>
      </c>
      <c r="L118" s="28" t="n">
        <f aca="false">L117+K118/$T$1*100</f>
        <v>236.99625</v>
      </c>
      <c r="M118" s="28" t="n">
        <f aca="false">MAX(0,MAX($L$2:L118))</f>
        <v>243.13125</v>
      </c>
      <c r="N118" s="28" t="n">
        <f aca="false">L118-M118</f>
        <v>-6.13499999999999</v>
      </c>
      <c r="O118" s="25" t="n">
        <f aca="false">IF(N118&gt;=-0.0000001,A118,O117)</f>
        <v>45985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45987</v>
      </c>
      <c r="B119" s="26" t="s">
        <v>81</v>
      </c>
      <c r="C119" s="27" t="n">
        <v>1916.25</v>
      </c>
      <c r="D119" s="28" t="n">
        <f aca="false">C119/$T$1*100</f>
        <v>0.38325</v>
      </c>
      <c r="E119" s="28" t="n">
        <f aca="false">E118+D119</f>
        <v>224.1285</v>
      </c>
      <c r="F119" s="28" t="n">
        <f aca="false">MAX(0,MAX($E$2:E119))</f>
        <v>229.956</v>
      </c>
      <c r="G119" s="28" t="n">
        <f aca="false">E119-F119</f>
        <v>-5.82750000000002</v>
      </c>
      <c r="H119" s="25" t="n">
        <f aca="false">IF(G119&gt;=-0.0000001,A119,H118)</f>
        <v>45975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0</v>
      </c>
      <c r="L119" s="28" t="n">
        <f aca="false">L118+K119/$T$1*100</f>
        <v>236.99625</v>
      </c>
      <c r="M119" s="28" t="n">
        <f aca="false">MAX(0,MAX($L$2:L119))</f>
        <v>243.13125</v>
      </c>
      <c r="N119" s="28" t="n">
        <f aca="false">L119-M119</f>
        <v>-6.13499999999999</v>
      </c>
      <c r="O119" s="25" t="n">
        <f aca="false">IF(N119&gt;=-0.0000001,A119,O118)</f>
        <v>45985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45988</v>
      </c>
      <c r="B120" s="26" t="s">
        <v>82</v>
      </c>
      <c r="C120" s="27" t="n">
        <v>-26430</v>
      </c>
      <c r="D120" s="28" t="n">
        <f aca="false">C120/$T$1*100</f>
        <v>-5.286</v>
      </c>
      <c r="E120" s="28" t="n">
        <f aca="false">E119+D120</f>
        <v>218.8425</v>
      </c>
      <c r="F120" s="28" t="n">
        <f aca="false">MAX(0,MAX($E$2:E120))</f>
        <v>229.956</v>
      </c>
      <c r="G120" s="28" t="n">
        <f aca="false">E120-F120</f>
        <v>-11.1135</v>
      </c>
      <c r="H120" s="25" t="n">
        <f aca="false">IF(G120&gt;=-0.0000001,A120,H119)</f>
        <v>45975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-26430</v>
      </c>
      <c r="L120" s="28" t="n">
        <f aca="false">L119+K120/$T$1*100</f>
        <v>231.71025</v>
      </c>
      <c r="M120" s="28" t="n">
        <f aca="false">MAX(0,MAX($L$2:L120))</f>
        <v>243.13125</v>
      </c>
      <c r="N120" s="28" t="n">
        <f aca="false">L120-M120</f>
        <v>-11.421</v>
      </c>
      <c r="O120" s="25" t="n">
        <f aca="false">IF(N120&gt;=-0.0000001,A120,O119)</f>
        <v>45985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45989</v>
      </c>
      <c r="B121" s="26" t="s">
        <v>83</v>
      </c>
      <c r="C121" s="27" t="n">
        <v>5940</v>
      </c>
      <c r="D121" s="28" t="n">
        <f aca="false">C121/$T$1*100</f>
        <v>1.188</v>
      </c>
      <c r="E121" s="28" t="n">
        <f aca="false">E120+D121</f>
        <v>220.0305</v>
      </c>
      <c r="F121" s="28" t="n">
        <f aca="false">MAX(0,MAX($E$2:E121))</f>
        <v>229.956</v>
      </c>
      <c r="G121" s="28" t="n">
        <f aca="false">E121-F121</f>
        <v>-9.92550000000003</v>
      </c>
      <c r="H121" s="25" t="n">
        <f aca="false">IF(G121&gt;=-0.0000001,A121,H120)</f>
        <v>45975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5940</v>
      </c>
      <c r="L121" s="28" t="n">
        <f aca="false">L120+K121/$T$1*100</f>
        <v>232.89825</v>
      </c>
      <c r="M121" s="28" t="n">
        <f aca="false">MAX(0,MAX($L$2:L121))</f>
        <v>243.13125</v>
      </c>
      <c r="N121" s="28" t="n">
        <f aca="false">L121-M121</f>
        <v>-10.233</v>
      </c>
      <c r="O121" s="25" t="n">
        <f aca="false">IF(N121&gt;=-0.0000001,A121,O120)</f>
        <v>45985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45992</v>
      </c>
      <c r="B122" s="26" t="s">
        <v>79</v>
      </c>
      <c r="C122" s="27" t="n">
        <v>8823.75</v>
      </c>
      <c r="D122" s="28" t="n">
        <f aca="false">C122/$T$1*100</f>
        <v>1.76475</v>
      </c>
      <c r="E122" s="28" t="n">
        <f aca="false">E121+D122</f>
        <v>221.79525</v>
      </c>
      <c r="F122" s="28" t="n">
        <f aca="false">MAX(0,MAX($E$2:E122))</f>
        <v>229.956</v>
      </c>
      <c r="G122" s="28" t="n">
        <f aca="false">E122-F122</f>
        <v>-8.16075000000004</v>
      </c>
      <c r="H122" s="25" t="n">
        <f aca="false">IF(G122&gt;=-0.0000001,A122,H121)</f>
        <v>45975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8823.75</v>
      </c>
      <c r="L122" s="28" t="n">
        <f aca="false">L121+K122/$T$1*100</f>
        <v>234.663</v>
      </c>
      <c r="M122" s="28" t="n">
        <f aca="false">MAX(0,MAX($L$2:L122))</f>
        <v>243.13125</v>
      </c>
      <c r="N122" s="28" t="n">
        <f aca="false">L122-M122</f>
        <v>-8.46825000000001</v>
      </c>
      <c r="O122" s="25" t="n">
        <f aca="false">IF(N122&gt;=-0.0000001,A122,O121)</f>
        <v>45985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45993</v>
      </c>
      <c r="B123" s="26" t="s">
        <v>80</v>
      </c>
      <c r="C123" s="27" t="n">
        <v>-29688.75</v>
      </c>
      <c r="D123" s="28" t="n">
        <f aca="false">C123/$T$1*100</f>
        <v>-5.93775</v>
      </c>
      <c r="E123" s="28" t="n">
        <f aca="false">E122+D123</f>
        <v>215.8575</v>
      </c>
      <c r="F123" s="28" t="n">
        <f aca="false">MAX(0,MAX($E$2:E123))</f>
        <v>229.956</v>
      </c>
      <c r="G123" s="28" t="n">
        <f aca="false">E123-F123</f>
        <v>-14.0985</v>
      </c>
      <c r="H123" s="25" t="n">
        <f aca="false">IF(G123&gt;=-0.0000001,A123,H122)</f>
        <v>45975</v>
      </c>
      <c r="I123" s="29" t="n">
        <f aca="false">IF(AND(G123&gt;=-0.0000001,G122&lt;0),1,0)</f>
        <v>0</v>
      </c>
      <c r="J123" s="30" t="str">
        <f aca="false">IF(I123=1,A123-H122,"")</f>
        <v/>
      </c>
      <c r="K123" s="27" t="n">
        <f aca="false">IF(B123="Wednesday",0,C123)</f>
        <v>-29688.75</v>
      </c>
      <c r="L123" s="28" t="n">
        <f aca="false">L122+K123/$T$1*100</f>
        <v>228.72525</v>
      </c>
      <c r="M123" s="28" t="n">
        <f aca="false">MAX(0,MAX($L$2:L123))</f>
        <v>243.13125</v>
      </c>
      <c r="N123" s="28" t="n">
        <f aca="false">L123-M123</f>
        <v>-14.406</v>
      </c>
      <c r="O123" s="25" t="n">
        <f aca="false">IF(N123&gt;=-0.0000001,A123,O122)</f>
        <v>45985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45994</v>
      </c>
      <c r="B124" s="26" t="s">
        <v>81</v>
      </c>
      <c r="C124" s="27" t="n">
        <v>9967.5</v>
      </c>
      <c r="D124" s="28" t="n">
        <f aca="false">C124/$T$1*100</f>
        <v>1.9935</v>
      </c>
      <c r="E124" s="28" t="n">
        <f aca="false">E123+D124</f>
        <v>217.851</v>
      </c>
      <c r="F124" s="28" t="n">
        <f aca="false">MAX(0,MAX($E$2:E124))</f>
        <v>229.956</v>
      </c>
      <c r="G124" s="28" t="n">
        <f aca="false">E124-F124</f>
        <v>-12.105</v>
      </c>
      <c r="H124" s="25" t="n">
        <f aca="false">IF(G124&gt;=-0.0000001,A124,H123)</f>
        <v>45975</v>
      </c>
      <c r="I124" s="29" t="n">
        <f aca="false">IF(AND(G124&gt;=-0.0000001,G123&lt;0),1,0)</f>
        <v>0</v>
      </c>
      <c r="J124" s="30" t="str">
        <f aca="false">IF(I124=1,A124-H123,"")</f>
        <v/>
      </c>
      <c r="K124" s="27" t="n">
        <f aca="false">IF(B124="Wednesday",0,C124)</f>
        <v>0</v>
      </c>
      <c r="L124" s="28" t="n">
        <f aca="false">L123+K124/$T$1*100</f>
        <v>228.72525</v>
      </c>
      <c r="M124" s="28" t="n">
        <f aca="false">MAX(0,MAX($L$2:L124))</f>
        <v>243.13125</v>
      </c>
      <c r="N124" s="28" t="n">
        <f aca="false">L124-M124</f>
        <v>-14.406</v>
      </c>
      <c r="O124" s="25" t="n">
        <f aca="false">IF(N124&gt;=-0.0000001,A124,O123)</f>
        <v>45985</v>
      </c>
      <c r="P124" s="29" t="n">
        <f aca="false">IF(AND(N124&gt;=-0.0000001,N123&lt;0),1,0)</f>
        <v>0</v>
      </c>
      <c r="Q124" s="30" t="str">
        <f aca="false">IF(P124=1,A124-O123,"")</f>
        <v/>
      </c>
    </row>
    <row r="125" customFormat="false" ht="15" hidden="false" customHeight="false" outlineLevel="0" collapsed="false">
      <c r="A125" s="25" t="n">
        <v>45995</v>
      </c>
      <c r="B125" s="26" t="s">
        <v>82</v>
      </c>
      <c r="C125" s="27" t="n">
        <v>-47520</v>
      </c>
      <c r="D125" s="28" t="n">
        <f aca="false">C125/$T$1*100</f>
        <v>-9.504</v>
      </c>
      <c r="E125" s="28" t="n">
        <f aca="false">E124+D125</f>
        <v>208.347</v>
      </c>
      <c r="F125" s="28" t="n">
        <f aca="false">MAX(0,MAX($E$2:E125))</f>
        <v>229.956</v>
      </c>
      <c r="G125" s="28" t="n">
        <f aca="false">E125-F125</f>
        <v>-21.609</v>
      </c>
      <c r="H125" s="25" t="n">
        <f aca="false">IF(G125&gt;=-0.0000001,A125,H124)</f>
        <v>45975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-47520</v>
      </c>
      <c r="L125" s="28" t="n">
        <f aca="false">L124+K125/$T$1*100</f>
        <v>219.22125</v>
      </c>
      <c r="M125" s="28" t="n">
        <f aca="false">MAX(0,MAX($L$2:L125))</f>
        <v>243.13125</v>
      </c>
      <c r="N125" s="28" t="n">
        <f aca="false">L125-M125</f>
        <v>-23.91</v>
      </c>
      <c r="O125" s="25" t="n">
        <f aca="false">IF(N125&gt;=-0.0000001,A125,O124)</f>
        <v>45985</v>
      </c>
      <c r="P125" s="29" t="n">
        <f aca="false">IF(AND(N125&gt;=-0.0000001,N124&lt;0),1,0)</f>
        <v>0</v>
      </c>
      <c r="Q125" s="30" t="str">
        <f aca="false">IF(P125=1,A125-O124,"")</f>
        <v/>
      </c>
    </row>
    <row r="126" customFormat="false" ht="15" hidden="false" customHeight="false" outlineLevel="0" collapsed="false">
      <c r="A126" s="25" t="n">
        <v>45996</v>
      </c>
      <c r="B126" s="26" t="s">
        <v>83</v>
      </c>
      <c r="C126" s="27" t="n">
        <v>-59651.25</v>
      </c>
      <c r="D126" s="28" t="n">
        <f aca="false">C126/$T$1*100</f>
        <v>-11.93025</v>
      </c>
      <c r="E126" s="28" t="n">
        <f aca="false">E125+D126</f>
        <v>196.41675</v>
      </c>
      <c r="F126" s="28" t="n">
        <f aca="false">MAX(0,MAX($E$2:E126))</f>
        <v>229.956</v>
      </c>
      <c r="G126" s="28" t="n">
        <f aca="false">E126-F126</f>
        <v>-33.53925</v>
      </c>
      <c r="H126" s="25" t="n">
        <f aca="false">IF(G126&gt;=-0.0000001,A126,H125)</f>
        <v>45975</v>
      </c>
      <c r="I126" s="29" t="n">
        <f aca="false">IF(AND(G126&gt;=-0.0000001,G125&lt;0),1,0)</f>
        <v>0</v>
      </c>
      <c r="J126" s="30" t="str">
        <f aca="false">IF(I126=1,A126-H125,"")</f>
        <v/>
      </c>
      <c r="K126" s="27" t="n">
        <f aca="false">IF(B126="Wednesday",0,C126)</f>
        <v>-59651.25</v>
      </c>
      <c r="L126" s="28" t="n">
        <f aca="false">L125+K126/$T$1*100</f>
        <v>207.291</v>
      </c>
      <c r="M126" s="28" t="n">
        <f aca="false">MAX(0,MAX($L$2:L126))</f>
        <v>243.13125</v>
      </c>
      <c r="N126" s="28" t="n">
        <f aca="false">L126-M126</f>
        <v>-35.84025</v>
      </c>
      <c r="O126" s="25" t="n">
        <f aca="false">IF(N126&gt;=-0.0000001,A126,O125)</f>
        <v>45985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45999</v>
      </c>
      <c r="B127" s="26" t="s">
        <v>79</v>
      </c>
      <c r="C127" s="27" t="n">
        <v>104025</v>
      </c>
      <c r="D127" s="28" t="n">
        <f aca="false">C127/$T$1*100</f>
        <v>20.805</v>
      </c>
      <c r="E127" s="28" t="n">
        <f aca="false">E126+D127</f>
        <v>217.22175</v>
      </c>
      <c r="F127" s="28" t="n">
        <f aca="false">MAX(0,MAX($E$2:E127))</f>
        <v>229.956</v>
      </c>
      <c r="G127" s="28" t="n">
        <f aca="false">E127-F127</f>
        <v>-12.73425</v>
      </c>
      <c r="H127" s="25" t="n">
        <f aca="false">IF(G127&gt;=-0.0000001,A127,H126)</f>
        <v>45975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104025</v>
      </c>
      <c r="L127" s="28" t="n">
        <f aca="false">L126+K127/$T$1*100</f>
        <v>228.096</v>
      </c>
      <c r="M127" s="28" t="n">
        <f aca="false">MAX(0,MAX($L$2:L127))</f>
        <v>243.13125</v>
      </c>
      <c r="N127" s="28" t="n">
        <f aca="false">L127-M127</f>
        <v>-15.03525</v>
      </c>
      <c r="O127" s="25" t="n">
        <f aca="false">IF(N127&gt;=-0.0000001,A127,O126)</f>
        <v>45985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46000</v>
      </c>
      <c r="B128" s="26" t="s">
        <v>80</v>
      </c>
      <c r="C128" s="27" t="n">
        <v>-28818.75</v>
      </c>
      <c r="D128" s="28" t="n">
        <f aca="false">C128/$T$1*100</f>
        <v>-5.76375</v>
      </c>
      <c r="E128" s="28" t="n">
        <f aca="false">E127+D128</f>
        <v>211.458</v>
      </c>
      <c r="F128" s="28" t="n">
        <f aca="false">MAX(0,MAX($E$2:E128))</f>
        <v>229.956</v>
      </c>
      <c r="G128" s="28" t="n">
        <f aca="false">E128-F128</f>
        <v>-18.498</v>
      </c>
      <c r="H128" s="25" t="n">
        <f aca="false">IF(G128&gt;=-0.0000001,A128,H127)</f>
        <v>45975</v>
      </c>
      <c r="I128" s="29" t="n">
        <f aca="false">IF(AND(G128&gt;=-0.0000001,G127&lt;0),1,0)</f>
        <v>0</v>
      </c>
      <c r="J128" s="30" t="str">
        <f aca="false">IF(I128=1,A128-H127,"")</f>
        <v/>
      </c>
      <c r="K128" s="27" t="n">
        <f aca="false">IF(B128="Wednesday",0,C128)</f>
        <v>-28818.75</v>
      </c>
      <c r="L128" s="28" t="n">
        <f aca="false">L127+K128/$T$1*100</f>
        <v>222.33225</v>
      </c>
      <c r="M128" s="28" t="n">
        <f aca="false">MAX(0,MAX($L$2:L128))</f>
        <v>243.13125</v>
      </c>
      <c r="N128" s="28" t="n">
        <f aca="false">L128-M128</f>
        <v>-20.799</v>
      </c>
      <c r="O128" s="25" t="n">
        <f aca="false">IF(N128&gt;=-0.0000001,A128,O127)</f>
        <v>45985</v>
      </c>
      <c r="P128" s="29" t="n">
        <f aca="false">IF(AND(N128&gt;=-0.0000001,N127&lt;0),1,0)</f>
        <v>0</v>
      </c>
      <c r="Q128" s="30" t="str">
        <f aca="false">IF(P128=1,A128-O127,"")</f>
        <v/>
      </c>
    </row>
    <row r="129" customFormat="false" ht="15" hidden="false" customHeight="false" outlineLevel="0" collapsed="false">
      <c r="A129" s="25" t="n">
        <v>46001</v>
      </c>
      <c r="B129" s="26" t="s">
        <v>81</v>
      </c>
      <c r="C129" s="27" t="n">
        <v>-21532.5</v>
      </c>
      <c r="D129" s="28" t="n">
        <f aca="false">C129/$T$1*100</f>
        <v>-4.3065</v>
      </c>
      <c r="E129" s="28" t="n">
        <f aca="false">E128+D129</f>
        <v>207.1515</v>
      </c>
      <c r="F129" s="28" t="n">
        <f aca="false">MAX(0,MAX($E$2:E129))</f>
        <v>229.956</v>
      </c>
      <c r="G129" s="28" t="n">
        <f aca="false">E129-F129</f>
        <v>-22.8045</v>
      </c>
      <c r="H129" s="25" t="n">
        <f aca="false">IF(G129&gt;=-0.0000001,A129,H128)</f>
        <v>45975</v>
      </c>
      <c r="I129" s="29" t="n">
        <f aca="false">IF(AND(G129&gt;=-0.0000001,G128&lt;0),1,0)</f>
        <v>0</v>
      </c>
      <c r="J129" s="30" t="str">
        <f aca="false">IF(I129=1,A129-H128,"")</f>
        <v/>
      </c>
      <c r="K129" s="27" t="n">
        <f aca="false">IF(B129="Wednesday",0,C129)</f>
        <v>0</v>
      </c>
      <c r="L129" s="28" t="n">
        <f aca="false">L128+K129/$T$1*100</f>
        <v>222.33225</v>
      </c>
      <c r="M129" s="28" t="n">
        <f aca="false">MAX(0,MAX($L$2:L129))</f>
        <v>243.13125</v>
      </c>
      <c r="N129" s="28" t="n">
        <f aca="false">L129-M129</f>
        <v>-20.799</v>
      </c>
      <c r="O129" s="25" t="n">
        <f aca="false">IF(N129&gt;=-0.0000001,A129,O128)</f>
        <v>45985</v>
      </c>
      <c r="P129" s="29" t="n">
        <f aca="false">IF(AND(N129&gt;=-0.0000001,N128&lt;0),1,0)</f>
        <v>0</v>
      </c>
      <c r="Q129" s="30" t="str">
        <f aca="false">IF(P129=1,A129-O128,"")</f>
        <v/>
      </c>
    </row>
    <row r="130" customFormat="false" ht="15" hidden="false" customHeight="false" outlineLevel="0" collapsed="false">
      <c r="A130" s="25" t="n">
        <v>46002</v>
      </c>
      <c r="B130" s="26" t="s">
        <v>82</v>
      </c>
      <c r="C130" s="27" t="n">
        <v>9922.5</v>
      </c>
      <c r="D130" s="28" t="n">
        <f aca="false">C130/$T$1*100</f>
        <v>1.9845</v>
      </c>
      <c r="E130" s="28" t="n">
        <f aca="false">E129+D130</f>
        <v>209.136</v>
      </c>
      <c r="F130" s="28" t="n">
        <f aca="false">MAX(0,MAX($E$2:E130))</f>
        <v>229.956</v>
      </c>
      <c r="G130" s="28" t="n">
        <f aca="false">E130-F130</f>
        <v>-20.82</v>
      </c>
      <c r="H130" s="25" t="n">
        <f aca="false">IF(G130&gt;=-0.0000001,A130,H129)</f>
        <v>45975</v>
      </c>
      <c r="I130" s="29" t="n">
        <f aca="false">IF(AND(G130&gt;=-0.0000001,G129&lt;0),1,0)</f>
        <v>0</v>
      </c>
      <c r="J130" s="30" t="str">
        <f aca="false">IF(I130=1,A130-H129,"")</f>
        <v/>
      </c>
      <c r="K130" s="27" t="n">
        <f aca="false">IF(B130="Wednesday",0,C130)</f>
        <v>9922.5</v>
      </c>
      <c r="L130" s="28" t="n">
        <f aca="false">L129+K130/$T$1*100</f>
        <v>224.31675</v>
      </c>
      <c r="M130" s="28" t="n">
        <f aca="false">MAX(0,MAX($L$2:L130))</f>
        <v>243.13125</v>
      </c>
      <c r="N130" s="28" t="n">
        <f aca="false">L130-M130</f>
        <v>-18.8145</v>
      </c>
      <c r="O130" s="25" t="n">
        <f aca="false">IF(N130&gt;=-0.0000001,A130,O129)</f>
        <v>45985</v>
      </c>
      <c r="P130" s="29" t="n">
        <f aca="false">IF(AND(N130&gt;=-0.0000001,N129&lt;0),1,0)</f>
        <v>0</v>
      </c>
      <c r="Q130" s="30" t="str">
        <f aca="false">IF(P130=1,A130-O129,"")</f>
        <v/>
      </c>
    </row>
    <row r="131" customFormat="false" ht="15" hidden="false" customHeight="false" outlineLevel="0" collapsed="false">
      <c r="A131" s="25" t="n">
        <v>46003</v>
      </c>
      <c r="B131" s="26" t="s">
        <v>83</v>
      </c>
      <c r="C131" s="27" t="n">
        <v>2130</v>
      </c>
      <c r="D131" s="28" t="n">
        <f aca="false">C131/$T$1*100</f>
        <v>0.426</v>
      </c>
      <c r="E131" s="28" t="n">
        <f aca="false">E130+D131</f>
        <v>209.562</v>
      </c>
      <c r="F131" s="28" t="n">
        <f aca="false">MAX(0,MAX($E$2:E131))</f>
        <v>229.956</v>
      </c>
      <c r="G131" s="28" t="n">
        <f aca="false">E131-F131</f>
        <v>-20.394</v>
      </c>
      <c r="H131" s="25" t="n">
        <f aca="false">IF(G131&gt;=-0.0000001,A131,H130)</f>
        <v>45975</v>
      </c>
      <c r="I131" s="29" t="n">
        <f aca="false">IF(AND(G131&gt;=-0.0000001,G130&lt;0),1,0)</f>
        <v>0</v>
      </c>
      <c r="J131" s="30" t="str">
        <f aca="false">IF(I131=1,A131-H130,"")</f>
        <v/>
      </c>
      <c r="K131" s="27" t="n">
        <f aca="false">IF(B131="Wednesday",0,C131)</f>
        <v>2130</v>
      </c>
      <c r="L131" s="28" t="n">
        <f aca="false">L130+K131/$T$1*100</f>
        <v>224.74275</v>
      </c>
      <c r="M131" s="28" t="n">
        <f aca="false">MAX(0,MAX($L$2:L131))</f>
        <v>243.13125</v>
      </c>
      <c r="N131" s="28" t="n">
        <f aca="false">L131-M131</f>
        <v>-18.3885</v>
      </c>
      <c r="O131" s="25" t="n">
        <f aca="false">IF(N131&gt;=-0.0000001,A131,O130)</f>
        <v>45985</v>
      </c>
      <c r="P131" s="29" t="n">
        <f aca="false">IF(AND(N131&gt;=-0.0000001,N130&lt;0),1,0)</f>
        <v>0</v>
      </c>
      <c r="Q131" s="30" t="str">
        <f aca="false">IF(P131=1,A131-O130,"")</f>
        <v/>
      </c>
    </row>
    <row r="132" customFormat="false" ht="15" hidden="false" customHeight="false" outlineLevel="0" collapsed="false">
      <c r="A132" s="25" t="n">
        <v>46007</v>
      </c>
      <c r="B132" s="26" t="s">
        <v>80</v>
      </c>
      <c r="C132" s="27" t="n">
        <v>-29261.25</v>
      </c>
      <c r="D132" s="28" t="n">
        <f aca="false">C132/$T$1*100</f>
        <v>-5.85225</v>
      </c>
      <c r="E132" s="28" t="n">
        <f aca="false">E131+D132</f>
        <v>203.70975</v>
      </c>
      <c r="F132" s="28" t="n">
        <f aca="false">MAX(0,MAX($E$2:E132))</f>
        <v>229.956</v>
      </c>
      <c r="G132" s="28" t="n">
        <f aca="false">E132-F132</f>
        <v>-26.24625</v>
      </c>
      <c r="H132" s="25" t="n">
        <f aca="false">IF(G132&gt;=-0.0000001,A132,H131)</f>
        <v>45975</v>
      </c>
      <c r="I132" s="29" t="n">
        <f aca="false">IF(AND(G132&gt;=-0.0000001,G131&lt;0),1,0)</f>
        <v>0</v>
      </c>
      <c r="J132" s="30" t="str">
        <f aca="false">IF(I132=1,A132-H131,"")</f>
        <v/>
      </c>
      <c r="K132" s="27" t="n">
        <f aca="false">IF(B132="Wednesday",0,C132)</f>
        <v>-29261.25</v>
      </c>
      <c r="L132" s="28" t="n">
        <f aca="false">L131+K132/$T$1*100</f>
        <v>218.8905</v>
      </c>
      <c r="M132" s="28" t="n">
        <f aca="false">MAX(0,MAX($L$2:L132))</f>
        <v>243.13125</v>
      </c>
      <c r="N132" s="28" t="n">
        <f aca="false">L132-M132</f>
        <v>-24.24075</v>
      </c>
      <c r="O132" s="25" t="n">
        <f aca="false">IF(N132&gt;=-0.0000001,A132,O131)</f>
        <v>45985</v>
      </c>
      <c r="P132" s="29" t="n">
        <f aca="false">IF(AND(N132&gt;=-0.0000001,N131&lt;0),1,0)</f>
        <v>0</v>
      </c>
      <c r="Q132" s="30" t="str">
        <f aca="false">IF(P132=1,A132-O131,"")</f>
        <v/>
      </c>
    </row>
    <row r="133" customFormat="false" ht="15" hidden="false" customHeight="false" outlineLevel="0" collapsed="false">
      <c r="A133" s="25" t="n">
        <v>46008</v>
      </c>
      <c r="B133" s="26" t="s">
        <v>81</v>
      </c>
      <c r="C133" s="27" t="n">
        <v>9213.75</v>
      </c>
      <c r="D133" s="28" t="n">
        <f aca="false">C133/$T$1*100</f>
        <v>1.84275</v>
      </c>
      <c r="E133" s="28" t="n">
        <f aca="false">E132+D133</f>
        <v>205.5525</v>
      </c>
      <c r="F133" s="28" t="n">
        <f aca="false">MAX(0,MAX($E$2:E133))</f>
        <v>229.956</v>
      </c>
      <c r="G133" s="28" t="n">
        <f aca="false">E133-F133</f>
        <v>-24.4035</v>
      </c>
      <c r="H133" s="25" t="n">
        <f aca="false">IF(G133&gt;=-0.0000001,A133,H132)</f>
        <v>45975</v>
      </c>
      <c r="I133" s="29" t="n">
        <f aca="false">IF(AND(G133&gt;=-0.0000001,G132&lt;0),1,0)</f>
        <v>0</v>
      </c>
      <c r="J133" s="30" t="str">
        <f aca="false">IF(I133=1,A133-H132,"")</f>
        <v/>
      </c>
      <c r="K133" s="27" t="n">
        <f aca="false">IF(B133="Wednesday",0,C133)</f>
        <v>0</v>
      </c>
      <c r="L133" s="28" t="n">
        <f aca="false">L132+K133/$T$1*100</f>
        <v>218.8905</v>
      </c>
      <c r="M133" s="28" t="n">
        <f aca="false">MAX(0,MAX($L$2:L133))</f>
        <v>243.13125</v>
      </c>
      <c r="N133" s="28" t="n">
        <f aca="false">L133-M133</f>
        <v>-24.24075</v>
      </c>
      <c r="O133" s="25" t="n">
        <f aca="false">IF(N133&gt;=-0.0000001,A133,O132)</f>
        <v>45985</v>
      </c>
      <c r="P133" s="29" t="n">
        <f aca="false">IF(AND(N133&gt;=-0.0000001,N132&lt;0),1,0)</f>
        <v>0</v>
      </c>
      <c r="Q133" s="30" t="str">
        <f aca="false">IF(P133=1,A133-O132,"")</f>
        <v/>
      </c>
    </row>
    <row r="134" customFormat="false" ht="15" hidden="false" customHeight="false" outlineLevel="0" collapsed="false">
      <c r="A134" s="25" t="n">
        <v>46009</v>
      </c>
      <c r="B134" s="26" t="s">
        <v>82</v>
      </c>
      <c r="C134" s="27" t="n">
        <v>-360</v>
      </c>
      <c r="D134" s="28" t="n">
        <f aca="false">C134/$T$1*100</f>
        <v>-0.072</v>
      </c>
      <c r="E134" s="28" t="n">
        <f aca="false">E133+D134</f>
        <v>205.4805</v>
      </c>
      <c r="F134" s="28" t="n">
        <f aca="false">MAX(0,MAX($E$2:E134))</f>
        <v>229.956</v>
      </c>
      <c r="G134" s="28" t="n">
        <f aca="false">E134-F134</f>
        <v>-24.4755</v>
      </c>
      <c r="H134" s="25" t="n">
        <f aca="false">IF(G134&gt;=-0.0000001,A134,H133)</f>
        <v>45975</v>
      </c>
      <c r="I134" s="29" t="n">
        <f aca="false">IF(AND(G134&gt;=-0.0000001,G133&lt;0),1,0)</f>
        <v>0</v>
      </c>
      <c r="J134" s="30" t="str">
        <f aca="false">IF(I134=1,A134-H133,"")</f>
        <v/>
      </c>
      <c r="K134" s="27" t="n">
        <f aca="false">IF(B134="Wednesday",0,C134)</f>
        <v>-360</v>
      </c>
      <c r="L134" s="28" t="n">
        <f aca="false">L133+K134/$T$1*100</f>
        <v>218.8185</v>
      </c>
      <c r="M134" s="28" t="n">
        <f aca="false">MAX(0,MAX($L$2:L134))</f>
        <v>243.13125</v>
      </c>
      <c r="N134" s="28" t="n">
        <f aca="false">L134-M134</f>
        <v>-24.31275</v>
      </c>
      <c r="O134" s="25" t="n">
        <f aca="false">IF(N134&gt;=-0.0000001,A134,O133)</f>
        <v>45985</v>
      </c>
      <c r="P134" s="29" t="n">
        <f aca="false">IF(AND(N134&gt;=-0.0000001,N133&lt;0),1,0)</f>
        <v>0</v>
      </c>
      <c r="Q134" s="30" t="str">
        <f aca="false">IF(P134=1,A134-O133,"")</f>
        <v/>
      </c>
    </row>
    <row r="135" customFormat="false" ht="15" hidden="false" customHeight="false" outlineLevel="0" collapsed="false">
      <c r="A135" s="25" t="n">
        <v>46010</v>
      </c>
      <c r="B135" s="26" t="s">
        <v>83</v>
      </c>
      <c r="C135" s="27" t="n">
        <v>-7350</v>
      </c>
      <c r="D135" s="28" t="n">
        <f aca="false">C135/$T$1*100</f>
        <v>-1.47</v>
      </c>
      <c r="E135" s="28" t="n">
        <f aca="false">E134+D135</f>
        <v>204.0105</v>
      </c>
      <c r="F135" s="28" t="n">
        <f aca="false">MAX(0,MAX($E$2:E135))</f>
        <v>229.956</v>
      </c>
      <c r="G135" s="28" t="n">
        <f aca="false">E135-F135</f>
        <v>-25.9455</v>
      </c>
      <c r="H135" s="25" t="n">
        <f aca="false">IF(G135&gt;=-0.0000001,A135,H134)</f>
        <v>45975</v>
      </c>
      <c r="I135" s="29" t="n">
        <f aca="false">IF(AND(G135&gt;=-0.0000001,G134&lt;0),1,0)</f>
        <v>0</v>
      </c>
      <c r="J135" s="30" t="str">
        <f aca="false">IF(I135=1,A135-H134,"")</f>
        <v/>
      </c>
      <c r="K135" s="27" t="n">
        <f aca="false">IF(B135="Wednesday",0,C135)</f>
        <v>-7350</v>
      </c>
      <c r="L135" s="28" t="n">
        <f aca="false">L134+K135/$T$1*100</f>
        <v>217.3485</v>
      </c>
      <c r="M135" s="28" t="n">
        <f aca="false">MAX(0,MAX($L$2:L135))</f>
        <v>243.13125</v>
      </c>
      <c r="N135" s="28" t="n">
        <f aca="false">L135-M135</f>
        <v>-25.78275</v>
      </c>
      <c r="O135" s="25" t="n">
        <f aca="false">IF(N135&gt;=-0.0000001,A135,O134)</f>
        <v>45985</v>
      </c>
      <c r="P135" s="29" t="n">
        <f aca="false">IF(AND(N135&gt;=-0.0000001,N134&lt;0),1,0)</f>
        <v>0</v>
      </c>
      <c r="Q135" s="30" t="str">
        <f aca="false">IF(P135=1,A135-O134,"")</f>
        <v/>
      </c>
    </row>
    <row r="136" customFormat="false" ht="15" hidden="false" customHeight="false" outlineLevel="0" collapsed="false">
      <c r="A136" s="25" t="n">
        <v>46013</v>
      </c>
      <c r="B136" s="26" t="s">
        <v>79</v>
      </c>
      <c r="C136" s="27" t="n">
        <v>6697.5</v>
      </c>
      <c r="D136" s="28" t="n">
        <f aca="false">C136/$T$1*100</f>
        <v>1.3395</v>
      </c>
      <c r="E136" s="28" t="n">
        <f aca="false">E135+D136</f>
        <v>205.35</v>
      </c>
      <c r="F136" s="28" t="n">
        <f aca="false">MAX(0,MAX($E$2:E136))</f>
        <v>229.956</v>
      </c>
      <c r="G136" s="28" t="n">
        <f aca="false">E136-F136</f>
        <v>-24.606</v>
      </c>
      <c r="H136" s="25" t="n">
        <f aca="false">IF(G136&gt;=-0.0000001,A136,H135)</f>
        <v>45975</v>
      </c>
      <c r="I136" s="29" t="n">
        <f aca="false">IF(AND(G136&gt;=-0.0000001,G135&lt;0),1,0)</f>
        <v>0</v>
      </c>
      <c r="J136" s="30" t="str">
        <f aca="false">IF(I136=1,A136-H135,"")</f>
        <v/>
      </c>
      <c r="K136" s="27" t="n">
        <f aca="false">IF(B136="Wednesday",0,C136)</f>
        <v>6697.5</v>
      </c>
      <c r="L136" s="28" t="n">
        <f aca="false">L135+K136/$T$1*100</f>
        <v>218.688</v>
      </c>
      <c r="M136" s="28" t="n">
        <f aca="false">MAX(0,MAX($L$2:L136))</f>
        <v>243.13125</v>
      </c>
      <c r="N136" s="28" t="n">
        <f aca="false">L136-M136</f>
        <v>-24.44325</v>
      </c>
      <c r="O136" s="25" t="n">
        <f aca="false">IF(N136&gt;=-0.0000001,A136,O135)</f>
        <v>45985</v>
      </c>
      <c r="P136" s="29" t="n">
        <f aca="false">IF(AND(N136&gt;=-0.0000001,N135&lt;0),1,0)</f>
        <v>0</v>
      </c>
      <c r="Q136" s="30" t="str">
        <f aca="false">IF(P136=1,A136-O135,"")</f>
        <v/>
      </c>
    </row>
    <row r="137" customFormat="false" ht="15" hidden="false" customHeight="false" outlineLevel="0" collapsed="false">
      <c r="A137" s="25" t="n">
        <v>46014</v>
      </c>
      <c r="B137" s="26" t="s">
        <v>80</v>
      </c>
      <c r="C137" s="27" t="n">
        <v>6682.5</v>
      </c>
      <c r="D137" s="28" t="n">
        <f aca="false">C137/$T$1*100</f>
        <v>1.3365</v>
      </c>
      <c r="E137" s="28" t="n">
        <f aca="false">E136+D137</f>
        <v>206.6865</v>
      </c>
      <c r="F137" s="28" t="n">
        <f aca="false">MAX(0,MAX($E$2:E137))</f>
        <v>229.956</v>
      </c>
      <c r="G137" s="28" t="n">
        <f aca="false">E137-F137</f>
        <v>-23.2695</v>
      </c>
      <c r="H137" s="25" t="n">
        <f aca="false">IF(G137&gt;=-0.0000001,A137,H136)</f>
        <v>45975</v>
      </c>
      <c r="I137" s="29" t="n">
        <f aca="false">IF(AND(G137&gt;=-0.0000001,G136&lt;0),1,0)</f>
        <v>0</v>
      </c>
      <c r="J137" s="30" t="str">
        <f aca="false">IF(I137=1,A137-H136,"")</f>
        <v/>
      </c>
      <c r="K137" s="27" t="n">
        <f aca="false">IF(B137="Wednesday",0,C137)</f>
        <v>6682.5</v>
      </c>
      <c r="L137" s="28" t="n">
        <f aca="false">L136+K137/$T$1*100</f>
        <v>220.0245</v>
      </c>
      <c r="M137" s="28" t="n">
        <f aca="false">MAX(0,MAX($L$2:L137))</f>
        <v>243.13125</v>
      </c>
      <c r="N137" s="28" t="n">
        <f aca="false">L137-M137</f>
        <v>-23.10675</v>
      </c>
      <c r="O137" s="25" t="n">
        <f aca="false">IF(N137&gt;=-0.0000001,A137,O136)</f>
        <v>45985</v>
      </c>
      <c r="P137" s="29" t="n">
        <f aca="false">IF(AND(N137&gt;=-0.0000001,N136&lt;0),1,0)</f>
        <v>0</v>
      </c>
      <c r="Q137" s="30" t="str">
        <f aca="false">IF(P137=1,A137-O136,"")</f>
        <v/>
      </c>
    </row>
    <row r="138" customFormat="false" ht="15" hidden="false" customHeight="false" outlineLevel="0" collapsed="false">
      <c r="A138" s="25" t="n">
        <v>46015</v>
      </c>
      <c r="B138" s="26" t="s">
        <v>81</v>
      </c>
      <c r="C138" s="27" t="n">
        <v>-22005</v>
      </c>
      <c r="D138" s="28" t="n">
        <f aca="false">C138/$T$1*100</f>
        <v>-4.401</v>
      </c>
      <c r="E138" s="28" t="n">
        <f aca="false">E137+D138</f>
        <v>202.2855</v>
      </c>
      <c r="F138" s="28" t="n">
        <f aca="false">MAX(0,MAX($E$2:E138))</f>
        <v>229.956</v>
      </c>
      <c r="G138" s="28" t="n">
        <f aca="false">E138-F138</f>
        <v>-27.6705</v>
      </c>
      <c r="H138" s="25" t="n">
        <f aca="false">IF(G138&gt;=-0.0000001,A138,H137)</f>
        <v>45975</v>
      </c>
      <c r="I138" s="29" t="n">
        <f aca="false">IF(AND(G138&gt;=-0.0000001,G137&lt;0),1,0)</f>
        <v>0</v>
      </c>
      <c r="J138" s="30" t="str">
        <f aca="false">IF(I138=1,A138-H137,"")</f>
        <v/>
      </c>
      <c r="K138" s="27" t="n">
        <f aca="false">IF(B138="Wednesday",0,C138)</f>
        <v>0</v>
      </c>
      <c r="L138" s="28" t="n">
        <f aca="false">L137+K138/$T$1*100</f>
        <v>220.0245</v>
      </c>
      <c r="M138" s="28" t="n">
        <f aca="false">MAX(0,MAX($L$2:L138))</f>
        <v>243.13125</v>
      </c>
      <c r="N138" s="28" t="n">
        <f aca="false">L138-M138</f>
        <v>-23.10675</v>
      </c>
      <c r="O138" s="25" t="n">
        <f aca="false">IF(N138&gt;=-0.0000001,A138,O137)</f>
        <v>45985</v>
      </c>
      <c r="P138" s="29" t="n">
        <f aca="false">IF(AND(N138&gt;=-0.0000001,N137&lt;0),1,0)</f>
        <v>0</v>
      </c>
      <c r="Q138" s="30" t="str">
        <f aca="false">IF(P138=1,A138-O137,"")</f>
        <v/>
      </c>
    </row>
    <row r="139" customFormat="false" ht="15" hidden="false" customHeight="false" outlineLevel="0" collapsed="false">
      <c r="A139" s="25" t="n">
        <v>46017</v>
      </c>
      <c r="B139" s="26" t="s">
        <v>83</v>
      </c>
      <c r="C139" s="27" t="n">
        <v>-14160</v>
      </c>
      <c r="D139" s="28" t="n">
        <f aca="false">C139/$T$1*100</f>
        <v>-2.832</v>
      </c>
      <c r="E139" s="28" t="n">
        <f aca="false">E138+D139</f>
        <v>199.4535</v>
      </c>
      <c r="F139" s="28" t="n">
        <f aca="false">MAX(0,MAX($E$2:E139))</f>
        <v>229.956</v>
      </c>
      <c r="G139" s="28" t="n">
        <f aca="false">E139-F139</f>
        <v>-30.5025</v>
      </c>
      <c r="H139" s="25" t="n">
        <f aca="false">IF(G139&gt;=-0.0000001,A139,H138)</f>
        <v>45975</v>
      </c>
      <c r="I139" s="29" t="n">
        <f aca="false">IF(AND(G139&gt;=-0.0000001,G138&lt;0),1,0)</f>
        <v>0</v>
      </c>
      <c r="J139" s="30" t="str">
        <f aca="false">IF(I139=1,A139-H138,"")</f>
        <v/>
      </c>
      <c r="K139" s="27" t="n">
        <f aca="false">IF(B139="Wednesday",0,C139)</f>
        <v>-14160</v>
      </c>
      <c r="L139" s="28" t="n">
        <f aca="false">L138+K139/$T$1*100</f>
        <v>217.1925</v>
      </c>
      <c r="M139" s="28" t="n">
        <f aca="false">MAX(0,MAX($L$2:L139))</f>
        <v>243.13125</v>
      </c>
      <c r="N139" s="28" t="n">
        <f aca="false">L139-M139</f>
        <v>-25.93875</v>
      </c>
      <c r="O139" s="25" t="n">
        <f aca="false">IF(N139&gt;=-0.0000001,A139,O138)</f>
        <v>45985</v>
      </c>
      <c r="P139" s="29" t="n">
        <f aca="false">IF(AND(N139&gt;=-0.0000001,N138&lt;0),1,0)</f>
        <v>0</v>
      </c>
      <c r="Q139" s="30" t="str">
        <f aca="false">IF(P139=1,A139-O138,"")</f>
        <v/>
      </c>
    </row>
    <row r="140" customFormat="false" ht="15" hidden="false" customHeight="false" outlineLevel="0" collapsed="false">
      <c r="A140" s="25" t="n">
        <v>46020</v>
      </c>
      <c r="B140" s="26" t="s">
        <v>79</v>
      </c>
      <c r="C140" s="27" t="n">
        <v>60978.75</v>
      </c>
      <c r="D140" s="28" t="n">
        <f aca="false">C140/$T$1*100</f>
        <v>12.19575</v>
      </c>
      <c r="E140" s="28" t="n">
        <f aca="false">E139+D140</f>
        <v>211.64925</v>
      </c>
      <c r="F140" s="28" t="n">
        <f aca="false">MAX(0,MAX($E$2:E140))</f>
        <v>229.956</v>
      </c>
      <c r="G140" s="28" t="n">
        <f aca="false">E140-F140</f>
        <v>-18.30675</v>
      </c>
      <c r="H140" s="25" t="n">
        <f aca="false">IF(G140&gt;=-0.0000001,A140,H139)</f>
        <v>45975</v>
      </c>
      <c r="I140" s="29" t="n">
        <f aca="false">IF(AND(G140&gt;=-0.0000001,G139&lt;0),1,0)</f>
        <v>0</v>
      </c>
      <c r="J140" s="30" t="str">
        <f aca="false">IF(I140=1,A140-H139,"")</f>
        <v/>
      </c>
      <c r="K140" s="27" t="n">
        <f aca="false">IF(B140="Wednesday",0,C140)</f>
        <v>60978.75</v>
      </c>
      <c r="L140" s="28" t="n">
        <f aca="false">L139+K140/$T$1*100</f>
        <v>229.38825</v>
      </c>
      <c r="M140" s="28" t="n">
        <f aca="false">MAX(0,MAX($L$2:L140))</f>
        <v>243.13125</v>
      </c>
      <c r="N140" s="28" t="n">
        <f aca="false">L140-M140</f>
        <v>-13.743</v>
      </c>
      <c r="O140" s="25" t="n">
        <f aca="false">IF(N140&gt;=-0.0000001,A140,O139)</f>
        <v>45985</v>
      </c>
      <c r="P140" s="29" t="n">
        <f aca="false">IF(AND(N140&gt;=-0.0000001,N139&lt;0),1,0)</f>
        <v>0</v>
      </c>
      <c r="Q140" s="30" t="str">
        <f aca="false">IF(P140=1,A140-O139,"")</f>
        <v/>
      </c>
    </row>
    <row r="141" customFormat="false" ht="15" hidden="false" customHeight="false" outlineLevel="0" collapsed="false">
      <c r="A141" s="25" t="n">
        <v>46021</v>
      </c>
      <c r="B141" s="26" t="s">
        <v>80</v>
      </c>
      <c r="C141" s="27" t="n">
        <v>-30037.5</v>
      </c>
      <c r="D141" s="28" t="n">
        <f aca="false">C141/$T$1*100</f>
        <v>-6.0075</v>
      </c>
      <c r="E141" s="28" t="n">
        <f aca="false">E140+D141</f>
        <v>205.64175</v>
      </c>
      <c r="F141" s="28" t="n">
        <f aca="false">MAX(0,MAX($E$2:E141))</f>
        <v>229.956</v>
      </c>
      <c r="G141" s="28" t="n">
        <f aca="false">E141-F141</f>
        <v>-24.31425</v>
      </c>
      <c r="H141" s="25" t="n">
        <f aca="false">IF(G141&gt;=-0.0000001,A141,H140)</f>
        <v>45975</v>
      </c>
      <c r="I141" s="29" t="n">
        <f aca="false">IF(AND(G141&gt;=-0.0000001,G140&lt;0),1,0)</f>
        <v>0</v>
      </c>
      <c r="J141" s="30" t="str">
        <f aca="false">IF(I141=1,A141-H140,"")</f>
        <v/>
      </c>
      <c r="K141" s="27" t="n">
        <f aca="false">IF(B141="Wednesday",0,C141)</f>
        <v>-30037.5</v>
      </c>
      <c r="L141" s="28" t="n">
        <f aca="false">L140+K141/$T$1*100</f>
        <v>223.38075</v>
      </c>
      <c r="M141" s="28" t="n">
        <f aca="false">MAX(0,MAX($L$2:L141))</f>
        <v>243.13125</v>
      </c>
      <c r="N141" s="28" t="n">
        <f aca="false">L141-M141</f>
        <v>-19.7505</v>
      </c>
      <c r="O141" s="25" t="n">
        <f aca="false">IF(N141&gt;=-0.0000001,A141,O140)</f>
        <v>45985</v>
      </c>
      <c r="P141" s="29" t="n">
        <f aca="false">IF(AND(N141&gt;=-0.0000001,N140&lt;0),1,0)</f>
        <v>0</v>
      </c>
      <c r="Q141" s="30" t="str">
        <f aca="false">IF(P141=1,A141-O140,"")</f>
        <v/>
      </c>
    </row>
    <row r="142" customFormat="false" ht="15" hidden="false" customHeight="false" outlineLevel="0" collapsed="false">
      <c r="A142" s="25" t="n">
        <v>46022</v>
      </c>
      <c r="B142" s="26" t="s">
        <v>81</v>
      </c>
      <c r="C142" s="27" t="n">
        <v>-29835</v>
      </c>
      <c r="D142" s="28" t="n">
        <f aca="false">C142/$T$1*100</f>
        <v>-5.967</v>
      </c>
      <c r="E142" s="28" t="n">
        <f aca="false">E141+D142</f>
        <v>199.67475</v>
      </c>
      <c r="F142" s="28" t="n">
        <f aca="false">MAX(0,MAX($E$2:E142))</f>
        <v>229.956</v>
      </c>
      <c r="G142" s="28" t="n">
        <f aca="false">E142-F142</f>
        <v>-30.28125</v>
      </c>
      <c r="H142" s="25" t="n">
        <f aca="false">IF(G142&gt;=-0.0000001,A142,H141)</f>
        <v>45975</v>
      </c>
      <c r="I142" s="29" t="n">
        <f aca="false">IF(AND(G142&gt;=-0.0000001,G141&lt;0),1,0)</f>
        <v>0</v>
      </c>
      <c r="J142" s="30" t="str">
        <f aca="false">IF(I142=1,A142-H141,"")</f>
        <v/>
      </c>
      <c r="K142" s="27" t="n">
        <f aca="false">IF(B142="Wednesday",0,C142)</f>
        <v>0</v>
      </c>
      <c r="L142" s="28" t="n">
        <f aca="false">L141+K142/$T$1*100</f>
        <v>223.38075</v>
      </c>
      <c r="M142" s="28" t="n">
        <f aca="false">MAX(0,MAX($L$2:L142))</f>
        <v>243.13125</v>
      </c>
      <c r="N142" s="28" t="n">
        <f aca="false">L142-M142</f>
        <v>-19.7505</v>
      </c>
      <c r="O142" s="25" t="n">
        <f aca="false">IF(N142&gt;=-0.0000001,A142,O141)</f>
        <v>45985</v>
      </c>
      <c r="P142" s="29" t="n">
        <f aca="false">IF(AND(N142&gt;=-0.0000001,N141&lt;0),1,0)</f>
        <v>0</v>
      </c>
      <c r="Q142" s="30" t="str">
        <f aca="false">IF(P142=1,A142-O141,"")</f>
        <v/>
      </c>
    </row>
    <row r="143" customFormat="false" ht="15" hidden="false" customHeight="false" outlineLevel="0" collapsed="false">
      <c r="A143" s="25" t="n">
        <v>46023</v>
      </c>
      <c r="B143" s="26" t="s">
        <v>82</v>
      </c>
      <c r="C143" s="27" t="n">
        <v>-8482.5</v>
      </c>
      <c r="D143" s="28" t="n">
        <f aca="false">C143/$T$1*100</f>
        <v>-1.6965</v>
      </c>
      <c r="E143" s="28" t="n">
        <f aca="false">E142+D143</f>
        <v>197.97825</v>
      </c>
      <c r="F143" s="28" t="n">
        <f aca="false">MAX(0,MAX($E$2:E143))</f>
        <v>229.956</v>
      </c>
      <c r="G143" s="28" t="n">
        <f aca="false">E143-F143</f>
        <v>-31.97775</v>
      </c>
      <c r="H143" s="25" t="n">
        <f aca="false">IF(G143&gt;=-0.0000001,A143,H142)</f>
        <v>45975</v>
      </c>
      <c r="I143" s="29" t="n">
        <f aca="false">IF(AND(G143&gt;=-0.0000001,G142&lt;0),1,0)</f>
        <v>0</v>
      </c>
      <c r="J143" s="30" t="str">
        <f aca="false">IF(I143=1,A143-H142,"")</f>
        <v/>
      </c>
      <c r="K143" s="27" t="n">
        <f aca="false">IF(B143="Wednesday",0,C143)</f>
        <v>-8482.5</v>
      </c>
      <c r="L143" s="28" t="n">
        <f aca="false">L142+K143/$T$1*100</f>
        <v>221.68425</v>
      </c>
      <c r="M143" s="28" t="n">
        <f aca="false">MAX(0,MAX($L$2:L143))</f>
        <v>243.13125</v>
      </c>
      <c r="N143" s="28" t="n">
        <f aca="false">L143-M143</f>
        <v>-21.447</v>
      </c>
      <c r="O143" s="25" t="n">
        <f aca="false">IF(N143&gt;=-0.0000001,A143,O142)</f>
        <v>45985</v>
      </c>
      <c r="P143" s="29" t="n">
        <f aca="false">IF(AND(N143&gt;=-0.0000001,N142&lt;0),1,0)</f>
        <v>0</v>
      </c>
      <c r="Q143" s="30" t="str">
        <f aca="false">IF(P143=1,A143-O142,"")</f>
        <v/>
      </c>
    </row>
    <row r="144" customFormat="false" ht="15" hidden="false" customHeight="false" outlineLevel="0" collapsed="false">
      <c r="A144" s="25" t="n">
        <v>46024</v>
      </c>
      <c r="B144" s="26" t="s">
        <v>83</v>
      </c>
      <c r="C144" s="27" t="n">
        <v>-292.5</v>
      </c>
      <c r="D144" s="28" t="n">
        <f aca="false">C144/$T$1*100</f>
        <v>-0.0585</v>
      </c>
      <c r="E144" s="28" t="n">
        <f aca="false">E143+D144</f>
        <v>197.91975</v>
      </c>
      <c r="F144" s="28" t="n">
        <f aca="false">MAX(0,MAX($E$2:E144))</f>
        <v>229.956</v>
      </c>
      <c r="G144" s="28" t="n">
        <f aca="false">E144-F144</f>
        <v>-32.03625</v>
      </c>
      <c r="H144" s="25" t="n">
        <f aca="false">IF(G144&gt;=-0.0000001,A144,H143)</f>
        <v>45975</v>
      </c>
      <c r="I144" s="29" t="n">
        <f aca="false">IF(AND(G144&gt;=-0.0000001,G143&lt;0),1,0)</f>
        <v>0</v>
      </c>
      <c r="J144" s="30" t="str">
        <f aca="false">IF(I144=1,A144-H143,"")</f>
        <v/>
      </c>
      <c r="K144" s="27" t="n">
        <f aca="false">IF(B144="Wednesday",0,C144)</f>
        <v>-292.5</v>
      </c>
      <c r="L144" s="28" t="n">
        <f aca="false">L143+K144/$T$1*100</f>
        <v>221.62575</v>
      </c>
      <c r="M144" s="28" t="n">
        <f aca="false">MAX(0,MAX($L$2:L144))</f>
        <v>243.13125</v>
      </c>
      <c r="N144" s="28" t="n">
        <f aca="false">L144-M144</f>
        <v>-21.5055</v>
      </c>
      <c r="O144" s="25" t="n">
        <f aca="false">IF(N144&gt;=-0.0000001,A144,O143)</f>
        <v>45985</v>
      </c>
      <c r="P144" s="29" t="n">
        <f aca="false">IF(AND(N144&gt;=-0.0000001,N143&lt;0),1,0)</f>
        <v>0</v>
      </c>
      <c r="Q144" s="30" t="str">
        <f aca="false">IF(P144=1,A144-O143,"")</f>
        <v/>
      </c>
    </row>
    <row r="145" customFormat="false" ht="15" hidden="false" customHeight="false" outlineLevel="0" collapsed="false">
      <c r="A145" s="25" t="n">
        <v>46027</v>
      </c>
      <c r="B145" s="26" t="s">
        <v>79</v>
      </c>
      <c r="C145" s="27" t="n">
        <v>-34206.25</v>
      </c>
      <c r="D145" s="28" t="n">
        <f aca="false">C145/$T$1*100</f>
        <v>-6.84125</v>
      </c>
      <c r="E145" s="28" t="n">
        <f aca="false">E144+D145</f>
        <v>191.0785</v>
      </c>
      <c r="F145" s="28" t="n">
        <f aca="false">MAX(0,MAX($E$2:E145))</f>
        <v>229.956</v>
      </c>
      <c r="G145" s="28" t="n">
        <f aca="false">E145-F145</f>
        <v>-38.8775</v>
      </c>
      <c r="H145" s="25" t="n">
        <f aca="false">IF(G145&gt;=-0.0000001,A145,H144)</f>
        <v>45975</v>
      </c>
      <c r="I145" s="29" t="n">
        <f aca="false">IF(AND(G145&gt;=-0.0000001,G144&lt;0),1,0)</f>
        <v>0</v>
      </c>
      <c r="J145" s="30" t="str">
        <f aca="false">IF(I145=1,A145-H144,"")</f>
        <v/>
      </c>
      <c r="K145" s="27" t="n">
        <f aca="false">IF(B145="Wednesday",0,C145)</f>
        <v>-34206.25</v>
      </c>
      <c r="L145" s="28" t="n">
        <f aca="false">L144+K145/$T$1*100</f>
        <v>214.7845</v>
      </c>
      <c r="M145" s="28" t="n">
        <f aca="false">MAX(0,MAX($L$2:L145))</f>
        <v>243.13125</v>
      </c>
      <c r="N145" s="28" t="n">
        <f aca="false">L145-M145</f>
        <v>-28.34675</v>
      </c>
      <c r="O145" s="25" t="n">
        <f aca="false">IF(N145&gt;=-0.0000001,A145,O144)</f>
        <v>45985</v>
      </c>
      <c r="P145" s="29" t="n">
        <f aca="false">IF(AND(N145&gt;=-0.0000001,N144&lt;0),1,0)</f>
        <v>0</v>
      </c>
      <c r="Q145" s="30" t="str">
        <f aca="false">IF(P145=1,A145-O144,"")</f>
        <v/>
      </c>
    </row>
    <row r="146" customFormat="false" ht="15" hidden="false" customHeight="false" outlineLevel="0" collapsed="false">
      <c r="A146" s="25" t="n">
        <v>46029</v>
      </c>
      <c r="B146" s="26" t="s">
        <v>81</v>
      </c>
      <c r="C146" s="27" t="n">
        <v>-8547.5</v>
      </c>
      <c r="D146" s="28" t="n">
        <f aca="false">C146/$T$1*100</f>
        <v>-1.7095</v>
      </c>
      <c r="E146" s="28" t="n">
        <f aca="false">E145+D146</f>
        <v>189.369</v>
      </c>
      <c r="F146" s="28" t="n">
        <f aca="false">MAX(0,MAX($E$2:E146))</f>
        <v>229.956</v>
      </c>
      <c r="G146" s="28" t="n">
        <f aca="false">E146-F146</f>
        <v>-40.587</v>
      </c>
      <c r="H146" s="25" t="n">
        <f aca="false">IF(G146&gt;=-0.0000001,A146,H145)</f>
        <v>45975</v>
      </c>
      <c r="I146" s="29" t="n">
        <f aca="false">IF(AND(G146&gt;=-0.0000001,G145&lt;0),1,0)</f>
        <v>0</v>
      </c>
      <c r="J146" s="30" t="str">
        <f aca="false">IF(I146=1,A146-H145,"")</f>
        <v/>
      </c>
      <c r="K146" s="27" t="n">
        <f aca="false">IF(B146="Wednesday",0,C146)</f>
        <v>0</v>
      </c>
      <c r="L146" s="28" t="n">
        <f aca="false">L145+K146/$T$1*100</f>
        <v>214.7845</v>
      </c>
      <c r="M146" s="28" t="n">
        <f aca="false">MAX(0,MAX($L$2:L146))</f>
        <v>243.13125</v>
      </c>
      <c r="N146" s="28" t="n">
        <f aca="false">L146-M146</f>
        <v>-28.34675</v>
      </c>
      <c r="O146" s="25" t="n">
        <f aca="false">IF(N146&gt;=-0.0000001,A146,O145)</f>
        <v>45985</v>
      </c>
      <c r="P146" s="29" t="n">
        <f aca="false">IF(AND(N146&gt;=-0.0000001,N145&lt;0),1,0)</f>
        <v>0</v>
      </c>
      <c r="Q146" s="30" t="str">
        <f aca="false">IF(P146=1,A146-O145,"")</f>
        <v/>
      </c>
    </row>
    <row r="147" customFormat="false" ht="15" hidden="false" customHeight="false" outlineLevel="0" collapsed="false">
      <c r="A147" s="25" t="n">
        <v>46030</v>
      </c>
      <c r="B147" s="26" t="s">
        <v>82</v>
      </c>
      <c r="C147" s="27" t="n">
        <v>77171.25</v>
      </c>
      <c r="D147" s="28" t="n">
        <f aca="false">C147/$T$1*100</f>
        <v>15.43425</v>
      </c>
      <c r="E147" s="28" t="n">
        <f aca="false">E146+D147</f>
        <v>204.80325</v>
      </c>
      <c r="F147" s="28" t="n">
        <f aca="false">MAX(0,MAX($E$2:E147))</f>
        <v>229.956</v>
      </c>
      <c r="G147" s="28" t="n">
        <f aca="false">E147-F147</f>
        <v>-25.15275</v>
      </c>
      <c r="H147" s="25" t="n">
        <f aca="false">IF(G147&gt;=-0.0000001,A147,H146)</f>
        <v>45975</v>
      </c>
      <c r="I147" s="29" t="n">
        <f aca="false">IF(AND(G147&gt;=-0.0000001,G146&lt;0),1,0)</f>
        <v>0</v>
      </c>
      <c r="J147" s="30" t="str">
        <f aca="false">IF(I147=1,A147-H146,"")</f>
        <v/>
      </c>
      <c r="K147" s="27" t="n">
        <f aca="false">IF(B147="Wednesday",0,C147)</f>
        <v>77171.25</v>
      </c>
      <c r="L147" s="28" t="n">
        <f aca="false">L146+K147/$T$1*100</f>
        <v>230.21875</v>
      </c>
      <c r="M147" s="28" t="n">
        <f aca="false">MAX(0,MAX($L$2:L147))</f>
        <v>243.13125</v>
      </c>
      <c r="N147" s="28" t="n">
        <f aca="false">L147-M147</f>
        <v>-12.9125</v>
      </c>
      <c r="O147" s="25" t="n">
        <f aca="false">IF(N147&gt;=-0.0000001,A147,O146)</f>
        <v>45985</v>
      </c>
      <c r="P147" s="29" t="n">
        <f aca="false">IF(AND(N147&gt;=-0.0000001,N146&lt;0),1,0)</f>
        <v>0</v>
      </c>
      <c r="Q147" s="30" t="str">
        <f aca="false">IF(P147=1,A147-O146,"")</f>
        <v/>
      </c>
    </row>
    <row r="148" customFormat="false" ht="15" hidden="false" customHeight="false" outlineLevel="0" collapsed="false">
      <c r="A148" s="25" t="n">
        <v>46031</v>
      </c>
      <c r="B148" s="26" t="s">
        <v>83</v>
      </c>
      <c r="C148" s="27" t="n">
        <v>-23842</v>
      </c>
      <c r="D148" s="28" t="n">
        <f aca="false">C148/$T$1*100</f>
        <v>-4.7684</v>
      </c>
      <c r="E148" s="28" t="n">
        <f aca="false">E147+D148</f>
        <v>200.03485</v>
      </c>
      <c r="F148" s="28" t="n">
        <f aca="false">MAX(0,MAX($E$2:E148))</f>
        <v>229.956</v>
      </c>
      <c r="G148" s="28" t="n">
        <f aca="false">E148-F148</f>
        <v>-29.92115</v>
      </c>
      <c r="H148" s="25" t="n">
        <f aca="false">IF(G148&gt;=-0.0000001,A148,H147)</f>
        <v>45975</v>
      </c>
      <c r="I148" s="29" t="n">
        <f aca="false">IF(AND(G148&gt;=-0.0000001,G147&lt;0),1,0)</f>
        <v>0</v>
      </c>
      <c r="J148" s="30" t="str">
        <f aca="false">IF(I148=1,A148-H147,"")</f>
        <v/>
      </c>
      <c r="K148" s="27" t="n">
        <f aca="false">IF(B148="Wednesday",0,C148)</f>
        <v>-23842</v>
      </c>
      <c r="L148" s="28" t="n">
        <f aca="false">L147+K148/$T$1*100</f>
        <v>225.45035</v>
      </c>
      <c r="M148" s="28" t="n">
        <f aca="false">MAX(0,MAX($L$2:L148))</f>
        <v>243.13125</v>
      </c>
      <c r="N148" s="28" t="n">
        <f aca="false">L148-M148</f>
        <v>-17.6809</v>
      </c>
      <c r="O148" s="25" t="n">
        <f aca="false">IF(N148&gt;=-0.0000001,A148,O147)</f>
        <v>45985</v>
      </c>
      <c r="P148" s="29" t="n">
        <f aca="false">IF(AND(N148&gt;=-0.0000001,N147&lt;0),1,0)</f>
        <v>0</v>
      </c>
      <c r="Q148" s="30" t="str">
        <f aca="false">IF(P148=1,A148-O147,"")</f>
        <v/>
      </c>
    </row>
    <row r="149" customFormat="false" ht="15" hidden="false" customHeight="false" outlineLevel="0" collapsed="false">
      <c r="A149" s="25" t="n">
        <v>46034</v>
      </c>
      <c r="B149" s="26" t="s">
        <v>79</v>
      </c>
      <c r="C149" s="27" t="n">
        <v>194707.5</v>
      </c>
      <c r="D149" s="28" t="n">
        <f aca="false">C149/$T$1*100</f>
        <v>38.9415</v>
      </c>
      <c r="E149" s="28" t="n">
        <f aca="false">E148+D149</f>
        <v>238.97635</v>
      </c>
      <c r="F149" s="28" t="n">
        <f aca="false">MAX(0,MAX($E$2:E149))</f>
        <v>238.97635</v>
      </c>
      <c r="G149" s="28" t="n">
        <f aca="false">E149-F149</f>
        <v>0</v>
      </c>
      <c r="H149" s="25" t="n">
        <f aca="false">IF(G149&gt;=-0.0000001,A149,H148)</f>
        <v>46034</v>
      </c>
      <c r="I149" s="29" t="n">
        <f aca="false">IF(AND(G149&gt;=-0.0000001,G148&lt;0),1,0)</f>
        <v>1</v>
      </c>
      <c r="J149" s="30" t="n">
        <f aca="false">IF(I149=1,A149-H148,"")</f>
        <v>59</v>
      </c>
      <c r="K149" s="27" t="n">
        <f aca="false">IF(B149="Wednesday",0,C149)</f>
        <v>194707.5</v>
      </c>
      <c r="L149" s="28" t="n">
        <f aca="false">L148+K149/$T$1*100</f>
        <v>264.39185</v>
      </c>
      <c r="M149" s="28" t="n">
        <f aca="false">MAX(0,MAX($L$2:L149))</f>
        <v>264.39185</v>
      </c>
      <c r="N149" s="28" t="n">
        <f aca="false">L149-M149</f>
        <v>0</v>
      </c>
      <c r="O149" s="25" t="n">
        <f aca="false">IF(N149&gt;=-0.0000001,A149,O148)</f>
        <v>46034</v>
      </c>
      <c r="P149" s="29" t="n">
        <f aca="false">IF(AND(N149&gt;=-0.0000001,N148&lt;0),1,0)</f>
        <v>1</v>
      </c>
      <c r="Q149" s="30" t="n">
        <f aca="false">IF(P149=1,A149-O148,"")</f>
        <v>49</v>
      </c>
    </row>
    <row r="150" customFormat="false" ht="15" hidden="false" customHeight="false" outlineLevel="0" collapsed="false">
      <c r="A150" s="25" t="n">
        <v>46035</v>
      </c>
      <c r="B150" s="26" t="s">
        <v>80</v>
      </c>
      <c r="C150" s="27" t="n">
        <v>65789.75</v>
      </c>
      <c r="D150" s="28" t="n">
        <f aca="false">C150/$T$1*100</f>
        <v>13.15795</v>
      </c>
      <c r="E150" s="28" t="n">
        <f aca="false">E149+D150</f>
        <v>252.1343</v>
      </c>
      <c r="F150" s="28" t="n">
        <f aca="false">MAX(0,MAX($E$2:E150))</f>
        <v>252.1343</v>
      </c>
      <c r="G150" s="28" t="n">
        <f aca="false">E150-F150</f>
        <v>0</v>
      </c>
      <c r="H150" s="25" t="n">
        <f aca="false">IF(G150&gt;=-0.0000001,A150,H149)</f>
        <v>46035</v>
      </c>
      <c r="I150" s="29" t="n">
        <f aca="false">IF(AND(G150&gt;=-0.0000001,G149&lt;0),1,0)</f>
        <v>0</v>
      </c>
      <c r="J150" s="30" t="str">
        <f aca="false">IF(I150=1,A150-H149,"")</f>
        <v/>
      </c>
      <c r="K150" s="27" t="n">
        <f aca="false">IF(B150="Wednesday",0,C150)</f>
        <v>65789.75</v>
      </c>
      <c r="L150" s="28" t="n">
        <f aca="false">L149+K150/$T$1*100</f>
        <v>277.5498</v>
      </c>
      <c r="M150" s="28" t="n">
        <f aca="false">MAX(0,MAX($L$2:L150))</f>
        <v>277.5498</v>
      </c>
      <c r="N150" s="28" t="n">
        <f aca="false">L150-M150</f>
        <v>0</v>
      </c>
      <c r="O150" s="25" t="n">
        <f aca="false">IF(N150&gt;=-0.0000001,A150,O149)</f>
        <v>46035</v>
      </c>
      <c r="P150" s="29" t="n">
        <f aca="false">IF(AND(N150&gt;=-0.0000001,N149&lt;0),1,0)</f>
        <v>0</v>
      </c>
      <c r="Q150" s="30" t="str">
        <f aca="false">IF(P150=1,A150-O149,"")</f>
        <v/>
      </c>
    </row>
    <row r="151" customFormat="false" ht="15" hidden="false" customHeight="false" outlineLevel="0" collapsed="false">
      <c r="A151" s="25" t="n">
        <v>46036</v>
      </c>
      <c r="B151" s="26" t="s">
        <v>81</v>
      </c>
      <c r="C151" s="27" t="n">
        <v>-33696</v>
      </c>
      <c r="D151" s="28" t="n">
        <f aca="false">C151/$T$1*100</f>
        <v>-6.7392</v>
      </c>
      <c r="E151" s="28" t="n">
        <f aca="false">E150+D151</f>
        <v>245.3951</v>
      </c>
      <c r="F151" s="28" t="n">
        <f aca="false">MAX(0,MAX($E$2:E151))</f>
        <v>252.1343</v>
      </c>
      <c r="G151" s="28" t="n">
        <f aca="false">E151-F151</f>
        <v>-6.73920000000001</v>
      </c>
      <c r="H151" s="25" t="n">
        <f aca="false">IF(G151&gt;=-0.0000001,A151,H150)</f>
        <v>46035</v>
      </c>
      <c r="I151" s="29" t="n">
        <f aca="false">IF(AND(G151&gt;=-0.0000001,G150&lt;0),1,0)</f>
        <v>0</v>
      </c>
      <c r="J151" s="30" t="str">
        <f aca="false">IF(I151=1,A151-H150,"")</f>
        <v/>
      </c>
      <c r="K151" s="27" t="n">
        <f aca="false">IF(B151="Wednesday",0,C151)</f>
        <v>0</v>
      </c>
      <c r="L151" s="28" t="n">
        <f aca="false">L150+K151/$T$1*100</f>
        <v>277.5498</v>
      </c>
      <c r="M151" s="28" t="n">
        <f aca="false">MAX(0,MAX($L$2:L151))</f>
        <v>277.5498</v>
      </c>
      <c r="N151" s="28" t="n">
        <f aca="false">L151-M151</f>
        <v>0</v>
      </c>
      <c r="O151" s="25" t="n">
        <f aca="false">IF(N151&gt;=-0.0000001,A151,O150)</f>
        <v>46036</v>
      </c>
      <c r="P151" s="29" t="n">
        <f aca="false">IF(AND(N151&gt;=-0.0000001,N150&lt;0),1,0)</f>
        <v>0</v>
      </c>
      <c r="Q151" s="30" t="str">
        <f aca="false">IF(P151=1,A151-O150,"")</f>
        <v/>
      </c>
    </row>
    <row r="152" customFormat="false" ht="15" hidden="false" customHeight="false" outlineLevel="0" collapsed="false">
      <c r="A152" s="25" t="n">
        <v>46038</v>
      </c>
      <c r="B152" s="26" t="s">
        <v>83</v>
      </c>
      <c r="C152" s="27" t="n">
        <v>-21352.5</v>
      </c>
      <c r="D152" s="28" t="n">
        <f aca="false">C152/$T$1*100</f>
        <v>-4.2705</v>
      </c>
      <c r="E152" s="28" t="n">
        <f aca="false">E151+D152</f>
        <v>241.1246</v>
      </c>
      <c r="F152" s="28" t="n">
        <f aca="false">MAX(0,MAX($E$2:E152))</f>
        <v>252.1343</v>
      </c>
      <c r="G152" s="28" t="n">
        <f aca="false">E152-F152</f>
        <v>-11.0097</v>
      </c>
      <c r="H152" s="25" t="n">
        <f aca="false">IF(G152&gt;=-0.0000001,A152,H151)</f>
        <v>46035</v>
      </c>
      <c r="I152" s="29" t="n">
        <f aca="false">IF(AND(G152&gt;=-0.0000001,G151&lt;0),1,0)</f>
        <v>0</v>
      </c>
      <c r="J152" s="30" t="str">
        <f aca="false">IF(I152=1,A152-H151,"")</f>
        <v/>
      </c>
      <c r="K152" s="27" t="n">
        <f aca="false">IF(B152="Wednesday",0,C152)</f>
        <v>-21352.5</v>
      </c>
      <c r="L152" s="28" t="n">
        <f aca="false">L151+K152/$T$1*100</f>
        <v>273.2793</v>
      </c>
      <c r="M152" s="28" t="n">
        <f aca="false">MAX(0,MAX($L$2:L152))</f>
        <v>277.5498</v>
      </c>
      <c r="N152" s="28" t="n">
        <f aca="false">L152-M152</f>
        <v>-4.27050000000003</v>
      </c>
      <c r="O152" s="25" t="n">
        <f aca="false">IF(N152&gt;=-0.0000001,A152,O151)</f>
        <v>46036</v>
      </c>
      <c r="P152" s="29" t="n">
        <f aca="false">IF(AND(N152&gt;=-0.0000001,N151&lt;0),1,0)</f>
        <v>0</v>
      </c>
      <c r="Q152" s="30" t="str">
        <f aca="false">IF(P152=1,A152-O151,"")</f>
        <v/>
      </c>
    </row>
    <row r="153" customFormat="false" ht="15" hidden="false" customHeight="false" outlineLevel="0" collapsed="false">
      <c r="A153" s="25" t="n">
        <v>46041</v>
      </c>
      <c r="B153" s="26" t="s">
        <v>79</v>
      </c>
      <c r="C153" s="27" t="n">
        <v>-43342</v>
      </c>
      <c r="D153" s="28" t="n">
        <f aca="false">C153/$T$1*100</f>
        <v>-8.6684</v>
      </c>
      <c r="E153" s="28" t="n">
        <f aca="false">E152+D153</f>
        <v>232.4562</v>
      </c>
      <c r="F153" s="28" t="n">
        <f aca="false">MAX(0,MAX($E$2:E153))</f>
        <v>252.1343</v>
      </c>
      <c r="G153" s="28" t="n">
        <f aca="false">E153-F153</f>
        <v>-19.6781</v>
      </c>
      <c r="H153" s="25" t="n">
        <f aca="false">IF(G153&gt;=-0.0000001,A153,H152)</f>
        <v>46035</v>
      </c>
      <c r="I153" s="29" t="n">
        <f aca="false">IF(AND(G153&gt;=-0.0000001,G152&lt;0),1,0)</f>
        <v>0</v>
      </c>
      <c r="J153" s="30" t="str">
        <f aca="false">IF(I153=1,A153-H152,"")</f>
        <v/>
      </c>
      <c r="K153" s="27" t="n">
        <f aca="false">IF(B153="Wednesday",0,C153)</f>
        <v>-43342</v>
      </c>
      <c r="L153" s="28" t="n">
        <f aca="false">L152+K153/$T$1*100</f>
        <v>264.6109</v>
      </c>
      <c r="M153" s="28" t="n">
        <f aca="false">MAX(0,MAX($L$2:L153))</f>
        <v>277.5498</v>
      </c>
      <c r="N153" s="28" t="n">
        <f aca="false">L153-M153</f>
        <v>-12.9389</v>
      </c>
      <c r="O153" s="25" t="n">
        <f aca="false">IF(N153&gt;=-0.0000001,A153,O152)</f>
        <v>46036</v>
      </c>
      <c r="P153" s="29" t="n">
        <f aca="false">IF(AND(N153&gt;=-0.0000001,N152&lt;0),1,0)</f>
        <v>0</v>
      </c>
      <c r="Q153" s="30" t="str">
        <f aca="false">IF(P153=1,A153-O152,"")</f>
        <v/>
      </c>
    </row>
    <row r="154" customFormat="false" ht="15" hidden="false" customHeight="false" outlineLevel="0" collapsed="false">
      <c r="A154" s="25" t="n">
        <v>46042</v>
      </c>
      <c r="B154" s="26" t="s">
        <v>80</v>
      </c>
      <c r="C154" s="27" t="n">
        <v>201129.5</v>
      </c>
      <c r="D154" s="28" t="n">
        <f aca="false">C154/$T$1*100</f>
        <v>40.2259</v>
      </c>
      <c r="E154" s="28" t="n">
        <f aca="false">E153+D154</f>
        <v>272.6821</v>
      </c>
      <c r="F154" s="28" t="n">
        <f aca="false">MAX(0,MAX($E$2:E154))</f>
        <v>272.6821</v>
      </c>
      <c r="G154" s="28" t="n">
        <f aca="false">E154-F154</f>
        <v>0</v>
      </c>
      <c r="H154" s="25" t="n">
        <f aca="false">IF(G154&gt;=-0.0000001,A154,H153)</f>
        <v>46042</v>
      </c>
      <c r="I154" s="29" t="n">
        <f aca="false">IF(AND(G154&gt;=-0.0000001,G153&lt;0),1,0)</f>
        <v>1</v>
      </c>
      <c r="J154" s="30" t="n">
        <f aca="false">IF(I154=1,A154-H153,"")</f>
        <v>7</v>
      </c>
      <c r="K154" s="27" t="n">
        <f aca="false">IF(B154="Wednesday",0,C154)</f>
        <v>201129.5</v>
      </c>
      <c r="L154" s="28" t="n">
        <f aca="false">L153+K154/$T$1*100</f>
        <v>304.8368</v>
      </c>
      <c r="M154" s="28" t="n">
        <f aca="false">MAX(0,MAX($L$2:L154))</f>
        <v>304.8368</v>
      </c>
      <c r="N154" s="28" t="n">
        <f aca="false">L154-M154</f>
        <v>0</v>
      </c>
      <c r="O154" s="25" t="n">
        <f aca="false">IF(N154&gt;=-0.0000001,A154,O153)</f>
        <v>46042</v>
      </c>
      <c r="P154" s="29" t="n">
        <f aca="false">IF(AND(N154&gt;=-0.0000001,N153&lt;0),1,0)</f>
        <v>1</v>
      </c>
      <c r="Q154" s="30" t="n">
        <f aca="false">IF(P154=1,A154-O153,"")</f>
        <v>6</v>
      </c>
    </row>
    <row r="155" customFormat="false" ht="15" hidden="false" customHeight="false" outlineLevel="0" collapsed="false">
      <c r="A155" s="25" t="n">
        <v>46043</v>
      </c>
      <c r="B155" s="26" t="s">
        <v>81</v>
      </c>
      <c r="C155" s="27" t="n">
        <v>-40634.75</v>
      </c>
      <c r="D155" s="28" t="n">
        <f aca="false">C155/$T$1*100</f>
        <v>-8.12695</v>
      </c>
      <c r="E155" s="28" t="n">
        <f aca="false">E154+D155</f>
        <v>264.55515</v>
      </c>
      <c r="F155" s="28" t="n">
        <f aca="false">MAX(0,MAX($E$2:E155))</f>
        <v>272.6821</v>
      </c>
      <c r="G155" s="28" t="n">
        <f aca="false">E155-F155</f>
        <v>-8.12695000000002</v>
      </c>
      <c r="H155" s="25" t="n">
        <f aca="false">IF(G155&gt;=-0.0000001,A155,H154)</f>
        <v>46042</v>
      </c>
      <c r="I155" s="29" t="n">
        <f aca="false">IF(AND(G155&gt;=-0.0000001,G154&lt;0),1,0)</f>
        <v>0</v>
      </c>
      <c r="J155" s="30" t="str">
        <f aca="false">IF(I155=1,A155-H154,"")</f>
        <v/>
      </c>
      <c r="K155" s="27" t="n">
        <f aca="false">IF(B155="Wednesday",0,C155)</f>
        <v>0</v>
      </c>
      <c r="L155" s="28" t="n">
        <f aca="false">L154+K155/$T$1*100</f>
        <v>304.8368</v>
      </c>
      <c r="M155" s="28" t="n">
        <f aca="false">MAX(0,MAX($L$2:L155))</f>
        <v>304.8368</v>
      </c>
      <c r="N155" s="28" t="n">
        <f aca="false">L155-M155</f>
        <v>0</v>
      </c>
      <c r="O155" s="25" t="n">
        <f aca="false">IF(N155&gt;=-0.0000001,A155,O154)</f>
        <v>46043</v>
      </c>
      <c r="P155" s="29" t="n">
        <f aca="false">IF(AND(N155&gt;=-0.0000001,N154&lt;0),1,0)</f>
        <v>0</v>
      </c>
      <c r="Q155" s="30" t="str">
        <f aca="false">IF(P155=1,A155-O154,"")</f>
        <v/>
      </c>
    </row>
    <row r="156" customFormat="false" ht="15" hidden="false" customHeight="false" outlineLevel="0" collapsed="false">
      <c r="A156" s="25" t="n">
        <v>46044</v>
      </c>
      <c r="B156" s="26" t="s">
        <v>82</v>
      </c>
      <c r="C156" s="27" t="n">
        <v>-5557.5</v>
      </c>
      <c r="D156" s="28" t="n">
        <f aca="false">C156/$T$1*100</f>
        <v>-1.1115</v>
      </c>
      <c r="E156" s="28" t="n">
        <f aca="false">E155+D156</f>
        <v>263.44365</v>
      </c>
      <c r="F156" s="28" t="n">
        <f aca="false">MAX(0,MAX($E$2:E156))</f>
        <v>272.6821</v>
      </c>
      <c r="G156" s="28" t="n">
        <f aca="false">E156-F156</f>
        <v>-9.23845</v>
      </c>
      <c r="H156" s="25" t="n">
        <f aca="false">IF(G156&gt;=-0.0000001,A156,H155)</f>
        <v>46042</v>
      </c>
      <c r="I156" s="29" t="n">
        <f aca="false">IF(AND(G156&gt;=-0.0000001,G155&lt;0),1,0)</f>
        <v>0</v>
      </c>
      <c r="J156" s="30" t="str">
        <f aca="false">IF(I156=1,A156-H155,"")</f>
        <v/>
      </c>
      <c r="K156" s="27" t="n">
        <f aca="false">IF(B156="Wednesday",0,C156)</f>
        <v>-5557.5</v>
      </c>
      <c r="L156" s="28" t="n">
        <f aca="false">L155+K156/$T$1*100</f>
        <v>303.7253</v>
      </c>
      <c r="M156" s="28" t="n">
        <f aca="false">MAX(0,MAX($L$2:L156))</f>
        <v>304.8368</v>
      </c>
      <c r="N156" s="28" t="n">
        <f aca="false">L156-M156</f>
        <v>-1.11149999999998</v>
      </c>
      <c r="O156" s="25" t="n">
        <f aca="false">IF(N156&gt;=-0.0000001,A156,O155)</f>
        <v>46043</v>
      </c>
      <c r="P156" s="29" t="n">
        <f aca="false">IF(AND(N156&gt;=-0.0000001,N155&lt;0),1,0)</f>
        <v>0</v>
      </c>
      <c r="Q156" s="30" t="str">
        <f aca="false">IF(P156=1,A156-O155,"")</f>
        <v/>
      </c>
    </row>
    <row r="157" customFormat="false" ht="15" hidden="false" customHeight="false" outlineLevel="0" collapsed="false">
      <c r="A157" s="25" t="n">
        <v>46045</v>
      </c>
      <c r="B157" s="26" t="s">
        <v>83</v>
      </c>
      <c r="C157" s="27" t="n">
        <v>13581.75</v>
      </c>
      <c r="D157" s="28" t="n">
        <f aca="false">C157/$T$1*100</f>
        <v>2.71635</v>
      </c>
      <c r="E157" s="28" t="n">
        <f aca="false">E156+D157</f>
        <v>266.16</v>
      </c>
      <c r="F157" s="28" t="n">
        <f aca="false">MAX(0,MAX($E$2:E157))</f>
        <v>272.6821</v>
      </c>
      <c r="G157" s="28" t="n">
        <f aca="false">E157-F157</f>
        <v>-6.52210000000002</v>
      </c>
      <c r="H157" s="25" t="n">
        <f aca="false">IF(G157&gt;=-0.0000001,A157,H156)</f>
        <v>46042</v>
      </c>
      <c r="I157" s="29" t="n">
        <f aca="false">IF(AND(G157&gt;=-0.0000001,G156&lt;0),1,0)</f>
        <v>0</v>
      </c>
      <c r="J157" s="30" t="str">
        <f aca="false">IF(I157=1,A157-H156,"")</f>
        <v/>
      </c>
      <c r="K157" s="27" t="n">
        <f aca="false">IF(B157="Wednesday",0,C157)</f>
        <v>13581.75</v>
      </c>
      <c r="L157" s="28" t="n">
        <f aca="false">L156+K157/$T$1*100</f>
        <v>306.44165</v>
      </c>
      <c r="M157" s="28" t="n">
        <f aca="false">MAX(0,MAX($L$2:L157))</f>
        <v>306.44165</v>
      </c>
      <c r="N157" s="28" t="n">
        <f aca="false">L157-M157</f>
        <v>0</v>
      </c>
      <c r="O157" s="25" t="n">
        <f aca="false">IF(N157&gt;=-0.0000001,A157,O156)</f>
        <v>46045</v>
      </c>
      <c r="P157" s="29" t="n">
        <f aca="false">IF(AND(N157&gt;=-0.0000001,N156&lt;0),1,0)</f>
        <v>1</v>
      </c>
      <c r="Q157" s="30" t="n">
        <f aca="false">IF(P157=1,A157-O156,"")</f>
        <v>2</v>
      </c>
    </row>
    <row r="158" customFormat="false" ht="15" hidden="false" customHeight="false" outlineLevel="0" collapsed="false">
      <c r="A158" s="25" t="n">
        <v>46050</v>
      </c>
      <c r="B158" s="26" t="s">
        <v>81</v>
      </c>
      <c r="C158" s="27" t="n">
        <v>-17533.75</v>
      </c>
      <c r="D158" s="28" t="n">
        <f aca="false">C158/$T$1*100</f>
        <v>-3.50675</v>
      </c>
      <c r="E158" s="28" t="n">
        <f aca="false">E157+D158</f>
        <v>262.65325</v>
      </c>
      <c r="F158" s="28" t="n">
        <f aca="false">MAX(0,MAX($E$2:E158))</f>
        <v>272.6821</v>
      </c>
      <c r="G158" s="28" t="n">
        <f aca="false">E158-F158</f>
        <v>-10.02885</v>
      </c>
      <c r="H158" s="25" t="n">
        <f aca="false">IF(G158&gt;=-0.0000001,A158,H157)</f>
        <v>46042</v>
      </c>
      <c r="I158" s="29" t="n">
        <f aca="false">IF(AND(G158&gt;=-0.0000001,G157&lt;0),1,0)</f>
        <v>0</v>
      </c>
      <c r="J158" s="30" t="str">
        <f aca="false">IF(I158=1,A158-H157,"")</f>
        <v/>
      </c>
      <c r="K158" s="27" t="n">
        <f aca="false">IF(B158="Wednesday",0,C158)</f>
        <v>0</v>
      </c>
      <c r="L158" s="28" t="n">
        <f aca="false">L157+K158/$T$1*100</f>
        <v>306.44165</v>
      </c>
      <c r="M158" s="28" t="n">
        <f aca="false">MAX(0,MAX($L$2:L158))</f>
        <v>306.44165</v>
      </c>
      <c r="N158" s="28" t="n">
        <f aca="false">L158-M158</f>
        <v>0</v>
      </c>
      <c r="O158" s="25" t="n">
        <f aca="false">IF(N158&gt;=-0.0000001,A158,O157)</f>
        <v>46050</v>
      </c>
      <c r="P158" s="29" t="n">
        <f aca="false">IF(AND(N158&gt;=-0.0000001,N157&lt;0),1,0)</f>
        <v>0</v>
      </c>
      <c r="Q158" s="30" t="str">
        <f aca="false">IF(P158=1,A158-O157,"")</f>
        <v/>
      </c>
    </row>
    <row r="159" customFormat="false" ht="15" hidden="false" customHeight="false" outlineLevel="0" collapsed="false">
      <c r="A159" s="25" t="n">
        <v>46051</v>
      </c>
      <c r="B159" s="26" t="s">
        <v>82</v>
      </c>
      <c r="C159" s="27" t="n">
        <v>-42019.25</v>
      </c>
      <c r="D159" s="28" t="n">
        <f aca="false">C159/$T$1*100</f>
        <v>-8.40385</v>
      </c>
      <c r="E159" s="28" t="n">
        <f aca="false">E158+D159</f>
        <v>254.2494</v>
      </c>
      <c r="F159" s="28" t="n">
        <f aca="false">MAX(0,MAX($E$2:E159))</f>
        <v>272.6821</v>
      </c>
      <c r="G159" s="28" t="n">
        <f aca="false">E159-F159</f>
        <v>-18.4327</v>
      </c>
      <c r="H159" s="25" t="n">
        <f aca="false">IF(G159&gt;=-0.0000001,A159,H158)</f>
        <v>46042</v>
      </c>
      <c r="I159" s="29" t="n">
        <f aca="false">IF(AND(G159&gt;=-0.0000001,G158&lt;0),1,0)</f>
        <v>0</v>
      </c>
      <c r="J159" s="30" t="str">
        <f aca="false">IF(I159=1,A159-H158,"")</f>
        <v/>
      </c>
      <c r="K159" s="27" t="n">
        <f aca="false">IF(B159="Wednesday",0,C159)</f>
        <v>-42019.25</v>
      </c>
      <c r="L159" s="28" t="n">
        <f aca="false">L158+K159/$T$1*100</f>
        <v>298.0378</v>
      </c>
      <c r="M159" s="28" t="n">
        <f aca="false">MAX(0,MAX($L$2:L159))</f>
        <v>306.44165</v>
      </c>
      <c r="N159" s="28" t="n">
        <f aca="false">L159-M159</f>
        <v>-8.40384999999998</v>
      </c>
      <c r="O159" s="25" t="n">
        <f aca="false">IF(N159&gt;=-0.0000001,A159,O158)</f>
        <v>46050</v>
      </c>
      <c r="P159" s="29" t="n">
        <f aca="false">IF(AND(N159&gt;=-0.0000001,N158&lt;0),1,0)</f>
        <v>0</v>
      </c>
      <c r="Q159" s="30" t="str">
        <f aca="false">IF(P159=1,A159-O158,"")</f>
        <v/>
      </c>
    </row>
    <row r="160" customFormat="false" ht="15" hidden="false" customHeight="false" outlineLevel="0" collapsed="false">
      <c r="A160" s="25" t="n">
        <v>46052</v>
      </c>
      <c r="B160" s="26" t="s">
        <v>83</v>
      </c>
      <c r="C160" s="27" t="n">
        <v>-1911</v>
      </c>
      <c r="D160" s="28" t="n">
        <f aca="false">C160/$T$1*100</f>
        <v>-0.3822</v>
      </c>
      <c r="E160" s="28" t="n">
        <f aca="false">E159+D160</f>
        <v>253.8672</v>
      </c>
      <c r="F160" s="28" t="n">
        <f aca="false">MAX(0,MAX($E$2:E160))</f>
        <v>272.6821</v>
      </c>
      <c r="G160" s="28" t="n">
        <f aca="false">E160-F160</f>
        <v>-18.8149000000001</v>
      </c>
      <c r="H160" s="25" t="n">
        <f aca="false">IF(G160&gt;=-0.0000001,A160,H159)</f>
        <v>46042</v>
      </c>
      <c r="I160" s="29" t="n">
        <f aca="false">IF(AND(G160&gt;=-0.0000001,G159&lt;0),1,0)</f>
        <v>0</v>
      </c>
      <c r="J160" s="30" t="str">
        <f aca="false">IF(I160=1,A160-H159,"")</f>
        <v/>
      </c>
      <c r="K160" s="27" t="n">
        <f aca="false">IF(B160="Wednesday",0,C160)</f>
        <v>-1911</v>
      </c>
      <c r="L160" s="28" t="n">
        <f aca="false">L159+K160/$T$1*100</f>
        <v>297.6556</v>
      </c>
      <c r="M160" s="28" t="n">
        <f aca="false">MAX(0,MAX($L$2:L160))</f>
        <v>306.44165</v>
      </c>
      <c r="N160" s="28" t="n">
        <f aca="false">L160-M160</f>
        <v>-8.78604999999999</v>
      </c>
      <c r="O160" s="25" t="n">
        <f aca="false">IF(N160&gt;=-0.0000001,A160,O159)</f>
        <v>46050</v>
      </c>
      <c r="P160" s="29" t="n">
        <f aca="false">IF(AND(N160&gt;=-0.0000001,N159&lt;0),1,0)</f>
        <v>0</v>
      </c>
      <c r="Q160" s="30" t="str">
        <f aca="false">IF(P160=1,A160-O159,"")</f>
        <v/>
      </c>
    </row>
    <row r="161" customFormat="false" ht="15" hidden="false" customHeight="false" outlineLevel="0" collapsed="false">
      <c r="A161" s="25" t="n">
        <v>46055</v>
      </c>
      <c r="B161" s="26" t="s">
        <v>79</v>
      </c>
      <c r="C161" s="27" t="n">
        <v>112050.25</v>
      </c>
      <c r="D161" s="28" t="n">
        <f aca="false">C161/$T$1*100</f>
        <v>22.41005</v>
      </c>
      <c r="E161" s="28" t="n">
        <f aca="false">E160+D161</f>
        <v>276.27725</v>
      </c>
      <c r="F161" s="28" t="n">
        <f aca="false">MAX(0,MAX($E$2:E161))</f>
        <v>276.27725</v>
      </c>
      <c r="G161" s="28" t="n">
        <f aca="false">E161-F161</f>
        <v>0</v>
      </c>
      <c r="H161" s="25" t="n">
        <f aca="false">IF(G161&gt;=-0.0000001,A161,H160)</f>
        <v>46055</v>
      </c>
      <c r="I161" s="29" t="n">
        <f aca="false">IF(AND(G161&gt;=-0.0000001,G160&lt;0),1,0)</f>
        <v>1</v>
      </c>
      <c r="J161" s="30" t="n">
        <f aca="false">IF(I161=1,A161-H160,"")</f>
        <v>13</v>
      </c>
      <c r="K161" s="27" t="n">
        <f aca="false">IF(B161="Wednesday",0,C161)</f>
        <v>112050.25</v>
      </c>
      <c r="L161" s="28" t="n">
        <f aca="false">L160+K161/$T$1*100</f>
        <v>320.06565</v>
      </c>
      <c r="M161" s="28" t="n">
        <f aca="false">MAX(0,MAX($L$2:L161))</f>
        <v>320.06565</v>
      </c>
      <c r="N161" s="28" t="n">
        <f aca="false">L161-M161</f>
        <v>0</v>
      </c>
      <c r="O161" s="25" t="n">
        <f aca="false">IF(N161&gt;=-0.0000001,A161,O160)</f>
        <v>46055</v>
      </c>
      <c r="P161" s="29" t="n">
        <f aca="false">IF(AND(N161&gt;=-0.0000001,N160&lt;0),1,0)</f>
        <v>1</v>
      </c>
      <c r="Q161" s="30" t="n">
        <f aca="false">IF(P161=1,A161-O160,"")</f>
        <v>5</v>
      </c>
    </row>
    <row r="162" customFormat="false" ht="15" hidden="false" customHeight="false" outlineLevel="0" collapsed="false">
      <c r="A162" s="25" t="n">
        <v>46056</v>
      </c>
      <c r="B162" s="26" t="s">
        <v>80</v>
      </c>
      <c r="C162" s="27" t="n">
        <v>-31005</v>
      </c>
      <c r="D162" s="28" t="n">
        <f aca="false">C162/$T$1*100</f>
        <v>-6.201</v>
      </c>
      <c r="E162" s="28" t="n">
        <f aca="false">E161+D162</f>
        <v>270.07625</v>
      </c>
      <c r="F162" s="28" t="n">
        <f aca="false">MAX(0,MAX($E$2:E162))</f>
        <v>276.27725</v>
      </c>
      <c r="G162" s="28" t="n">
        <f aca="false">E162-F162</f>
        <v>-6.20100000000002</v>
      </c>
      <c r="H162" s="25" t="n">
        <f aca="false">IF(G162&gt;=-0.0000001,A162,H161)</f>
        <v>46055</v>
      </c>
      <c r="I162" s="29" t="n">
        <f aca="false">IF(AND(G162&gt;=-0.0000001,G161&lt;0),1,0)</f>
        <v>0</v>
      </c>
      <c r="J162" s="30" t="str">
        <f aca="false">IF(I162=1,A162-H161,"")</f>
        <v/>
      </c>
      <c r="K162" s="27" t="n">
        <f aca="false">IF(B162="Wednesday",0,C162)</f>
        <v>-31005</v>
      </c>
      <c r="L162" s="28" t="n">
        <f aca="false">L161+K162/$T$1*100</f>
        <v>313.86465</v>
      </c>
      <c r="M162" s="28" t="n">
        <f aca="false">MAX(0,MAX($L$2:L162))</f>
        <v>320.06565</v>
      </c>
      <c r="N162" s="28" t="n">
        <f aca="false">L162-M162</f>
        <v>-6.20100000000002</v>
      </c>
      <c r="O162" s="25" t="n">
        <f aca="false">IF(N162&gt;=-0.0000001,A162,O161)</f>
        <v>46055</v>
      </c>
      <c r="P162" s="29" t="n">
        <f aca="false">IF(AND(N162&gt;=-0.0000001,N161&lt;0),1,0)</f>
        <v>0</v>
      </c>
      <c r="Q162" s="30" t="str">
        <f aca="false">IF(P162=1,A162-O161,"")</f>
        <v/>
      </c>
    </row>
    <row r="163" customFormat="false" ht="15" hidden="false" customHeight="false" outlineLevel="0" collapsed="false">
      <c r="A163" s="25" t="n">
        <v>46057</v>
      </c>
      <c r="B163" s="26" t="s">
        <v>81</v>
      </c>
      <c r="C163" s="27" t="n">
        <v>-17316</v>
      </c>
      <c r="D163" s="28" t="n">
        <f aca="false">C163/$T$1*100</f>
        <v>-3.4632</v>
      </c>
      <c r="E163" s="28" t="n">
        <f aca="false">E162+D163</f>
        <v>266.61305</v>
      </c>
      <c r="F163" s="28" t="n">
        <f aca="false">MAX(0,MAX($E$2:E163))</f>
        <v>276.27725</v>
      </c>
      <c r="G163" s="28" t="n">
        <f aca="false">E163-F163</f>
        <v>-9.66420000000005</v>
      </c>
      <c r="H163" s="25" t="n">
        <f aca="false">IF(G163&gt;=-0.0000001,A163,H162)</f>
        <v>46055</v>
      </c>
      <c r="I163" s="29" t="n">
        <f aca="false">IF(AND(G163&gt;=-0.0000001,G162&lt;0),1,0)</f>
        <v>0</v>
      </c>
      <c r="J163" s="30" t="str">
        <f aca="false">IF(I163=1,A163-H162,"")</f>
        <v/>
      </c>
      <c r="K163" s="27" t="n">
        <f aca="false">IF(B163="Wednesday",0,C163)</f>
        <v>0</v>
      </c>
      <c r="L163" s="28" t="n">
        <f aca="false">L162+K163/$T$1*100</f>
        <v>313.86465</v>
      </c>
      <c r="M163" s="28" t="n">
        <f aca="false">MAX(0,MAX($L$2:L163))</f>
        <v>320.06565</v>
      </c>
      <c r="N163" s="28" t="n">
        <f aca="false">L163-M163</f>
        <v>-6.20100000000002</v>
      </c>
      <c r="O163" s="25" t="n">
        <f aca="false">IF(N163&gt;=-0.0000001,A163,O162)</f>
        <v>46055</v>
      </c>
      <c r="P163" s="29" t="n">
        <f aca="false">IF(AND(N163&gt;=-0.0000001,N162&lt;0),1,0)</f>
        <v>0</v>
      </c>
      <c r="Q163" s="30" t="str">
        <f aca="false">IF(P163=1,A163-O162,"")</f>
        <v/>
      </c>
    </row>
    <row r="164" customFormat="false" ht="15" hidden="false" customHeight="false" outlineLevel="0" collapsed="false">
      <c r="A164" s="25" t="n">
        <v>46058</v>
      </c>
      <c r="B164" s="26" t="s">
        <v>82</v>
      </c>
      <c r="C164" s="27" t="n">
        <v>-4459</v>
      </c>
      <c r="D164" s="28" t="n">
        <f aca="false">C164/$T$1*100</f>
        <v>-0.8918</v>
      </c>
      <c r="E164" s="28" t="n">
        <f aca="false">E163+D164</f>
        <v>265.72125</v>
      </c>
      <c r="F164" s="28" t="n">
        <f aca="false">MAX(0,MAX($E$2:E164))</f>
        <v>276.27725</v>
      </c>
      <c r="G164" s="28" t="n">
        <f aca="false">E164-F164</f>
        <v>-10.556</v>
      </c>
      <c r="H164" s="25" t="n">
        <f aca="false">IF(G164&gt;=-0.0000001,A164,H163)</f>
        <v>46055</v>
      </c>
      <c r="I164" s="29" t="n">
        <f aca="false">IF(AND(G164&gt;=-0.0000001,G163&lt;0),1,0)</f>
        <v>0</v>
      </c>
      <c r="J164" s="30" t="str">
        <f aca="false">IF(I164=1,A164-H163,"")</f>
        <v/>
      </c>
      <c r="K164" s="27" t="n">
        <f aca="false">IF(B164="Wednesday",0,C164)</f>
        <v>-4459</v>
      </c>
      <c r="L164" s="28" t="n">
        <f aca="false">L163+K164/$T$1*100</f>
        <v>312.97285</v>
      </c>
      <c r="M164" s="28" t="n">
        <f aca="false">MAX(0,MAX($L$2:L164))</f>
        <v>320.06565</v>
      </c>
      <c r="N164" s="28" t="n">
        <f aca="false">L164-M164</f>
        <v>-7.09280000000001</v>
      </c>
      <c r="O164" s="25" t="n">
        <f aca="false">IF(N164&gt;=-0.0000001,A164,O163)</f>
        <v>46055</v>
      </c>
      <c r="P164" s="29" t="n">
        <f aca="false">IF(AND(N164&gt;=-0.0000001,N163&lt;0),1,0)</f>
        <v>0</v>
      </c>
      <c r="Q164" s="30" t="str">
        <f aca="false">IF(P164=1,A164-O163,"")</f>
        <v/>
      </c>
    </row>
    <row r="165" customFormat="false" ht="15" hidden="false" customHeight="false" outlineLevel="0" collapsed="false">
      <c r="A165" s="25" t="n">
        <v>46059</v>
      </c>
      <c r="B165" s="26" t="s">
        <v>83</v>
      </c>
      <c r="C165" s="27" t="n">
        <v>48912.5</v>
      </c>
      <c r="D165" s="28" t="n">
        <f aca="false">C165/$T$1*100</f>
        <v>9.7825</v>
      </c>
      <c r="E165" s="28" t="n">
        <f aca="false">E164+D165</f>
        <v>275.50375</v>
      </c>
      <c r="F165" s="28" t="n">
        <f aca="false">MAX(0,MAX($E$2:E165))</f>
        <v>276.27725</v>
      </c>
      <c r="G165" s="28" t="n">
        <f aca="false">E165-F165</f>
        <v>-0.773500000000013</v>
      </c>
      <c r="H165" s="25" t="n">
        <f aca="false">IF(G165&gt;=-0.0000001,A165,H164)</f>
        <v>46055</v>
      </c>
      <c r="I165" s="29" t="n">
        <f aca="false">IF(AND(G165&gt;=-0.0000001,G164&lt;0),1,0)</f>
        <v>0</v>
      </c>
      <c r="J165" s="30" t="str">
        <f aca="false">IF(I165=1,A165-H164,"")</f>
        <v/>
      </c>
      <c r="K165" s="27" t="n">
        <f aca="false">IF(B165="Wednesday",0,C165)</f>
        <v>48912.5</v>
      </c>
      <c r="L165" s="28" t="n">
        <f aca="false">L164+K165/$T$1*100</f>
        <v>322.75535</v>
      </c>
      <c r="M165" s="28" t="n">
        <f aca="false">MAX(0,MAX($L$2:L165))</f>
        <v>322.75535</v>
      </c>
      <c r="N165" s="28" t="n">
        <f aca="false">L165-M165</f>
        <v>0</v>
      </c>
      <c r="O165" s="25" t="n">
        <f aca="false">IF(N165&gt;=-0.0000001,A165,O164)</f>
        <v>46059</v>
      </c>
      <c r="P165" s="29" t="n">
        <f aca="false">IF(AND(N165&gt;=-0.0000001,N164&lt;0),1,0)</f>
        <v>1</v>
      </c>
      <c r="Q165" s="30" t="n">
        <f aca="false">IF(P165=1,A165-O164,"")</f>
        <v>4</v>
      </c>
    </row>
    <row r="166" customFormat="false" ht="15" hidden="false" customHeight="false" outlineLevel="0" collapsed="false">
      <c r="A166" s="25" t="n">
        <v>46063</v>
      </c>
      <c r="B166" s="26" t="s">
        <v>80</v>
      </c>
      <c r="C166" s="27" t="n">
        <v>-32116.5</v>
      </c>
      <c r="D166" s="28" t="n">
        <f aca="false">C166/$T$1*100</f>
        <v>-6.4233</v>
      </c>
      <c r="E166" s="28" t="n">
        <f aca="false">E165+D166</f>
        <v>269.08045</v>
      </c>
      <c r="F166" s="28" t="n">
        <f aca="false">MAX(0,MAX($E$2:E166))</f>
        <v>276.27725</v>
      </c>
      <c r="G166" s="28" t="n">
        <f aca="false">E166-F166</f>
        <v>-7.1968</v>
      </c>
      <c r="H166" s="25" t="n">
        <f aca="false">IF(G166&gt;=-0.0000001,A166,H165)</f>
        <v>46055</v>
      </c>
      <c r="I166" s="29" t="n">
        <f aca="false">IF(AND(G166&gt;=-0.0000001,G165&lt;0),1,0)</f>
        <v>0</v>
      </c>
      <c r="J166" s="30" t="str">
        <f aca="false">IF(I166=1,A166-H165,"")</f>
        <v/>
      </c>
      <c r="K166" s="27" t="n">
        <f aca="false">IF(B166="Wednesday",0,C166)</f>
        <v>-32116.5</v>
      </c>
      <c r="L166" s="28" t="n">
        <f aca="false">L165+K166/$T$1*100</f>
        <v>316.33205</v>
      </c>
      <c r="M166" s="28" t="n">
        <f aca="false">MAX(0,MAX($L$2:L166))</f>
        <v>322.75535</v>
      </c>
      <c r="N166" s="28" t="n">
        <f aca="false">L166-M166</f>
        <v>-6.42329999999998</v>
      </c>
      <c r="O166" s="25" t="n">
        <f aca="false">IF(N166&gt;=-0.0000001,A166,O165)</f>
        <v>46059</v>
      </c>
      <c r="P166" s="29" t="n">
        <f aca="false">IF(AND(N166&gt;=-0.0000001,N165&lt;0),1,0)</f>
        <v>0</v>
      </c>
      <c r="Q166" s="30" t="str">
        <f aca="false">IF(P166=1,A166-O165,"")</f>
        <v/>
      </c>
    </row>
    <row r="167" customFormat="false" ht="15" hidden="false" customHeight="false" outlineLevel="0" collapsed="false">
      <c r="A167" s="25" t="n">
        <v>46064</v>
      </c>
      <c r="B167" s="26" t="s">
        <v>81</v>
      </c>
      <c r="C167" s="27" t="n">
        <v>2538.25</v>
      </c>
      <c r="D167" s="28" t="n">
        <f aca="false">C167/$T$1*100</f>
        <v>0.50765</v>
      </c>
      <c r="E167" s="28" t="n">
        <f aca="false">E166+D167</f>
        <v>269.5881</v>
      </c>
      <c r="F167" s="28" t="n">
        <f aca="false">MAX(0,MAX($E$2:E167))</f>
        <v>276.27725</v>
      </c>
      <c r="G167" s="28" t="n">
        <f aca="false">E167-F167</f>
        <v>-6.68914999999998</v>
      </c>
      <c r="H167" s="25" t="n">
        <f aca="false">IF(G167&gt;=-0.0000001,A167,H166)</f>
        <v>46055</v>
      </c>
      <c r="I167" s="29" t="n">
        <f aca="false">IF(AND(G167&gt;=-0.0000001,G166&lt;0),1,0)</f>
        <v>0</v>
      </c>
      <c r="J167" s="30" t="str">
        <f aca="false">IF(I167=1,A167-H166,"")</f>
        <v/>
      </c>
      <c r="K167" s="27" t="n">
        <f aca="false">IF(B167="Wednesday",0,C167)</f>
        <v>0</v>
      </c>
      <c r="L167" s="28" t="n">
        <f aca="false">L166+K167/$T$1*100</f>
        <v>316.33205</v>
      </c>
      <c r="M167" s="28" t="n">
        <f aca="false">MAX(0,MAX($L$2:L167))</f>
        <v>322.75535</v>
      </c>
      <c r="N167" s="28" t="n">
        <f aca="false">L167-M167</f>
        <v>-6.42329999999998</v>
      </c>
      <c r="O167" s="25" t="n">
        <f aca="false">IF(N167&gt;=-0.0000001,A167,O166)</f>
        <v>46059</v>
      </c>
      <c r="P167" s="29" t="n">
        <f aca="false">IF(AND(N167&gt;=-0.0000001,N166&lt;0),1,0)</f>
        <v>0</v>
      </c>
      <c r="Q167" s="30" t="str">
        <f aca="false">IF(P167=1,A167-O166,"")</f>
        <v/>
      </c>
    </row>
    <row r="168" customFormat="false" ht="15" hidden="false" customHeight="false" outlineLevel="0" collapsed="false">
      <c r="A168" s="25" t="n">
        <v>46065</v>
      </c>
      <c r="B168" s="26" t="s">
        <v>82</v>
      </c>
      <c r="C168" s="27" t="n">
        <v>-12837.5</v>
      </c>
      <c r="D168" s="28" t="n">
        <f aca="false">C168/$T$1*100</f>
        <v>-2.5675</v>
      </c>
      <c r="E168" s="28" t="n">
        <f aca="false">E167+D168</f>
        <v>267.0206</v>
      </c>
      <c r="F168" s="28" t="n">
        <f aca="false">MAX(0,MAX($E$2:E168))</f>
        <v>276.27725</v>
      </c>
      <c r="G168" s="28" t="n">
        <f aca="false">E168-F168</f>
        <v>-9.25664999999998</v>
      </c>
      <c r="H168" s="25" t="n">
        <f aca="false">IF(G168&gt;=-0.0000001,A168,H167)</f>
        <v>46055</v>
      </c>
      <c r="I168" s="29" t="n">
        <f aca="false">IF(AND(G168&gt;=-0.0000001,G167&lt;0),1,0)</f>
        <v>0</v>
      </c>
      <c r="J168" s="30" t="str">
        <f aca="false">IF(I168=1,A168-H167,"")</f>
        <v/>
      </c>
      <c r="K168" s="27" t="n">
        <f aca="false">IF(B168="Wednesday",0,C168)</f>
        <v>-12837.5</v>
      </c>
      <c r="L168" s="28" t="n">
        <f aca="false">L167+K168/$T$1*100</f>
        <v>313.76455</v>
      </c>
      <c r="M168" s="28" t="n">
        <f aca="false">MAX(0,MAX($L$2:L168))</f>
        <v>322.75535</v>
      </c>
      <c r="N168" s="28" t="n">
        <f aca="false">L168-M168</f>
        <v>-8.99079999999998</v>
      </c>
      <c r="O168" s="25" t="n">
        <f aca="false">IF(N168&gt;=-0.0000001,A168,O167)</f>
        <v>46059</v>
      </c>
      <c r="P168" s="29" t="n">
        <f aca="false">IF(AND(N168&gt;=-0.0000001,N167&lt;0),1,0)</f>
        <v>0</v>
      </c>
      <c r="Q168" s="30" t="str">
        <f aca="false">IF(P168=1,A168-O167,"")</f>
        <v/>
      </c>
    </row>
    <row r="169" customFormat="false" ht="15" hidden="false" customHeight="false" outlineLevel="0" collapsed="false">
      <c r="A169" s="25" t="n">
        <v>46066</v>
      </c>
      <c r="B169" s="26" t="s">
        <v>83</v>
      </c>
      <c r="C169" s="27" t="n">
        <v>32782.75</v>
      </c>
      <c r="D169" s="28" t="n">
        <f aca="false">C169/$T$1*100</f>
        <v>6.55655</v>
      </c>
      <c r="E169" s="28" t="n">
        <f aca="false">E168+D169</f>
        <v>273.57715</v>
      </c>
      <c r="F169" s="28" t="n">
        <f aca="false">MAX(0,MAX($E$2:E169))</f>
        <v>276.27725</v>
      </c>
      <c r="G169" s="28" t="n">
        <f aca="false">E169-F169</f>
        <v>-2.70009999999996</v>
      </c>
      <c r="H169" s="25" t="n">
        <f aca="false">IF(G169&gt;=-0.0000001,A169,H168)</f>
        <v>46055</v>
      </c>
      <c r="I169" s="29" t="n">
        <f aca="false">IF(AND(G169&gt;=-0.0000001,G168&lt;0),1,0)</f>
        <v>0</v>
      </c>
      <c r="J169" s="30" t="str">
        <f aca="false">IF(I169=1,A169-H168,"")</f>
        <v/>
      </c>
      <c r="K169" s="27" t="n">
        <f aca="false">IF(B169="Wednesday",0,C169)</f>
        <v>32782.75</v>
      </c>
      <c r="L169" s="28" t="n">
        <f aca="false">L168+K169/$T$1*100</f>
        <v>320.3211</v>
      </c>
      <c r="M169" s="28" t="n">
        <f aca="false">MAX(0,MAX($L$2:L169))</f>
        <v>322.75535</v>
      </c>
      <c r="N169" s="28" t="n">
        <f aca="false">L169-M169</f>
        <v>-2.43424999999996</v>
      </c>
      <c r="O169" s="25" t="n">
        <f aca="false">IF(N169&gt;=-0.0000001,A169,O168)</f>
        <v>46059</v>
      </c>
      <c r="P169" s="29" t="n">
        <f aca="false">IF(AND(N169&gt;=-0.0000001,N168&lt;0),1,0)</f>
        <v>0</v>
      </c>
      <c r="Q169" s="30" t="str">
        <f aca="false">IF(P169=1,A169-O168,"")</f>
        <v/>
      </c>
    </row>
    <row r="170" customFormat="false" ht="15" hidden="false" customHeight="false" outlineLevel="0" collapsed="false">
      <c r="A170" s="25" t="n">
        <v>46069</v>
      </c>
      <c r="B170" s="26" t="s">
        <v>79</v>
      </c>
      <c r="C170" s="27" t="n">
        <v>72205.25</v>
      </c>
      <c r="D170" s="28" t="n">
        <f aca="false">C170/$T$1*100</f>
        <v>14.44105</v>
      </c>
      <c r="E170" s="28" t="n">
        <f aca="false">E169+D170</f>
        <v>288.0182</v>
      </c>
      <c r="F170" s="28" t="n">
        <f aca="false">MAX(0,MAX($E$2:E170))</f>
        <v>288.0182</v>
      </c>
      <c r="G170" s="28" t="n">
        <f aca="false">E170-F170</f>
        <v>0</v>
      </c>
      <c r="H170" s="25" t="n">
        <f aca="false">IF(G170&gt;=-0.0000001,A170,H169)</f>
        <v>46069</v>
      </c>
      <c r="I170" s="29" t="n">
        <f aca="false">IF(AND(G170&gt;=-0.0000001,G169&lt;0),1,0)</f>
        <v>1</v>
      </c>
      <c r="J170" s="30" t="n">
        <f aca="false">IF(I170=1,A170-H169,"")</f>
        <v>14</v>
      </c>
      <c r="K170" s="27" t="n">
        <f aca="false">IF(B170="Wednesday",0,C170)</f>
        <v>72205.25</v>
      </c>
      <c r="L170" s="28" t="n">
        <f aca="false">L169+K170/$T$1*100</f>
        <v>334.76215</v>
      </c>
      <c r="M170" s="28" t="n">
        <f aca="false">MAX(0,MAX($L$2:L170))</f>
        <v>334.76215</v>
      </c>
      <c r="N170" s="28" t="n">
        <f aca="false">L170-M170</f>
        <v>0</v>
      </c>
      <c r="O170" s="25" t="n">
        <f aca="false">IF(N170&gt;=-0.0000001,A170,O169)</f>
        <v>46069</v>
      </c>
      <c r="P170" s="29" t="n">
        <f aca="false">IF(AND(N170&gt;=-0.0000001,N169&lt;0),1,0)</f>
        <v>1</v>
      </c>
      <c r="Q170" s="30" t="n">
        <f aca="false">IF(P170=1,A170-O169,"")</f>
        <v>10</v>
      </c>
    </row>
    <row r="171" customFormat="false" ht="15" hidden="false" customHeight="false" outlineLevel="0" collapsed="false">
      <c r="A171" s="25" t="n">
        <v>46070</v>
      </c>
      <c r="B171" s="26" t="s">
        <v>80</v>
      </c>
      <c r="C171" s="27" t="n">
        <v>-29120</v>
      </c>
      <c r="D171" s="28" t="n">
        <f aca="false">C171/$T$1*100</f>
        <v>-5.824</v>
      </c>
      <c r="E171" s="28" t="n">
        <f aca="false">E170+D171</f>
        <v>282.1942</v>
      </c>
      <c r="F171" s="28" t="n">
        <f aca="false">MAX(0,MAX($E$2:E171))</f>
        <v>288.0182</v>
      </c>
      <c r="G171" s="28" t="n">
        <f aca="false">E171-F171</f>
        <v>-5.82400000000001</v>
      </c>
      <c r="H171" s="25" t="n">
        <f aca="false">IF(G171&gt;=-0.0000001,A171,H170)</f>
        <v>46069</v>
      </c>
      <c r="I171" s="29" t="n">
        <f aca="false">IF(AND(G171&gt;=-0.0000001,G170&lt;0),1,0)</f>
        <v>0</v>
      </c>
      <c r="J171" s="30" t="str">
        <f aca="false">IF(I171=1,A171-H170,"")</f>
        <v/>
      </c>
      <c r="K171" s="27" t="n">
        <f aca="false">IF(B171="Wednesday",0,C171)</f>
        <v>-29120</v>
      </c>
      <c r="L171" s="28" t="n">
        <f aca="false">L170+K171/$T$1*100</f>
        <v>328.93815</v>
      </c>
      <c r="M171" s="28" t="n">
        <f aca="false">MAX(0,MAX($L$2:L171))</f>
        <v>334.76215</v>
      </c>
      <c r="N171" s="28" t="n">
        <f aca="false">L171-M171</f>
        <v>-5.82400000000001</v>
      </c>
      <c r="O171" s="25" t="n">
        <f aca="false">IF(N171&gt;=-0.0000001,A171,O170)</f>
        <v>46069</v>
      </c>
      <c r="P171" s="29" t="n">
        <f aca="false">IF(AND(N171&gt;=-0.0000001,N170&lt;0),1,0)</f>
        <v>0</v>
      </c>
      <c r="Q171" s="30" t="str">
        <f aca="false">IF(P171=1,A171-O170,"")</f>
        <v/>
      </c>
    </row>
    <row r="172" customFormat="false" ht="15" hidden="false" customHeight="false" outlineLevel="0" collapsed="false">
      <c r="A172" s="25" t="n">
        <v>46071</v>
      </c>
      <c r="B172" s="26" t="s">
        <v>81</v>
      </c>
      <c r="C172" s="27" t="n">
        <v>43975.75</v>
      </c>
      <c r="D172" s="28" t="n">
        <f aca="false">C172/$T$1*100</f>
        <v>8.79515</v>
      </c>
      <c r="E172" s="28" t="n">
        <f aca="false">E171+D172</f>
        <v>290.98935</v>
      </c>
      <c r="F172" s="28" t="n">
        <f aca="false">MAX(0,MAX($E$2:E172))</f>
        <v>290.98935</v>
      </c>
      <c r="G172" s="28" t="n">
        <f aca="false">E172-F172</f>
        <v>0</v>
      </c>
      <c r="H172" s="25" t="n">
        <f aca="false">IF(G172&gt;=-0.0000001,A172,H171)</f>
        <v>46071</v>
      </c>
      <c r="I172" s="29" t="n">
        <f aca="false">IF(AND(G172&gt;=-0.0000001,G171&lt;0),1,0)</f>
        <v>1</v>
      </c>
      <c r="J172" s="30" t="n">
        <f aca="false">IF(I172=1,A172-H171,"")</f>
        <v>2</v>
      </c>
      <c r="K172" s="27" t="n">
        <f aca="false">IF(B172="Wednesday",0,C172)</f>
        <v>0</v>
      </c>
      <c r="L172" s="28" t="n">
        <f aca="false">L171+K172/$T$1*100</f>
        <v>328.93815</v>
      </c>
      <c r="M172" s="28" t="n">
        <f aca="false">MAX(0,MAX($L$2:L172))</f>
        <v>334.76215</v>
      </c>
      <c r="N172" s="28" t="n">
        <f aca="false">L172-M172</f>
        <v>-5.82400000000001</v>
      </c>
      <c r="O172" s="25" t="n">
        <f aca="false">IF(N172&gt;=-0.0000001,A172,O171)</f>
        <v>46069</v>
      </c>
      <c r="P172" s="29" t="n">
        <f aca="false">IF(AND(N172&gt;=-0.0000001,N171&lt;0),1,0)</f>
        <v>0</v>
      </c>
      <c r="Q172" s="30" t="str">
        <f aca="false">IF(P172=1,A172-O171,"")</f>
        <v/>
      </c>
    </row>
    <row r="173" customFormat="false" ht="15" hidden="false" customHeight="false" outlineLevel="0" collapsed="false">
      <c r="A173" s="25" t="n">
        <v>46072</v>
      </c>
      <c r="B173" s="26" t="s">
        <v>82</v>
      </c>
      <c r="C173" s="27" t="n">
        <v>83330</v>
      </c>
      <c r="D173" s="28" t="n">
        <f aca="false">C173/$T$1*100</f>
        <v>16.666</v>
      </c>
      <c r="E173" s="28" t="n">
        <f aca="false">E172+D173</f>
        <v>307.65535</v>
      </c>
      <c r="F173" s="28" t="n">
        <f aca="false">MAX(0,MAX($E$2:E173))</f>
        <v>307.65535</v>
      </c>
      <c r="G173" s="28" t="n">
        <f aca="false">E173-F173</f>
        <v>0</v>
      </c>
      <c r="H173" s="25" t="n">
        <f aca="false">IF(G173&gt;=-0.0000001,A173,H172)</f>
        <v>46072</v>
      </c>
      <c r="I173" s="29" t="n">
        <f aca="false">IF(AND(G173&gt;=-0.0000001,G172&lt;0),1,0)</f>
        <v>0</v>
      </c>
      <c r="J173" s="30" t="str">
        <f aca="false">IF(I173=1,A173-H172,"")</f>
        <v/>
      </c>
      <c r="K173" s="27" t="n">
        <f aca="false">IF(B173="Wednesday",0,C173)</f>
        <v>83330</v>
      </c>
      <c r="L173" s="28" t="n">
        <f aca="false">L172+K173/$T$1*100</f>
        <v>345.60415</v>
      </c>
      <c r="M173" s="28" t="n">
        <f aca="false">MAX(0,MAX($L$2:L173))</f>
        <v>345.60415</v>
      </c>
      <c r="N173" s="28" t="n">
        <f aca="false">L173-M173</f>
        <v>0</v>
      </c>
      <c r="O173" s="25" t="n">
        <f aca="false">IF(N173&gt;=-0.0000001,A173,O172)</f>
        <v>46072</v>
      </c>
      <c r="P173" s="29" t="n">
        <f aca="false">IF(AND(N173&gt;=-0.0000001,N172&lt;0),1,0)</f>
        <v>1</v>
      </c>
      <c r="Q173" s="30" t="n">
        <f aca="false">IF(P173=1,A173-O172,"")</f>
        <v>3</v>
      </c>
    </row>
    <row r="174" customFormat="false" ht="15" hidden="false" customHeight="false" outlineLevel="0" collapsed="false">
      <c r="A174" s="25" t="n">
        <v>46073</v>
      </c>
      <c r="B174" s="26" t="s">
        <v>83</v>
      </c>
      <c r="C174" s="27" t="n">
        <v>12064</v>
      </c>
      <c r="D174" s="28" t="n">
        <f aca="false">C174/$T$1*100</f>
        <v>2.4128</v>
      </c>
      <c r="E174" s="28" t="n">
        <f aca="false">E173+D174</f>
        <v>310.06815</v>
      </c>
      <c r="F174" s="28" t="n">
        <f aca="false">MAX(0,MAX($E$2:E174))</f>
        <v>310.06815</v>
      </c>
      <c r="G174" s="28" t="n">
        <f aca="false">E174-F174</f>
        <v>0</v>
      </c>
      <c r="H174" s="25" t="n">
        <f aca="false">IF(G174&gt;=-0.0000001,A174,H173)</f>
        <v>46073</v>
      </c>
      <c r="I174" s="29" t="n">
        <f aca="false">IF(AND(G174&gt;=-0.0000001,G173&lt;0),1,0)</f>
        <v>0</v>
      </c>
      <c r="J174" s="30" t="str">
        <f aca="false">IF(I174=1,A174-H173,"")</f>
        <v/>
      </c>
      <c r="K174" s="27" t="n">
        <f aca="false">IF(B174="Wednesday",0,C174)</f>
        <v>12064</v>
      </c>
      <c r="L174" s="28" t="n">
        <f aca="false">L173+K174/$T$1*100</f>
        <v>348.01695</v>
      </c>
      <c r="M174" s="28" t="n">
        <f aca="false">MAX(0,MAX($L$2:L174))</f>
        <v>348.01695</v>
      </c>
      <c r="N174" s="28" t="n">
        <f aca="false">L174-M174</f>
        <v>0</v>
      </c>
      <c r="O174" s="25" t="n">
        <f aca="false">IF(N174&gt;=-0.0000001,A174,O173)</f>
        <v>46073</v>
      </c>
      <c r="P174" s="29" t="n">
        <f aca="false">IF(AND(N174&gt;=-0.0000001,N173&lt;0),1,0)</f>
        <v>0</v>
      </c>
      <c r="Q174" s="30" t="str">
        <f aca="false">IF(P174=1,A174-O173,"")</f>
        <v/>
      </c>
    </row>
    <row r="175" customFormat="false" ht="15" hidden="false" customHeight="false" outlineLevel="0" collapsed="false">
      <c r="A175" s="25" t="n">
        <v>46076</v>
      </c>
      <c r="B175" s="26" t="s">
        <v>79</v>
      </c>
      <c r="C175" s="27" t="n">
        <v>12330.5</v>
      </c>
      <c r="D175" s="28" t="n">
        <f aca="false">C175/$T$1*100</f>
        <v>2.4661</v>
      </c>
      <c r="E175" s="28" t="n">
        <f aca="false">E174+D175</f>
        <v>312.53425</v>
      </c>
      <c r="F175" s="28" t="n">
        <f aca="false">MAX(0,MAX($E$2:E175))</f>
        <v>312.53425</v>
      </c>
      <c r="G175" s="28" t="n">
        <f aca="false">E175-F175</f>
        <v>0</v>
      </c>
      <c r="H175" s="25" t="n">
        <f aca="false">IF(G175&gt;=-0.0000001,A175,H174)</f>
        <v>46076</v>
      </c>
      <c r="I175" s="29" t="n">
        <f aca="false">IF(AND(G175&gt;=-0.0000001,G174&lt;0),1,0)</f>
        <v>0</v>
      </c>
      <c r="J175" s="30" t="str">
        <f aca="false">IF(I175=1,A175-H174,"")</f>
        <v/>
      </c>
      <c r="K175" s="27" t="n">
        <f aca="false">IF(B175="Wednesday",0,C175)</f>
        <v>12330.5</v>
      </c>
      <c r="L175" s="28" t="n">
        <f aca="false">L174+K175/$T$1*100</f>
        <v>350.48305</v>
      </c>
      <c r="M175" s="28" t="n">
        <f aca="false">MAX(0,MAX($L$2:L175))</f>
        <v>350.48305</v>
      </c>
      <c r="N175" s="28" t="n">
        <f aca="false">L175-M175</f>
        <v>0</v>
      </c>
      <c r="O175" s="25" t="n">
        <f aca="false">IF(N175&gt;=-0.0000001,A175,O174)</f>
        <v>46076</v>
      </c>
      <c r="P175" s="29" t="n">
        <f aca="false">IF(AND(N175&gt;=-0.0000001,N174&lt;0),1,0)</f>
        <v>0</v>
      </c>
      <c r="Q175" s="30" t="str">
        <f aca="false">IF(P175=1,A175-O174,"")</f>
        <v/>
      </c>
    </row>
    <row r="176" customFormat="false" ht="15" hidden="false" customHeight="false" outlineLevel="0" collapsed="false">
      <c r="A176" s="25" t="n">
        <v>46077</v>
      </c>
      <c r="B176" s="26" t="s">
        <v>80</v>
      </c>
      <c r="C176" s="27" t="n">
        <v>-4485</v>
      </c>
      <c r="D176" s="28" t="n">
        <f aca="false">C176/$T$1*100</f>
        <v>-0.897</v>
      </c>
      <c r="E176" s="28" t="n">
        <f aca="false">E175+D176</f>
        <v>311.63725</v>
      </c>
      <c r="F176" s="28" t="n">
        <f aca="false">MAX(0,MAX($E$2:E176))</f>
        <v>312.53425</v>
      </c>
      <c r="G176" s="28" t="n">
        <f aca="false">E176-F176</f>
        <v>-0.896999999999991</v>
      </c>
      <c r="H176" s="25" t="n">
        <f aca="false">IF(G176&gt;=-0.0000001,A176,H175)</f>
        <v>46076</v>
      </c>
      <c r="I176" s="29" t="n">
        <f aca="false">IF(AND(G176&gt;=-0.0000001,G175&lt;0),1,0)</f>
        <v>0</v>
      </c>
      <c r="J176" s="30" t="str">
        <f aca="false">IF(I176=1,A176-H175,"")</f>
        <v/>
      </c>
      <c r="K176" s="27" t="n">
        <f aca="false">IF(B176="Wednesday",0,C176)</f>
        <v>-4485</v>
      </c>
      <c r="L176" s="28" t="n">
        <f aca="false">L175+K176/$T$1*100</f>
        <v>349.58605</v>
      </c>
      <c r="M176" s="28" t="n">
        <f aca="false">MAX(0,MAX($L$2:L176))</f>
        <v>350.48305</v>
      </c>
      <c r="N176" s="28" t="n">
        <f aca="false">L176-M176</f>
        <v>-0.896999999999991</v>
      </c>
      <c r="O176" s="25" t="n">
        <f aca="false">IF(N176&gt;=-0.0000001,A176,O175)</f>
        <v>46076</v>
      </c>
      <c r="P176" s="29" t="n">
        <f aca="false">IF(AND(N176&gt;=-0.0000001,N175&lt;0),1,0)</f>
        <v>0</v>
      </c>
      <c r="Q176" s="30" t="str">
        <f aca="false">IF(P176=1,A176-O175,"")</f>
        <v/>
      </c>
    </row>
    <row r="177" customFormat="false" ht="15" hidden="false" customHeight="false" outlineLevel="0" collapsed="false">
      <c r="A177" s="25" t="n">
        <v>46078</v>
      </c>
      <c r="B177" s="26" t="s">
        <v>81</v>
      </c>
      <c r="C177" s="27" t="n">
        <v>-26091</v>
      </c>
      <c r="D177" s="28" t="n">
        <f aca="false">C177/$T$1*100</f>
        <v>-5.2182</v>
      </c>
      <c r="E177" s="28" t="n">
        <f aca="false">E176+D177</f>
        <v>306.41905</v>
      </c>
      <c r="F177" s="28" t="n">
        <f aca="false">MAX(0,MAX($E$2:E177))</f>
        <v>312.53425</v>
      </c>
      <c r="G177" s="28" t="n">
        <f aca="false">E177-F177</f>
        <v>-6.11520000000002</v>
      </c>
      <c r="H177" s="25" t="n">
        <f aca="false">IF(G177&gt;=-0.0000001,A177,H176)</f>
        <v>46076</v>
      </c>
      <c r="I177" s="29" t="n">
        <f aca="false">IF(AND(G177&gt;=-0.0000001,G176&lt;0),1,0)</f>
        <v>0</v>
      </c>
      <c r="J177" s="30" t="str">
        <f aca="false">IF(I177=1,A177-H176,"")</f>
        <v/>
      </c>
      <c r="K177" s="27" t="n">
        <f aca="false">IF(B177="Wednesday",0,C177)</f>
        <v>0</v>
      </c>
      <c r="L177" s="28" t="n">
        <f aca="false">L176+K177/$T$1*100</f>
        <v>349.58605</v>
      </c>
      <c r="M177" s="28" t="n">
        <f aca="false">MAX(0,MAX($L$2:L177))</f>
        <v>350.48305</v>
      </c>
      <c r="N177" s="28" t="n">
        <f aca="false">L177-M177</f>
        <v>-0.896999999999991</v>
      </c>
      <c r="O177" s="25" t="n">
        <f aca="false">IF(N177&gt;=-0.0000001,A177,O176)</f>
        <v>46076</v>
      </c>
      <c r="P177" s="29" t="n">
        <f aca="false">IF(AND(N177&gt;=-0.0000001,N176&lt;0),1,0)</f>
        <v>0</v>
      </c>
      <c r="Q177" s="30" t="str">
        <f aca="false">IF(P177=1,A177-O176,"")</f>
        <v/>
      </c>
    </row>
    <row r="178" customFormat="false" ht="15" hidden="false" customHeight="false" outlineLevel="0" collapsed="false">
      <c r="A178" s="25" t="n">
        <v>46079</v>
      </c>
      <c r="B178" s="26" t="s">
        <v>82</v>
      </c>
      <c r="C178" s="27" t="n">
        <v>3799.25</v>
      </c>
      <c r="D178" s="28" t="n">
        <f aca="false">C178/$T$1*100</f>
        <v>0.75985</v>
      </c>
      <c r="E178" s="28" t="n">
        <f aca="false">E177+D178</f>
        <v>307.1789</v>
      </c>
      <c r="F178" s="28" t="n">
        <f aca="false">MAX(0,MAX($E$2:E178))</f>
        <v>312.53425</v>
      </c>
      <c r="G178" s="28" t="n">
        <f aca="false">E178-F178</f>
        <v>-5.35535000000004</v>
      </c>
      <c r="H178" s="25" t="n">
        <f aca="false">IF(G178&gt;=-0.0000001,A178,H177)</f>
        <v>46076</v>
      </c>
      <c r="I178" s="29" t="n">
        <f aca="false">IF(AND(G178&gt;=-0.0000001,G177&lt;0),1,0)</f>
        <v>0</v>
      </c>
      <c r="J178" s="30" t="str">
        <f aca="false">IF(I178=1,A178-H177,"")</f>
        <v/>
      </c>
      <c r="K178" s="27" t="n">
        <f aca="false">IF(B178="Wednesday",0,C178)</f>
        <v>3799.25</v>
      </c>
      <c r="L178" s="28" t="n">
        <f aca="false">L177+K178/$T$1*100</f>
        <v>350.3459</v>
      </c>
      <c r="M178" s="28" t="n">
        <f aca="false">MAX(0,MAX($L$2:L178))</f>
        <v>350.48305</v>
      </c>
      <c r="N178" s="28" t="n">
        <f aca="false">L178-M178</f>
        <v>-0.13715000000002</v>
      </c>
      <c r="O178" s="25" t="n">
        <f aca="false">IF(N178&gt;=-0.0000001,A178,O177)</f>
        <v>46076</v>
      </c>
      <c r="P178" s="29" t="n">
        <f aca="false">IF(AND(N178&gt;=-0.0000001,N177&lt;0),1,0)</f>
        <v>0</v>
      </c>
      <c r="Q178" s="30" t="str">
        <f aca="false">IF(P178=1,A178-O177,"")</f>
        <v/>
      </c>
    </row>
    <row r="179" customFormat="false" ht="15" hidden="false" customHeight="false" outlineLevel="0" collapsed="false">
      <c r="A179" s="25" t="n">
        <v>46080</v>
      </c>
      <c r="B179" s="26" t="s">
        <v>83</v>
      </c>
      <c r="C179" s="27" t="n">
        <v>14332.5</v>
      </c>
      <c r="D179" s="28" t="n">
        <f aca="false">C179/$T$1*100</f>
        <v>2.8665</v>
      </c>
      <c r="E179" s="28" t="n">
        <f aca="false">E178+D179</f>
        <v>310.0454</v>
      </c>
      <c r="F179" s="28" t="n">
        <f aca="false">MAX(0,MAX($E$2:E179))</f>
        <v>312.53425</v>
      </c>
      <c r="G179" s="28" t="n">
        <f aca="false">E179-F179</f>
        <v>-2.48885000000007</v>
      </c>
      <c r="H179" s="25" t="n">
        <f aca="false">IF(G179&gt;=-0.0000001,A179,H178)</f>
        <v>46076</v>
      </c>
      <c r="I179" s="29" t="n">
        <f aca="false">IF(AND(G179&gt;=-0.0000001,G178&lt;0),1,0)</f>
        <v>0</v>
      </c>
      <c r="J179" s="30" t="str">
        <f aca="false">IF(I179=1,A179-H178,"")</f>
        <v/>
      </c>
      <c r="K179" s="27" t="n">
        <f aca="false">IF(B179="Wednesday",0,C179)</f>
        <v>14332.5</v>
      </c>
      <c r="L179" s="28" t="n">
        <f aca="false">L178+K179/$T$1*100</f>
        <v>353.2124</v>
      </c>
      <c r="M179" s="28" t="n">
        <f aca="false">MAX(0,MAX($L$2:L179))</f>
        <v>353.2124</v>
      </c>
      <c r="N179" s="28" t="n">
        <f aca="false">L179-M179</f>
        <v>0</v>
      </c>
      <c r="O179" s="25" t="n">
        <f aca="false">IF(N179&gt;=-0.0000001,A179,O178)</f>
        <v>46080</v>
      </c>
      <c r="P179" s="29" t="n">
        <f aca="false">IF(AND(N179&gt;=-0.0000001,N178&lt;0),1,0)</f>
        <v>1</v>
      </c>
      <c r="Q179" s="30" t="n">
        <f aca="false">IF(P179=1,A179-O178,"")</f>
        <v>4</v>
      </c>
    </row>
    <row r="180" customFormat="false" ht="15" hidden="false" customHeight="false" outlineLevel="0" collapsed="false">
      <c r="A180" s="25" t="n">
        <v>46083</v>
      </c>
      <c r="B180" s="26" t="s">
        <v>79</v>
      </c>
      <c r="C180" s="27" t="n">
        <v>-28811.25</v>
      </c>
      <c r="D180" s="28" t="n">
        <f aca="false">C180/$T$1*100</f>
        <v>-5.76225</v>
      </c>
      <c r="E180" s="28" t="n">
        <f aca="false">E179+D180</f>
        <v>304.28315</v>
      </c>
      <c r="F180" s="28" t="n">
        <f aca="false">MAX(0,MAX($E$2:E180))</f>
        <v>312.53425</v>
      </c>
      <c r="G180" s="28" t="n">
        <f aca="false">E180-F180</f>
        <v>-8.25110000000007</v>
      </c>
      <c r="H180" s="25" t="n">
        <f aca="false">IF(G180&gt;=-0.0000001,A180,H179)</f>
        <v>46076</v>
      </c>
      <c r="I180" s="29" t="n">
        <f aca="false">IF(AND(G180&gt;=-0.0000001,G179&lt;0),1,0)</f>
        <v>0</v>
      </c>
      <c r="J180" s="30" t="str">
        <f aca="false">IF(I180=1,A180-H179,"")</f>
        <v/>
      </c>
      <c r="K180" s="27" t="n">
        <f aca="false">IF(B180="Wednesday",0,C180)</f>
        <v>-28811.25</v>
      </c>
      <c r="L180" s="28" t="n">
        <f aca="false">L179+K180/$T$1*100</f>
        <v>347.45015</v>
      </c>
      <c r="M180" s="28" t="n">
        <f aca="false">MAX(0,MAX($L$2:L180))</f>
        <v>353.2124</v>
      </c>
      <c r="N180" s="28" t="n">
        <f aca="false">L180-M180</f>
        <v>-5.76224999999999</v>
      </c>
      <c r="O180" s="25" t="n">
        <f aca="false">IF(N180&gt;=-0.0000001,A180,O179)</f>
        <v>46080</v>
      </c>
      <c r="P180" s="29" t="n">
        <f aca="false">IF(AND(N180&gt;=-0.0000001,N179&lt;0),1,0)</f>
        <v>0</v>
      </c>
      <c r="Q180" s="30" t="str">
        <f aca="false">IF(P180=1,A180-O179,"")</f>
        <v/>
      </c>
    </row>
    <row r="181" customFormat="false" ht="15" hidden="false" customHeight="false" outlineLevel="0" collapsed="false">
      <c r="A181" s="25" t="n">
        <v>46085</v>
      </c>
      <c r="B181" s="26" t="s">
        <v>81</v>
      </c>
      <c r="C181" s="27" t="n">
        <v>22327.5</v>
      </c>
      <c r="D181" s="28" t="n">
        <f aca="false">C181/$T$1*100</f>
        <v>4.4655</v>
      </c>
      <c r="E181" s="28" t="n">
        <f aca="false">E180+D181</f>
        <v>308.74865</v>
      </c>
      <c r="F181" s="28" t="n">
        <f aca="false">MAX(0,MAX($E$2:E181))</f>
        <v>312.53425</v>
      </c>
      <c r="G181" s="28" t="n">
        <f aca="false">E181-F181</f>
        <v>-3.78560000000005</v>
      </c>
      <c r="H181" s="25" t="n">
        <f aca="false">IF(G181&gt;=-0.0000001,A181,H180)</f>
        <v>46076</v>
      </c>
      <c r="I181" s="29" t="n">
        <f aca="false">IF(AND(G181&gt;=-0.0000001,G180&lt;0),1,0)</f>
        <v>0</v>
      </c>
      <c r="J181" s="30" t="str">
        <f aca="false">IF(I181=1,A181-H180,"")</f>
        <v/>
      </c>
      <c r="K181" s="27" t="n">
        <f aca="false">IF(B181="Wednesday",0,C181)</f>
        <v>0</v>
      </c>
      <c r="L181" s="28" t="n">
        <f aca="false">L180+K181/$T$1*100</f>
        <v>347.45015</v>
      </c>
      <c r="M181" s="28" t="n">
        <f aca="false">MAX(0,MAX($L$2:L181))</f>
        <v>353.2124</v>
      </c>
      <c r="N181" s="28" t="n">
        <f aca="false">L181-M181</f>
        <v>-5.76224999999999</v>
      </c>
      <c r="O181" s="25" t="n">
        <f aca="false">IF(N181&gt;=-0.0000001,A181,O180)</f>
        <v>46080</v>
      </c>
      <c r="P181" s="29" t="n">
        <f aca="false">IF(AND(N181&gt;=-0.0000001,N180&lt;0),1,0)</f>
        <v>0</v>
      </c>
      <c r="Q181" s="30" t="str">
        <f aca="false">IF(P181=1,A181-O180,"")</f>
        <v/>
      </c>
    </row>
    <row r="182" customFormat="false" ht="15" hidden="false" customHeight="false" outlineLevel="0" collapsed="false">
      <c r="A182" s="25" t="n">
        <v>46086</v>
      </c>
      <c r="B182" s="26" t="s">
        <v>82</v>
      </c>
      <c r="C182" s="27" t="n">
        <v>36348</v>
      </c>
      <c r="D182" s="28" t="n">
        <f aca="false">C182/$T$1*100</f>
        <v>7.2696</v>
      </c>
      <c r="E182" s="28" t="n">
        <f aca="false">E181+D182</f>
        <v>316.01825</v>
      </c>
      <c r="F182" s="28" t="n">
        <f aca="false">MAX(0,MAX($E$2:E182))</f>
        <v>316.01825</v>
      </c>
      <c r="G182" s="28" t="n">
        <f aca="false">E182-F182</f>
        <v>0</v>
      </c>
      <c r="H182" s="25" t="n">
        <f aca="false">IF(G182&gt;=-0.0000001,A182,H181)</f>
        <v>46086</v>
      </c>
      <c r="I182" s="29" t="n">
        <f aca="false">IF(AND(G182&gt;=-0.0000001,G181&lt;0),1,0)</f>
        <v>1</v>
      </c>
      <c r="J182" s="30" t="n">
        <f aca="false">IF(I182=1,A182-H181,"")</f>
        <v>10</v>
      </c>
      <c r="K182" s="27" t="n">
        <f aca="false">IF(B182="Wednesday",0,C182)</f>
        <v>36348</v>
      </c>
      <c r="L182" s="28" t="n">
        <f aca="false">L181+K182/$T$1*100</f>
        <v>354.71975</v>
      </c>
      <c r="M182" s="28" t="n">
        <f aca="false">MAX(0,MAX($L$2:L182))</f>
        <v>354.71975</v>
      </c>
      <c r="N182" s="28" t="n">
        <f aca="false">L182-M182</f>
        <v>0</v>
      </c>
      <c r="O182" s="25" t="n">
        <f aca="false">IF(N182&gt;=-0.0000001,A182,O181)</f>
        <v>46086</v>
      </c>
      <c r="P182" s="29" t="n">
        <f aca="false">IF(AND(N182&gt;=-0.0000001,N181&lt;0),1,0)</f>
        <v>1</v>
      </c>
      <c r="Q182" s="30" t="n">
        <f aca="false">IF(P182=1,A182-O181,"")</f>
        <v>6</v>
      </c>
    </row>
    <row r="183" customFormat="false" ht="15" hidden="false" customHeight="false" outlineLevel="0" collapsed="false">
      <c r="A183" s="25" t="n">
        <v>46087</v>
      </c>
      <c r="B183" s="26" t="s">
        <v>83</v>
      </c>
      <c r="C183" s="27" t="n">
        <v>-8840</v>
      </c>
      <c r="D183" s="28" t="n">
        <f aca="false">C183/$T$1*100</f>
        <v>-1.768</v>
      </c>
      <c r="E183" s="28" t="n">
        <f aca="false">E182+D183</f>
        <v>314.25025</v>
      </c>
      <c r="F183" s="28" t="n">
        <f aca="false">MAX(0,MAX($E$2:E183))</f>
        <v>316.01825</v>
      </c>
      <c r="G183" s="28" t="n">
        <f aca="false">E183-F183</f>
        <v>-1.76799999999997</v>
      </c>
      <c r="H183" s="25" t="n">
        <f aca="false">IF(G183&gt;=-0.0000001,A183,H182)</f>
        <v>46086</v>
      </c>
      <c r="I183" s="29" t="n">
        <f aca="false">IF(AND(G183&gt;=-0.0000001,G182&lt;0),1,0)</f>
        <v>0</v>
      </c>
      <c r="J183" s="30" t="str">
        <f aca="false">IF(I183=1,A183-H182,"")</f>
        <v/>
      </c>
      <c r="K183" s="27" t="n">
        <f aca="false">IF(B183="Wednesday",0,C183)</f>
        <v>-8840</v>
      </c>
      <c r="L183" s="28" t="n">
        <f aca="false">L182+K183/$T$1*100</f>
        <v>352.95175</v>
      </c>
      <c r="M183" s="28" t="n">
        <f aca="false">MAX(0,MAX($L$2:L183))</f>
        <v>354.71975</v>
      </c>
      <c r="N183" s="28" t="n">
        <f aca="false">L183-M183</f>
        <v>-1.76799999999997</v>
      </c>
      <c r="O183" s="25" t="n">
        <f aca="false">IF(N183&gt;=-0.0000001,A183,O182)</f>
        <v>46086</v>
      </c>
      <c r="P183" s="29" t="n">
        <f aca="false">IF(AND(N183&gt;=-0.0000001,N182&lt;0),1,0)</f>
        <v>0</v>
      </c>
      <c r="Q183" s="30" t="str">
        <f aca="false">IF(P183=1,A183-O182,"")</f>
        <v/>
      </c>
    </row>
    <row r="184" customFormat="false" ht="15" hidden="false" customHeight="false" outlineLevel="0" collapsed="false">
      <c r="A184" s="25" t="n">
        <v>46090</v>
      </c>
      <c r="B184" s="26" t="s">
        <v>79</v>
      </c>
      <c r="C184" s="27" t="n">
        <v>57739.5</v>
      </c>
      <c r="D184" s="28" t="n">
        <f aca="false">C184/$T$1*100</f>
        <v>11.5479</v>
      </c>
      <c r="E184" s="28" t="n">
        <f aca="false">E183+D184</f>
        <v>325.79815</v>
      </c>
      <c r="F184" s="28" t="n">
        <f aca="false">MAX(0,MAX($E$2:E184))</f>
        <v>325.79815</v>
      </c>
      <c r="G184" s="28" t="n">
        <f aca="false">E184-F184</f>
        <v>0</v>
      </c>
      <c r="H184" s="25" t="n">
        <f aca="false">IF(G184&gt;=-0.0000001,A184,H183)</f>
        <v>46090</v>
      </c>
      <c r="I184" s="29" t="n">
        <f aca="false">IF(AND(G184&gt;=-0.0000001,G183&lt;0),1,0)</f>
        <v>1</v>
      </c>
      <c r="J184" s="30" t="n">
        <f aca="false">IF(I184=1,A184-H183,"")</f>
        <v>4</v>
      </c>
      <c r="K184" s="27" t="n">
        <f aca="false">IF(B184="Wednesday",0,C184)</f>
        <v>57739.5</v>
      </c>
      <c r="L184" s="28" t="n">
        <f aca="false">L183+K184/$T$1*100</f>
        <v>364.49965</v>
      </c>
      <c r="M184" s="28" t="n">
        <f aca="false">MAX(0,MAX($L$2:L184))</f>
        <v>364.49965</v>
      </c>
      <c r="N184" s="28" t="n">
        <f aca="false">L184-M184</f>
        <v>0</v>
      </c>
      <c r="O184" s="25" t="n">
        <f aca="false">IF(N184&gt;=-0.0000001,A184,O183)</f>
        <v>46090</v>
      </c>
      <c r="P184" s="29" t="n">
        <f aca="false">IF(AND(N184&gt;=-0.0000001,N183&lt;0),1,0)</f>
        <v>1</v>
      </c>
      <c r="Q184" s="30" t="n">
        <f aca="false">IF(P184=1,A184-O183,"")</f>
        <v>4</v>
      </c>
    </row>
    <row r="185" customFormat="false" ht="15" hidden="false" customHeight="false" outlineLevel="0" collapsed="false">
      <c r="A185" s="25" t="n">
        <v>46091</v>
      </c>
      <c r="B185" s="26" t="s">
        <v>80</v>
      </c>
      <c r="C185" s="27" t="n">
        <v>-29490.5</v>
      </c>
      <c r="D185" s="28" t="n">
        <f aca="false">C185/$T$1*100</f>
        <v>-5.8981</v>
      </c>
      <c r="E185" s="28" t="n">
        <f aca="false">E184+D185</f>
        <v>319.90005</v>
      </c>
      <c r="F185" s="28" t="n">
        <f aca="false">MAX(0,MAX($E$2:E185))</f>
        <v>325.79815</v>
      </c>
      <c r="G185" s="28" t="n">
        <f aca="false">E185-F185</f>
        <v>-5.8981</v>
      </c>
      <c r="H185" s="25" t="n">
        <f aca="false">IF(G185&gt;=-0.0000001,A185,H184)</f>
        <v>46090</v>
      </c>
      <c r="I185" s="29" t="n">
        <f aca="false">IF(AND(G185&gt;=-0.0000001,G184&lt;0),1,0)</f>
        <v>0</v>
      </c>
      <c r="J185" s="30" t="str">
        <f aca="false">IF(I185=1,A185-H184,"")</f>
        <v/>
      </c>
      <c r="K185" s="27" t="n">
        <f aca="false">IF(B185="Wednesday",0,C185)</f>
        <v>-29490.5</v>
      </c>
      <c r="L185" s="28" t="n">
        <f aca="false">L184+K185/$T$1*100</f>
        <v>358.60155</v>
      </c>
      <c r="M185" s="28" t="n">
        <f aca="false">MAX(0,MAX($L$2:L185))</f>
        <v>364.49965</v>
      </c>
      <c r="N185" s="28" t="n">
        <f aca="false">L185-M185</f>
        <v>-5.8981</v>
      </c>
      <c r="O185" s="25" t="n">
        <f aca="false">IF(N185&gt;=-0.0000001,A185,O184)</f>
        <v>46090</v>
      </c>
      <c r="P185" s="29" t="n">
        <f aca="false">IF(AND(N185&gt;=-0.0000001,N184&lt;0),1,0)</f>
        <v>0</v>
      </c>
      <c r="Q185" s="30" t="str">
        <f aca="false">IF(P185=1,A185-O184,"")</f>
        <v/>
      </c>
    </row>
    <row r="186" customFormat="false" ht="15" hidden="false" customHeight="false" outlineLevel="0" collapsed="false">
      <c r="A186" s="25" t="n">
        <v>46092</v>
      </c>
      <c r="B186" s="26" t="s">
        <v>81</v>
      </c>
      <c r="C186" s="27" t="n">
        <v>-17618.25</v>
      </c>
      <c r="D186" s="28" t="n">
        <f aca="false">C186/$T$1*100</f>
        <v>-3.52365</v>
      </c>
      <c r="E186" s="28" t="n">
        <f aca="false">E185+D186</f>
        <v>316.3764</v>
      </c>
      <c r="F186" s="28" t="n">
        <f aca="false">MAX(0,MAX($E$2:E186))</f>
        <v>325.79815</v>
      </c>
      <c r="G186" s="28" t="n">
        <f aca="false">E186-F186</f>
        <v>-9.42174999999998</v>
      </c>
      <c r="H186" s="25" t="n">
        <f aca="false">IF(G186&gt;=-0.0000001,A186,H185)</f>
        <v>46090</v>
      </c>
      <c r="I186" s="29" t="n">
        <f aca="false">IF(AND(G186&gt;=-0.0000001,G185&lt;0),1,0)</f>
        <v>0</v>
      </c>
      <c r="J186" s="30" t="str">
        <f aca="false">IF(I186=1,A186-H185,"")</f>
        <v/>
      </c>
      <c r="K186" s="27" t="n">
        <f aca="false">IF(B186="Wednesday",0,C186)</f>
        <v>0</v>
      </c>
      <c r="L186" s="28" t="n">
        <f aca="false">L185+K186/$T$1*100</f>
        <v>358.60155</v>
      </c>
      <c r="M186" s="28" t="n">
        <f aca="false">MAX(0,MAX($L$2:L186))</f>
        <v>364.49965</v>
      </c>
      <c r="N186" s="28" t="n">
        <f aca="false">L186-M186</f>
        <v>-5.8981</v>
      </c>
      <c r="O186" s="25" t="n">
        <f aca="false">IF(N186&gt;=-0.0000001,A186,O185)</f>
        <v>46090</v>
      </c>
      <c r="P186" s="29" t="n">
        <f aca="false">IF(AND(N186&gt;=-0.0000001,N185&lt;0),1,0)</f>
        <v>0</v>
      </c>
      <c r="Q186" s="30" t="str">
        <f aca="false">IF(P186=1,A186-O185,"")</f>
        <v/>
      </c>
    </row>
    <row r="187" customFormat="false" ht="15" hidden="false" customHeight="false" outlineLevel="0" collapsed="false">
      <c r="A187" s="25" t="n">
        <v>46093</v>
      </c>
      <c r="B187" s="26" t="s">
        <v>82</v>
      </c>
      <c r="C187" s="27" t="n">
        <v>-2983.5</v>
      </c>
      <c r="D187" s="28" t="n">
        <f aca="false">C187/$T$1*100</f>
        <v>-0.5967</v>
      </c>
      <c r="E187" s="28" t="n">
        <f aca="false">E186+D187</f>
        <v>315.7797</v>
      </c>
      <c r="F187" s="28" t="n">
        <f aca="false">MAX(0,MAX($E$2:E187))</f>
        <v>325.79815</v>
      </c>
      <c r="G187" s="28" t="n">
        <f aca="false">E187-F187</f>
        <v>-10.01845</v>
      </c>
      <c r="H187" s="25" t="n">
        <f aca="false">IF(G187&gt;=-0.0000001,A187,H186)</f>
        <v>46090</v>
      </c>
      <c r="I187" s="29" t="n">
        <f aca="false">IF(AND(G187&gt;=-0.0000001,G186&lt;0),1,0)</f>
        <v>0</v>
      </c>
      <c r="J187" s="30" t="str">
        <f aca="false">IF(I187=1,A187-H186,"")</f>
        <v/>
      </c>
      <c r="K187" s="27" t="n">
        <f aca="false">IF(B187="Wednesday",0,C187)</f>
        <v>-2983.5</v>
      </c>
      <c r="L187" s="28" t="n">
        <f aca="false">L186+K187/$T$1*100</f>
        <v>358.00485</v>
      </c>
      <c r="M187" s="28" t="n">
        <f aca="false">MAX(0,MAX($L$2:L187))</f>
        <v>364.49965</v>
      </c>
      <c r="N187" s="28" t="n">
        <f aca="false">L187-M187</f>
        <v>-6.4948</v>
      </c>
      <c r="O187" s="25" t="n">
        <f aca="false">IF(N187&gt;=-0.0000001,A187,O186)</f>
        <v>46090</v>
      </c>
      <c r="P187" s="29" t="n">
        <f aca="false">IF(AND(N187&gt;=-0.0000001,N186&lt;0),1,0)</f>
        <v>0</v>
      </c>
      <c r="Q187" s="30" t="str">
        <f aca="false">IF(P187=1,A187-O186,"")</f>
        <v/>
      </c>
    </row>
    <row r="188" customFormat="false" ht="15" hidden="false" customHeight="false" outlineLevel="0" collapsed="false">
      <c r="A188" s="25" t="n">
        <v>46094</v>
      </c>
      <c r="B188" s="26" t="s">
        <v>83</v>
      </c>
      <c r="C188" s="27" t="n">
        <v>26533</v>
      </c>
      <c r="D188" s="28" t="n">
        <f aca="false">C188/$T$1*100</f>
        <v>5.3066</v>
      </c>
      <c r="E188" s="28" t="n">
        <f aca="false">E187+D188</f>
        <v>321.0863</v>
      </c>
      <c r="F188" s="28" t="n">
        <f aca="false">MAX(0,MAX($E$2:E188))</f>
        <v>325.79815</v>
      </c>
      <c r="G188" s="28" t="n">
        <f aca="false">E188-F188</f>
        <v>-4.71184999999997</v>
      </c>
      <c r="H188" s="25" t="n">
        <f aca="false">IF(G188&gt;=-0.0000001,A188,H187)</f>
        <v>46090</v>
      </c>
      <c r="I188" s="29" t="n">
        <f aca="false">IF(AND(G188&gt;=-0.0000001,G187&lt;0),1,0)</f>
        <v>0</v>
      </c>
      <c r="J188" s="30" t="str">
        <f aca="false">IF(I188=1,A188-H187,"")</f>
        <v/>
      </c>
      <c r="K188" s="27" t="n">
        <f aca="false">IF(B188="Wednesday",0,C188)</f>
        <v>26533</v>
      </c>
      <c r="L188" s="28" t="n">
        <f aca="false">L187+K188/$T$1*100</f>
        <v>363.31145</v>
      </c>
      <c r="M188" s="28" t="n">
        <f aca="false">MAX(0,MAX($L$2:L188))</f>
        <v>364.49965</v>
      </c>
      <c r="N188" s="28" t="n">
        <f aca="false">L188-M188</f>
        <v>-1.18819999999999</v>
      </c>
      <c r="O188" s="25" t="n">
        <f aca="false">IF(N188&gt;=-0.0000001,A188,O187)</f>
        <v>46090</v>
      </c>
      <c r="P188" s="29" t="n">
        <f aca="false">IF(AND(N188&gt;=-0.0000001,N187&lt;0),1,0)</f>
        <v>0</v>
      </c>
      <c r="Q188" s="30" t="str">
        <f aca="false">IF(P188=1,A188-O187,"")</f>
        <v/>
      </c>
    </row>
    <row r="189" customFormat="false" ht="15" hidden="false" customHeight="false" outlineLevel="0" collapsed="false">
      <c r="A189" s="25" t="n">
        <v>46097</v>
      </c>
      <c r="B189" s="26" t="s">
        <v>79</v>
      </c>
      <c r="C189" s="27" t="n">
        <v>-59114.25</v>
      </c>
      <c r="D189" s="28" t="n">
        <f aca="false">C189/$T$1*100</f>
        <v>-11.82285</v>
      </c>
      <c r="E189" s="28" t="n">
        <f aca="false">E188+D189</f>
        <v>309.26345</v>
      </c>
      <c r="F189" s="28" t="n">
        <f aca="false">MAX(0,MAX($E$2:E189))</f>
        <v>325.79815</v>
      </c>
      <c r="G189" s="28" t="n">
        <f aca="false">E189-F189</f>
        <v>-16.5347</v>
      </c>
      <c r="H189" s="25" t="n">
        <f aca="false">IF(G189&gt;=-0.0000001,A189,H188)</f>
        <v>46090</v>
      </c>
      <c r="I189" s="29" t="n">
        <f aca="false">IF(AND(G189&gt;=-0.0000001,G188&lt;0),1,0)</f>
        <v>0</v>
      </c>
      <c r="J189" s="30" t="str">
        <f aca="false">IF(I189=1,A189-H188,"")</f>
        <v/>
      </c>
      <c r="K189" s="27" t="n">
        <f aca="false">IF(B189="Wednesday",0,C189)</f>
        <v>-59114.25</v>
      </c>
      <c r="L189" s="28" t="n">
        <f aca="false">L188+K189/$T$1*100</f>
        <v>351.4886</v>
      </c>
      <c r="M189" s="28" t="n">
        <f aca="false">MAX(0,MAX($L$2:L189))</f>
        <v>364.49965</v>
      </c>
      <c r="N189" s="28" t="n">
        <f aca="false">L189-M189</f>
        <v>-13.01105</v>
      </c>
      <c r="O189" s="25" t="n">
        <f aca="false">IF(N189&gt;=-0.0000001,A189,O188)</f>
        <v>46090</v>
      </c>
      <c r="P189" s="29" t="n">
        <f aca="false">IF(AND(N189&gt;=-0.0000001,N188&lt;0),1,0)</f>
        <v>0</v>
      </c>
      <c r="Q189" s="30" t="str">
        <f aca="false">IF(P189=1,A189-O188,"")</f>
        <v/>
      </c>
    </row>
    <row r="190" customFormat="false" ht="15" hidden="false" customHeight="false" outlineLevel="0" collapsed="false">
      <c r="A190" s="25" t="n">
        <v>46098</v>
      </c>
      <c r="B190" s="26" t="s">
        <v>80</v>
      </c>
      <c r="C190" s="27" t="n">
        <v>-29952</v>
      </c>
      <c r="D190" s="28" t="n">
        <f aca="false">C190/$T$1*100</f>
        <v>-5.9904</v>
      </c>
      <c r="E190" s="28" t="n">
        <f aca="false">E189+D190</f>
        <v>303.27305</v>
      </c>
      <c r="F190" s="28" t="n">
        <f aca="false">MAX(0,MAX($E$2:E190))</f>
        <v>325.79815</v>
      </c>
      <c r="G190" s="28" t="n">
        <f aca="false">E190-F190</f>
        <v>-22.5251</v>
      </c>
      <c r="H190" s="25" t="n">
        <f aca="false">IF(G190&gt;=-0.0000001,A190,H189)</f>
        <v>46090</v>
      </c>
      <c r="I190" s="29" t="n">
        <f aca="false">IF(AND(G190&gt;=-0.0000001,G189&lt;0),1,0)</f>
        <v>0</v>
      </c>
      <c r="J190" s="30" t="str">
        <f aca="false">IF(I190=1,A190-H189,"")</f>
        <v/>
      </c>
      <c r="K190" s="27" t="n">
        <f aca="false">IF(B190="Wednesday",0,C190)</f>
        <v>-29952</v>
      </c>
      <c r="L190" s="28" t="n">
        <f aca="false">L189+K190/$T$1*100</f>
        <v>345.4982</v>
      </c>
      <c r="M190" s="28" t="n">
        <f aca="false">MAX(0,MAX($L$2:L190))</f>
        <v>364.49965</v>
      </c>
      <c r="N190" s="28" t="n">
        <f aca="false">L190-M190</f>
        <v>-19.00145</v>
      </c>
      <c r="O190" s="25" t="n">
        <f aca="false">IF(N190&gt;=-0.0000001,A190,O189)</f>
        <v>46090</v>
      </c>
      <c r="P190" s="29" t="n">
        <f aca="false">IF(AND(N190&gt;=-0.0000001,N189&lt;0),1,0)</f>
        <v>0</v>
      </c>
      <c r="Q190" s="30" t="str">
        <f aca="false">IF(P190=1,A190-O189,"")</f>
        <v/>
      </c>
    </row>
    <row r="191" customFormat="false" ht="15" hidden="false" customHeight="false" outlineLevel="0" collapsed="false">
      <c r="A191" s="25" t="n">
        <v>46099</v>
      </c>
      <c r="B191" s="26" t="s">
        <v>81</v>
      </c>
      <c r="C191" s="27" t="n">
        <v>10946</v>
      </c>
      <c r="D191" s="28" t="n">
        <f aca="false">C191/$T$1*100</f>
        <v>2.1892</v>
      </c>
      <c r="E191" s="28" t="n">
        <f aca="false">E190+D191</f>
        <v>305.46225</v>
      </c>
      <c r="F191" s="28" t="n">
        <f aca="false">MAX(0,MAX($E$2:E191))</f>
        <v>325.79815</v>
      </c>
      <c r="G191" s="28" t="n">
        <f aca="false">E191-F191</f>
        <v>-20.3359</v>
      </c>
      <c r="H191" s="25" t="n">
        <f aca="false">IF(G191&gt;=-0.0000001,A191,H190)</f>
        <v>46090</v>
      </c>
      <c r="I191" s="29" t="n">
        <f aca="false">IF(AND(G191&gt;=-0.0000001,G190&lt;0),1,0)</f>
        <v>0</v>
      </c>
      <c r="J191" s="30" t="str">
        <f aca="false">IF(I191=1,A191-H190,"")</f>
        <v/>
      </c>
      <c r="K191" s="27" t="n">
        <f aca="false">IF(B191="Wednesday",0,C191)</f>
        <v>0</v>
      </c>
      <c r="L191" s="28" t="n">
        <f aca="false">L190+K191/$T$1*100</f>
        <v>345.4982</v>
      </c>
      <c r="M191" s="28" t="n">
        <f aca="false">MAX(0,MAX($L$2:L191))</f>
        <v>364.49965</v>
      </c>
      <c r="N191" s="28" t="n">
        <f aca="false">L191-M191</f>
        <v>-19.00145</v>
      </c>
      <c r="O191" s="25" t="n">
        <f aca="false">IF(N191&gt;=-0.0000001,A191,O190)</f>
        <v>46090</v>
      </c>
      <c r="P191" s="29" t="n">
        <f aca="false">IF(AND(N191&gt;=-0.0000001,N190&lt;0),1,0)</f>
        <v>0</v>
      </c>
      <c r="Q191" s="30" t="str">
        <f aca="false">IF(P191=1,A191-O190,"")</f>
        <v/>
      </c>
    </row>
    <row r="192" customFormat="false" ht="15" hidden="false" customHeight="false" outlineLevel="0" collapsed="false">
      <c r="A192" s="25" t="n">
        <v>46100</v>
      </c>
      <c r="B192" s="26" t="s">
        <v>82</v>
      </c>
      <c r="C192" s="27" t="n">
        <v>-26221</v>
      </c>
      <c r="D192" s="28" t="n">
        <f aca="false">C192/$T$1*100</f>
        <v>-5.2442</v>
      </c>
      <c r="E192" s="28" t="n">
        <f aca="false">E191+D192</f>
        <v>300.21805</v>
      </c>
      <c r="F192" s="28" t="n">
        <f aca="false">MAX(0,MAX($E$2:E192))</f>
        <v>325.79815</v>
      </c>
      <c r="G192" s="28" t="n">
        <f aca="false">E192-F192</f>
        <v>-25.5801</v>
      </c>
      <c r="H192" s="25" t="n">
        <f aca="false">IF(G192&gt;=-0.0000001,A192,H191)</f>
        <v>46090</v>
      </c>
      <c r="I192" s="29" t="n">
        <f aca="false">IF(AND(G192&gt;=-0.0000001,G191&lt;0),1,0)</f>
        <v>0</v>
      </c>
      <c r="J192" s="30" t="str">
        <f aca="false">IF(I192=1,A192-H191,"")</f>
        <v/>
      </c>
      <c r="K192" s="27" t="n">
        <f aca="false">IF(B192="Wednesday",0,C192)</f>
        <v>-26221</v>
      </c>
      <c r="L192" s="28" t="n">
        <f aca="false">L191+K192/$T$1*100</f>
        <v>340.254</v>
      </c>
      <c r="M192" s="28" t="n">
        <f aca="false">MAX(0,MAX($L$2:L192))</f>
        <v>364.49965</v>
      </c>
      <c r="N192" s="28" t="n">
        <f aca="false">L192-M192</f>
        <v>-24.24565</v>
      </c>
      <c r="O192" s="25" t="n">
        <f aca="false">IF(N192&gt;=-0.0000001,A192,O191)</f>
        <v>46090</v>
      </c>
      <c r="P192" s="29" t="n">
        <f aca="false">IF(AND(N192&gt;=-0.0000001,N191&lt;0),1,0)</f>
        <v>0</v>
      </c>
      <c r="Q192" s="30" t="str">
        <f aca="false">IF(P192=1,A192-O191,"")</f>
        <v/>
      </c>
    </row>
    <row r="193" customFormat="false" ht="15" hidden="false" customHeight="false" outlineLevel="0" collapsed="false">
      <c r="A193" s="25" t="n">
        <v>46101</v>
      </c>
      <c r="B193" s="26" t="s">
        <v>83</v>
      </c>
      <c r="C193" s="27" t="n">
        <v>-21411</v>
      </c>
      <c r="D193" s="28" t="n">
        <f aca="false">C193/$T$1*100</f>
        <v>-4.2822</v>
      </c>
      <c r="E193" s="28" t="n">
        <f aca="false">E192+D193</f>
        <v>295.93585</v>
      </c>
      <c r="F193" s="28" t="n">
        <f aca="false">MAX(0,MAX($E$2:E193))</f>
        <v>325.79815</v>
      </c>
      <c r="G193" s="28" t="n">
        <f aca="false">E193-F193</f>
        <v>-29.8622999999999</v>
      </c>
      <c r="H193" s="25" t="n">
        <f aca="false">IF(G193&gt;=-0.0000001,A193,H192)</f>
        <v>46090</v>
      </c>
      <c r="I193" s="29" t="n">
        <f aca="false">IF(AND(G193&gt;=-0.0000001,G192&lt;0),1,0)</f>
        <v>0</v>
      </c>
      <c r="J193" s="30" t="str">
        <f aca="false">IF(I193=1,A193-H192,"")</f>
        <v/>
      </c>
      <c r="K193" s="27" t="n">
        <f aca="false">IF(B193="Wednesday",0,C193)</f>
        <v>-21411</v>
      </c>
      <c r="L193" s="28" t="n">
        <f aca="false">L192+K193/$T$1*100</f>
        <v>335.9718</v>
      </c>
      <c r="M193" s="28" t="n">
        <f aca="false">MAX(0,MAX($L$2:L193))</f>
        <v>364.49965</v>
      </c>
      <c r="N193" s="28" t="n">
        <f aca="false">L193-M193</f>
        <v>-28.52785</v>
      </c>
      <c r="O193" s="25" t="n">
        <f aca="false">IF(N193&gt;=-0.0000001,A193,O192)</f>
        <v>46090</v>
      </c>
      <c r="P193" s="29" t="n">
        <f aca="false">IF(AND(N193&gt;=-0.0000001,N192&lt;0),1,0)</f>
        <v>0</v>
      </c>
      <c r="Q193" s="30" t="str">
        <f aca="false">IF(P193=1,A193-O192,"")</f>
        <v/>
      </c>
    </row>
    <row r="194" customFormat="false" ht="15" hidden="false" customHeight="false" outlineLevel="0" collapsed="false">
      <c r="A194" s="25" t="n">
        <v>46104</v>
      </c>
      <c r="B194" s="26" t="s">
        <v>79</v>
      </c>
      <c r="C194" s="27" t="n">
        <v>-6877</v>
      </c>
      <c r="D194" s="28" t="n">
        <f aca="false">C194/$T$1*100</f>
        <v>-1.3754</v>
      </c>
      <c r="E194" s="28" t="n">
        <f aca="false">E193+D194</f>
        <v>294.56045</v>
      </c>
      <c r="F194" s="28" t="n">
        <f aca="false">MAX(0,MAX($E$2:E194))</f>
        <v>325.79815</v>
      </c>
      <c r="G194" s="28" t="n">
        <f aca="false">E194-F194</f>
        <v>-31.2377</v>
      </c>
      <c r="H194" s="25" t="n">
        <f aca="false">IF(G194&gt;=-0.0000001,A194,H193)</f>
        <v>46090</v>
      </c>
      <c r="I194" s="29" t="n">
        <f aca="false">IF(AND(G194&gt;=-0.0000001,G193&lt;0),1,0)</f>
        <v>0</v>
      </c>
      <c r="J194" s="30" t="str">
        <f aca="false">IF(I194=1,A194-H193,"")</f>
        <v/>
      </c>
      <c r="K194" s="27" t="n">
        <f aca="false">IF(B194="Wednesday",0,C194)</f>
        <v>-6877</v>
      </c>
      <c r="L194" s="28" t="n">
        <f aca="false">L193+K194/$T$1*100</f>
        <v>334.5964</v>
      </c>
      <c r="M194" s="28" t="n">
        <f aca="false">MAX(0,MAX($L$2:L194))</f>
        <v>364.49965</v>
      </c>
      <c r="N194" s="28" t="n">
        <f aca="false">L194-M194</f>
        <v>-29.90325</v>
      </c>
      <c r="O194" s="25" t="n">
        <f aca="false">IF(N194&gt;=-0.0000001,A194,O193)</f>
        <v>46090</v>
      </c>
      <c r="P194" s="29" t="n">
        <f aca="false">IF(AND(N194&gt;=-0.0000001,N193&lt;0),1,0)</f>
        <v>0</v>
      </c>
      <c r="Q194" s="30" t="str">
        <f aca="false">IF(P194=1,A194-O193,"")</f>
        <v/>
      </c>
    </row>
    <row r="195" customFormat="false" ht="15" hidden="false" customHeight="false" outlineLevel="0" collapsed="false">
      <c r="A195" s="25" t="n">
        <v>46105</v>
      </c>
      <c r="B195" s="26" t="s">
        <v>80</v>
      </c>
      <c r="C195" s="27" t="n">
        <v>-28099.5</v>
      </c>
      <c r="D195" s="28" t="n">
        <f aca="false">C195/$T$1*100</f>
        <v>-5.6199</v>
      </c>
      <c r="E195" s="28" t="n">
        <f aca="false">E194+D195</f>
        <v>288.94055</v>
      </c>
      <c r="F195" s="28" t="n">
        <f aca="false">MAX(0,MAX($E$2:E195))</f>
        <v>325.79815</v>
      </c>
      <c r="G195" s="28" t="n">
        <f aca="false">E195-F195</f>
        <v>-36.8575999999999</v>
      </c>
      <c r="H195" s="25" t="n">
        <f aca="false">IF(G195&gt;=-0.0000001,A195,H194)</f>
        <v>46090</v>
      </c>
      <c r="I195" s="29" t="n">
        <f aca="false">IF(AND(G195&gt;=-0.0000001,G194&lt;0),1,0)</f>
        <v>0</v>
      </c>
      <c r="J195" s="30" t="str">
        <f aca="false">IF(I195=1,A195-H194,"")</f>
        <v/>
      </c>
      <c r="K195" s="27" t="n">
        <f aca="false">IF(B195="Wednesday",0,C195)</f>
        <v>-28099.5</v>
      </c>
      <c r="L195" s="28" t="n">
        <f aca="false">L194+K195/$T$1*100</f>
        <v>328.9765</v>
      </c>
      <c r="M195" s="28" t="n">
        <f aca="false">MAX(0,MAX($L$2:L195))</f>
        <v>364.49965</v>
      </c>
      <c r="N195" s="28" t="n">
        <f aca="false">L195-M195</f>
        <v>-35.52315</v>
      </c>
      <c r="O195" s="25" t="n">
        <f aca="false">IF(N195&gt;=-0.0000001,A195,O194)</f>
        <v>46090</v>
      </c>
      <c r="P195" s="29" t="n">
        <f aca="false">IF(AND(N195&gt;=-0.0000001,N194&lt;0),1,0)</f>
        <v>0</v>
      </c>
      <c r="Q195" s="30" t="str">
        <f aca="false">IF(P195=1,A195-O194,"")</f>
        <v/>
      </c>
    </row>
    <row r="196" customFormat="false" ht="15" hidden="false" customHeight="false" outlineLevel="0" collapsed="false">
      <c r="A196" s="25" t="n">
        <v>46106</v>
      </c>
      <c r="B196" s="26" t="s">
        <v>81</v>
      </c>
      <c r="C196" s="27" t="n">
        <v>9438</v>
      </c>
      <c r="D196" s="28" t="n">
        <f aca="false">C196/$T$1*100</f>
        <v>1.8876</v>
      </c>
      <c r="E196" s="28" t="n">
        <f aca="false">E195+D196</f>
        <v>290.82815</v>
      </c>
      <c r="F196" s="28" t="n">
        <f aca="false">MAX(0,MAX($E$2:E196))</f>
        <v>325.79815</v>
      </c>
      <c r="G196" s="28" t="n">
        <f aca="false">E196-F196</f>
        <v>-34.9699999999999</v>
      </c>
      <c r="H196" s="25" t="n">
        <f aca="false">IF(G196&gt;=-0.0000001,A196,H195)</f>
        <v>46090</v>
      </c>
      <c r="I196" s="29" t="n">
        <f aca="false">IF(AND(G196&gt;=-0.0000001,G195&lt;0),1,0)</f>
        <v>0</v>
      </c>
      <c r="J196" s="30" t="str">
        <f aca="false">IF(I196=1,A196-H195,"")</f>
        <v/>
      </c>
      <c r="K196" s="27" t="n">
        <f aca="false">IF(B196="Wednesday",0,C196)</f>
        <v>0</v>
      </c>
      <c r="L196" s="28" t="n">
        <f aca="false">L195+K196/$T$1*100</f>
        <v>328.9765</v>
      </c>
      <c r="M196" s="28" t="n">
        <f aca="false">MAX(0,MAX($L$2:L196))</f>
        <v>364.49965</v>
      </c>
      <c r="N196" s="28" t="n">
        <f aca="false">L196-M196</f>
        <v>-35.52315</v>
      </c>
      <c r="O196" s="25" t="n">
        <f aca="false">IF(N196&gt;=-0.0000001,A196,O195)</f>
        <v>46090</v>
      </c>
      <c r="P196" s="29" t="n">
        <f aca="false">IF(AND(N196&gt;=-0.0000001,N195&lt;0),1,0)</f>
        <v>0</v>
      </c>
      <c r="Q196" s="30" t="str">
        <f aca="false">IF(P196=1,A196-O195,"")</f>
        <v/>
      </c>
    </row>
    <row r="197" customFormat="false" ht="15" hidden="false" customHeight="false" outlineLevel="0" collapsed="false">
      <c r="A197" s="25" t="n">
        <v>46108</v>
      </c>
      <c r="B197" s="26" t="s">
        <v>83</v>
      </c>
      <c r="C197" s="27" t="n">
        <v>27235</v>
      </c>
      <c r="D197" s="28" t="n">
        <f aca="false">C197/$T$1*100</f>
        <v>5.447</v>
      </c>
      <c r="E197" s="28" t="n">
        <f aca="false">E196+D197</f>
        <v>296.27515</v>
      </c>
      <c r="F197" s="28" t="n">
        <f aca="false">MAX(0,MAX($E$2:E197))</f>
        <v>325.79815</v>
      </c>
      <c r="G197" s="28" t="n">
        <f aca="false">E197-F197</f>
        <v>-29.5229999999999</v>
      </c>
      <c r="H197" s="25" t="n">
        <f aca="false">IF(G197&gt;=-0.0000001,A197,H196)</f>
        <v>46090</v>
      </c>
      <c r="I197" s="29" t="n">
        <f aca="false">IF(AND(G197&gt;=-0.0000001,G196&lt;0),1,0)</f>
        <v>0</v>
      </c>
      <c r="J197" s="30" t="str">
        <f aca="false">IF(I197=1,A197-H196,"")</f>
        <v/>
      </c>
      <c r="K197" s="27" t="n">
        <f aca="false">IF(B197="Wednesday",0,C197)</f>
        <v>27235</v>
      </c>
      <c r="L197" s="28" t="n">
        <f aca="false">L196+K197/$T$1*100</f>
        <v>334.4235</v>
      </c>
      <c r="M197" s="28" t="n">
        <f aca="false">MAX(0,MAX($L$2:L197))</f>
        <v>364.49965</v>
      </c>
      <c r="N197" s="28" t="n">
        <f aca="false">L197-M197</f>
        <v>-30.07615</v>
      </c>
      <c r="O197" s="25" t="n">
        <f aca="false">IF(N197&gt;=-0.0000001,A197,O196)</f>
        <v>46090</v>
      </c>
      <c r="P197" s="29" t="n">
        <f aca="false">IF(AND(N197&gt;=-0.0000001,N196&lt;0),1,0)</f>
        <v>0</v>
      </c>
      <c r="Q197" s="30" t="str">
        <f aca="false">IF(P197=1,A197-O196,"")</f>
        <v/>
      </c>
    </row>
    <row r="198" customFormat="false" ht="15" hidden="false" customHeight="false" outlineLevel="0" collapsed="false">
      <c r="A198" s="25" t="n">
        <v>46113</v>
      </c>
      <c r="B198" s="26" t="s">
        <v>81</v>
      </c>
      <c r="C198" s="27" t="n">
        <v>3792.75</v>
      </c>
      <c r="D198" s="28" t="n">
        <f aca="false">C198/$T$1*100</f>
        <v>0.75855</v>
      </c>
      <c r="E198" s="28" t="n">
        <f aca="false">E197+D198</f>
        <v>297.0337</v>
      </c>
      <c r="F198" s="28" t="n">
        <f aca="false">MAX(0,MAX($E$2:E198))</f>
        <v>325.79815</v>
      </c>
      <c r="G198" s="28" t="n">
        <f aca="false">E198-F198</f>
        <v>-28.7644499999999</v>
      </c>
      <c r="H198" s="25" t="n">
        <f aca="false">IF(G198&gt;=-0.0000001,A198,H197)</f>
        <v>46090</v>
      </c>
      <c r="I198" s="29" t="n">
        <f aca="false">IF(AND(G198&gt;=-0.0000001,G197&lt;0),1,0)</f>
        <v>0</v>
      </c>
      <c r="J198" s="30" t="str">
        <f aca="false">IF(I198=1,A198-H197,"")</f>
        <v/>
      </c>
      <c r="K198" s="27" t="n">
        <f aca="false">IF(B198="Wednesday",0,C198)</f>
        <v>0</v>
      </c>
      <c r="L198" s="28" t="n">
        <f aca="false">L197+K198/$T$1*100</f>
        <v>334.4235</v>
      </c>
      <c r="M198" s="28" t="n">
        <f aca="false">MAX(0,MAX($L$2:L198))</f>
        <v>364.49965</v>
      </c>
      <c r="N198" s="28" t="n">
        <f aca="false">L198-M198</f>
        <v>-30.07615</v>
      </c>
      <c r="O198" s="25" t="n">
        <f aca="false">IF(N198&gt;=-0.0000001,A198,O197)</f>
        <v>46090</v>
      </c>
      <c r="P198" s="29" t="n">
        <f aca="false">IF(AND(N198&gt;=-0.0000001,N197&lt;0),1,0)</f>
        <v>0</v>
      </c>
      <c r="Q198" s="30" t="str">
        <f aca="false">IF(P198=1,A198-O197,"")</f>
        <v/>
      </c>
    </row>
    <row r="199" customFormat="false" ht="15" hidden="false" customHeight="false" outlineLevel="0" collapsed="false">
      <c r="A199" s="25" t="n">
        <v>46114</v>
      </c>
      <c r="B199" s="26" t="s">
        <v>82</v>
      </c>
      <c r="C199" s="27" t="n">
        <v>-36455.25</v>
      </c>
      <c r="D199" s="28" t="n">
        <f aca="false">C199/$T$1*100</f>
        <v>-7.29105</v>
      </c>
      <c r="E199" s="28" t="n">
        <f aca="false">E198+D199</f>
        <v>289.74265</v>
      </c>
      <c r="F199" s="28" t="n">
        <f aca="false">MAX(0,MAX($E$2:E199))</f>
        <v>325.79815</v>
      </c>
      <c r="G199" s="28" t="n">
        <f aca="false">E199-F199</f>
        <v>-36.0554999999999</v>
      </c>
      <c r="H199" s="25" t="n">
        <f aca="false">IF(G199&gt;=-0.0000001,A199,H198)</f>
        <v>46090</v>
      </c>
      <c r="I199" s="29" t="n">
        <f aca="false">IF(AND(G199&gt;=-0.0000001,G198&lt;0),1,0)</f>
        <v>0</v>
      </c>
      <c r="J199" s="30" t="str">
        <f aca="false">IF(I199=1,A199-H198,"")</f>
        <v/>
      </c>
      <c r="K199" s="27" t="n">
        <f aca="false">IF(B199="Wednesday",0,C199)</f>
        <v>-36455.25</v>
      </c>
      <c r="L199" s="28" t="n">
        <f aca="false">L198+K199/$T$1*100</f>
        <v>327.13245</v>
      </c>
      <c r="M199" s="28" t="n">
        <f aca="false">MAX(0,MAX($L$2:L199))</f>
        <v>364.49965</v>
      </c>
      <c r="N199" s="28" t="n">
        <f aca="false">L199-M199</f>
        <v>-37.3672</v>
      </c>
      <c r="O199" s="25" t="n">
        <f aca="false">IF(N199&gt;=-0.0000001,A199,O198)</f>
        <v>46090</v>
      </c>
      <c r="P199" s="29" t="n">
        <f aca="false">IF(AND(N199&gt;=-0.0000001,N198&lt;0),1,0)</f>
        <v>0</v>
      </c>
      <c r="Q199" s="30" t="str">
        <f aca="false">IF(P199=1,A199-O198,"")</f>
        <v/>
      </c>
    </row>
    <row r="200" customFormat="false" ht="15" hidden="false" customHeight="false" outlineLevel="0" collapsed="false">
      <c r="A200" s="25" t="n">
        <v>46118</v>
      </c>
      <c r="B200" s="26" t="s">
        <v>79</v>
      </c>
      <c r="C200" s="27" t="n">
        <v>53413.75</v>
      </c>
      <c r="D200" s="28" t="n">
        <f aca="false">C200/$T$1*100</f>
        <v>10.68275</v>
      </c>
      <c r="E200" s="28" t="n">
        <f aca="false">E199+D200</f>
        <v>300.4254</v>
      </c>
      <c r="F200" s="28" t="n">
        <f aca="false">MAX(0,MAX($E$2:E200))</f>
        <v>325.79815</v>
      </c>
      <c r="G200" s="28" t="n">
        <f aca="false">E200-F200</f>
        <v>-25.3727499999999</v>
      </c>
      <c r="H200" s="25" t="n">
        <f aca="false">IF(G200&gt;=-0.0000001,A200,H199)</f>
        <v>46090</v>
      </c>
      <c r="I200" s="29" t="n">
        <f aca="false">IF(AND(G200&gt;=-0.0000001,G199&lt;0),1,0)</f>
        <v>0</v>
      </c>
      <c r="J200" s="30" t="str">
        <f aca="false">IF(I200=1,A200-H199,"")</f>
        <v/>
      </c>
      <c r="K200" s="27" t="n">
        <f aca="false">IF(B200="Wednesday",0,C200)</f>
        <v>53413.75</v>
      </c>
      <c r="L200" s="28" t="n">
        <f aca="false">L199+K200/$T$1*100</f>
        <v>337.8152</v>
      </c>
      <c r="M200" s="28" t="n">
        <f aca="false">MAX(0,MAX($L$2:L200))</f>
        <v>364.49965</v>
      </c>
      <c r="N200" s="28" t="n">
        <f aca="false">L200-M200</f>
        <v>-26.68445</v>
      </c>
      <c r="O200" s="25" t="n">
        <f aca="false">IF(N200&gt;=-0.0000001,A200,O199)</f>
        <v>46090</v>
      </c>
      <c r="P200" s="29" t="n">
        <f aca="false">IF(AND(N200&gt;=-0.0000001,N199&lt;0),1,0)</f>
        <v>0</v>
      </c>
      <c r="Q200" s="30" t="str">
        <f aca="false">IF(P200=1,A200-O199,"")</f>
        <v/>
      </c>
    </row>
    <row r="201" customFormat="false" ht="15" hidden="false" customHeight="false" outlineLevel="0" collapsed="false">
      <c r="A201" s="25" t="n">
        <v>46119</v>
      </c>
      <c r="B201" s="26" t="s">
        <v>80</v>
      </c>
      <c r="C201" s="27" t="n">
        <v>-29562</v>
      </c>
      <c r="D201" s="28" t="n">
        <f aca="false">C201/$T$1*100</f>
        <v>-5.9124</v>
      </c>
      <c r="E201" s="28" t="n">
        <f aca="false">E200+D201</f>
        <v>294.513</v>
      </c>
      <c r="F201" s="28" t="n">
        <f aca="false">MAX(0,MAX($E$2:E201))</f>
        <v>325.79815</v>
      </c>
      <c r="G201" s="28" t="n">
        <f aca="false">E201-F201</f>
        <v>-31.2851499999999</v>
      </c>
      <c r="H201" s="25" t="n">
        <f aca="false">IF(G201&gt;=-0.0000001,A201,H200)</f>
        <v>46090</v>
      </c>
      <c r="I201" s="29" t="n">
        <f aca="false">IF(AND(G201&gt;=-0.0000001,G200&lt;0),1,0)</f>
        <v>0</v>
      </c>
      <c r="J201" s="30" t="str">
        <f aca="false">IF(I201=1,A201-H200,"")</f>
        <v/>
      </c>
      <c r="K201" s="27" t="n">
        <f aca="false">IF(B201="Wednesday",0,C201)</f>
        <v>-29562</v>
      </c>
      <c r="L201" s="28" t="n">
        <f aca="false">L200+K201/$T$1*100</f>
        <v>331.9028</v>
      </c>
      <c r="M201" s="28" t="n">
        <f aca="false">MAX(0,MAX($L$2:L201))</f>
        <v>364.49965</v>
      </c>
      <c r="N201" s="28" t="n">
        <f aca="false">L201-M201</f>
        <v>-32.59685</v>
      </c>
      <c r="O201" s="25" t="n">
        <f aca="false">IF(N201&gt;=-0.0000001,A201,O200)</f>
        <v>46090</v>
      </c>
      <c r="P201" s="29" t="n">
        <f aca="false">IF(AND(N201&gt;=-0.0000001,N200&lt;0),1,0)</f>
        <v>0</v>
      </c>
      <c r="Q201" s="30" t="str">
        <f aca="false">IF(P201=1,A201-O200,"")</f>
        <v/>
      </c>
    </row>
    <row r="202" customFormat="false" ht="15" hidden="false" customHeight="false" outlineLevel="0" collapsed="false">
      <c r="A202" s="25" t="n">
        <v>46120</v>
      </c>
      <c r="B202" s="26" t="s">
        <v>81</v>
      </c>
      <c r="C202" s="27" t="n">
        <v>5681</v>
      </c>
      <c r="D202" s="28" t="n">
        <f aca="false">C202/$T$1*100</f>
        <v>1.1362</v>
      </c>
      <c r="E202" s="28" t="n">
        <f aca="false">E201+D202</f>
        <v>295.6492</v>
      </c>
      <c r="F202" s="28" t="n">
        <f aca="false">MAX(0,MAX($E$2:E202))</f>
        <v>325.79815</v>
      </c>
      <c r="G202" s="28" t="n">
        <f aca="false">E202-F202</f>
        <v>-30.1489499999999</v>
      </c>
      <c r="H202" s="25" t="n">
        <f aca="false">IF(G202&gt;=-0.0000001,A202,H201)</f>
        <v>46090</v>
      </c>
      <c r="I202" s="29" t="n">
        <f aca="false">IF(AND(G202&gt;=-0.0000001,G201&lt;0),1,0)</f>
        <v>0</v>
      </c>
      <c r="J202" s="30" t="str">
        <f aca="false">IF(I202=1,A202-H201,"")</f>
        <v/>
      </c>
      <c r="K202" s="27" t="n">
        <f aca="false">IF(B202="Wednesday",0,C202)</f>
        <v>0</v>
      </c>
      <c r="L202" s="28" t="n">
        <f aca="false">L201+K202/$T$1*100</f>
        <v>331.9028</v>
      </c>
      <c r="M202" s="28" t="n">
        <f aca="false">MAX(0,MAX($L$2:L202))</f>
        <v>364.49965</v>
      </c>
      <c r="N202" s="28" t="n">
        <f aca="false">L202-M202</f>
        <v>-32.59685</v>
      </c>
      <c r="O202" s="25" t="n">
        <f aca="false">IF(N202&gt;=-0.0000001,A202,O201)</f>
        <v>46090</v>
      </c>
      <c r="P202" s="29" t="n">
        <f aca="false">IF(AND(N202&gt;=-0.0000001,N201&lt;0),1,0)</f>
        <v>0</v>
      </c>
      <c r="Q202" s="30" t="str">
        <f aca="false">IF(P202=1,A202-O201,"")</f>
        <v/>
      </c>
    </row>
    <row r="203" customFormat="false" ht="15" hidden="false" customHeight="false" outlineLevel="0" collapsed="false">
      <c r="A203" s="25" t="n">
        <v>46121</v>
      </c>
      <c r="B203" s="26" t="s">
        <v>82</v>
      </c>
      <c r="C203" s="27" t="n">
        <v>-27755</v>
      </c>
      <c r="D203" s="28" t="n">
        <f aca="false">C203/$T$1*100</f>
        <v>-5.551</v>
      </c>
      <c r="E203" s="28" t="n">
        <f aca="false">E202+D203</f>
        <v>290.0982</v>
      </c>
      <c r="F203" s="28" t="n">
        <f aca="false">MAX(0,MAX($E$2:E203))</f>
        <v>325.79815</v>
      </c>
      <c r="G203" s="28" t="n">
        <f aca="false">E203-F203</f>
        <v>-35.6999499999999</v>
      </c>
      <c r="H203" s="25" t="n">
        <f aca="false">IF(G203&gt;=-0.0000001,A203,H202)</f>
        <v>46090</v>
      </c>
      <c r="I203" s="29" t="n">
        <f aca="false">IF(AND(G203&gt;=-0.0000001,G202&lt;0),1,0)</f>
        <v>0</v>
      </c>
      <c r="J203" s="30" t="str">
        <f aca="false">IF(I203=1,A203-H202,"")</f>
        <v/>
      </c>
      <c r="K203" s="27" t="n">
        <f aca="false">IF(B203="Wednesday",0,C203)</f>
        <v>-27755</v>
      </c>
      <c r="L203" s="28" t="n">
        <f aca="false">L202+K203/$T$1*100</f>
        <v>326.3518</v>
      </c>
      <c r="M203" s="28" t="n">
        <f aca="false">MAX(0,MAX($L$2:L203))</f>
        <v>364.49965</v>
      </c>
      <c r="N203" s="28" t="n">
        <f aca="false">L203-M203</f>
        <v>-38.14785</v>
      </c>
      <c r="O203" s="25" t="n">
        <f aca="false">IF(N203&gt;=-0.0000001,A203,O202)</f>
        <v>46090</v>
      </c>
      <c r="P203" s="29" t="n">
        <f aca="false">IF(AND(N203&gt;=-0.0000001,N202&lt;0),1,0)</f>
        <v>0</v>
      </c>
      <c r="Q203" s="30" t="str">
        <f aca="false">IF(P203=1,A203-O202,"")</f>
        <v/>
      </c>
    </row>
    <row r="204" customFormat="false" ht="15" hidden="false" customHeight="false" outlineLevel="0" collapsed="false">
      <c r="A204" s="25" t="n">
        <v>46122</v>
      </c>
      <c r="B204" s="26" t="s">
        <v>83</v>
      </c>
      <c r="C204" s="27" t="n">
        <v>-1618.5</v>
      </c>
      <c r="D204" s="28" t="n">
        <f aca="false">C204/$T$1*100</f>
        <v>-0.3237</v>
      </c>
      <c r="E204" s="28" t="n">
        <f aca="false">E203+D204</f>
        <v>289.7745</v>
      </c>
      <c r="F204" s="28" t="n">
        <f aca="false">MAX(0,MAX($E$2:E204))</f>
        <v>325.79815</v>
      </c>
      <c r="G204" s="28" t="n">
        <f aca="false">E204-F204</f>
        <v>-36.0236499999999</v>
      </c>
      <c r="H204" s="25" t="n">
        <f aca="false">IF(G204&gt;=-0.0000001,A204,H203)</f>
        <v>46090</v>
      </c>
      <c r="I204" s="29" t="n">
        <f aca="false">IF(AND(G204&gt;=-0.0000001,G203&lt;0),1,0)</f>
        <v>0</v>
      </c>
      <c r="J204" s="30" t="str">
        <f aca="false">IF(I204=1,A204-H203,"")</f>
        <v/>
      </c>
      <c r="K204" s="27" t="n">
        <f aca="false">IF(B204="Wednesday",0,C204)</f>
        <v>-1618.5</v>
      </c>
      <c r="L204" s="28" t="n">
        <f aca="false">L203+K204/$T$1*100</f>
        <v>326.0281</v>
      </c>
      <c r="M204" s="28" t="n">
        <f aca="false">MAX(0,MAX($L$2:L204))</f>
        <v>364.49965</v>
      </c>
      <c r="N204" s="28" t="n">
        <f aca="false">L204-M204</f>
        <v>-38.4715499999999</v>
      </c>
      <c r="O204" s="25" t="n">
        <f aca="false">IF(N204&gt;=-0.0000001,A204,O203)</f>
        <v>46090</v>
      </c>
      <c r="P204" s="29" t="n">
        <f aca="false">IF(AND(N204&gt;=-0.0000001,N203&lt;0),1,0)</f>
        <v>0</v>
      </c>
      <c r="Q204" s="30" t="str">
        <f aca="false">IF(P204=1,A204-O203,"")</f>
        <v/>
      </c>
    </row>
    <row r="205" customFormat="false" ht="15" hidden="false" customHeight="false" outlineLevel="0" collapsed="false">
      <c r="A205" s="25" t="n">
        <v>46125</v>
      </c>
      <c r="B205" s="26" t="s">
        <v>79</v>
      </c>
      <c r="C205" s="27" t="n">
        <v>75822.5</v>
      </c>
      <c r="D205" s="28" t="n">
        <f aca="false">C205/$T$1*100</f>
        <v>15.1645</v>
      </c>
      <c r="E205" s="28" t="n">
        <f aca="false">E204+D205</f>
        <v>304.939</v>
      </c>
      <c r="F205" s="28" t="n">
        <f aca="false">MAX(0,MAX($E$2:E205))</f>
        <v>325.79815</v>
      </c>
      <c r="G205" s="28" t="n">
        <f aca="false">E205-F205</f>
        <v>-20.8591499999999</v>
      </c>
      <c r="H205" s="25" t="n">
        <f aca="false">IF(G205&gt;=-0.0000001,A205,H204)</f>
        <v>46090</v>
      </c>
      <c r="I205" s="29" t="n">
        <f aca="false">IF(AND(G205&gt;=-0.0000001,G204&lt;0),1,0)</f>
        <v>0</v>
      </c>
      <c r="J205" s="30" t="str">
        <f aca="false">IF(I205=1,A205-H204,"")</f>
        <v/>
      </c>
      <c r="K205" s="27" t="n">
        <f aca="false">IF(B205="Wednesday",0,C205)</f>
        <v>75822.5</v>
      </c>
      <c r="L205" s="28" t="n">
        <f aca="false">L204+K205/$T$1*100</f>
        <v>341.1926</v>
      </c>
      <c r="M205" s="28" t="n">
        <f aca="false">MAX(0,MAX($L$2:L205))</f>
        <v>364.49965</v>
      </c>
      <c r="N205" s="28" t="n">
        <f aca="false">L205-M205</f>
        <v>-23.3070499999999</v>
      </c>
      <c r="O205" s="25" t="n">
        <f aca="false">IF(N205&gt;=-0.0000001,A205,O204)</f>
        <v>46090</v>
      </c>
      <c r="P205" s="29" t="n">
        <f aca="false">IF(AND(N205&gt;=-0.0000001,N204&lt;0),1,0)</f>
        <v>0</v>
      </c>
      <c r="Q205" s="30" t="str">
        <f aca="false">IF(P205=1,A205-O204,"")</f>
        <v/>
      </c>
    </row>
    <row r="206" customFormat="false" ht="15" hidden="false" customHeight="false" outlineLevel="0" collapsed="false">
      <c r="A206" s="25" t="n">
        <v>46127</v>
      </c>
      <c r="B206" s="26" t="s">
        <v>81</v>
      </c>
      <c r="C206" s="27" t="n">
        <v>4436.25</v>
      </c>
      <c r="D206" s="28" t="n">
        <f aca="false">C206/$T$1*100</f>
        <v>0.88725</v>
      </c>
      <c r="E206" s="28" t="n">
        <f aca="false">E205+D206</f>
        <v>305.82625</v>
      </c>
      <c r="F206" s="28" t="n">
        <f aca="false">MAX(0,MAX($E$2:E206))</f>
        <v>325.79815</v>
      </c>
      <c r="G206" s="28" t="n">
        <f aca="false">E206-F206</f>
        <v>-19.9718999999999</v>
      </c>
      <c r="H206" s="25" t="n">
        <f aca="false">IF(G206&gt;=-0.0000001,A206,H205)</f>
        <v>46090</v>
      </c>
      <c r="I206" s="29" t="n">
        <f aca="false">IF(AND(G206&gt;=-0.0000001,G205&lt;0),1,0)</f>
        <v>0</v>
      </c>
      <c r="J206" s="30" t="str">
        <f aca="false">IF(I206=1,A206-H205,"")</f>
        <v/>
      </c>
      <c r="K206" s="27" t="n">
        <f aca="false">IF(B206="Wednesday",0,C206)</f>
        <v>0</v>
      </c>
      <c r="L206" s="28" t="n">
        <f aca="false">L205+K206/$T$1*100</f>
        <v>341.1926</v>
      </c>
      <c r="M206" s="28" t="n">
        <f aca="false">MAX(0,MAX($L$2:L206))</f>
        <v>364.49965</v>
      </c>
      <c r="N206" s="28" t="n">
        <f aca="false">L206-M206</f>
        <v>-23.3070499999999</v>
      </c>
      <c r="O206" s="25" t="n">
        <f aca="false">IF(N206&gt;=-0.0000001,A206,O205)</f>
        <v>46090</v>
      </c>
      <c r="P206" s="29" t="n">
        <f aca="false">IF(AND(N206&gt;=-0.0000001,N205&lt;0),1,0)</f>
        <v>0</v>
      </c>
      <c r="Q206" s="30" t="str">
        <f aca="false">IF(P206=1,A206-O205,"")</f>
        <v/>
      </c>
    </row>
    <row r="207" customFormat="false" ht="15" hidden="false" customHeight="false" outlineLevel="0" collapsed="false">
      <c r="A207" s="25" t="n">
        <v>46128</v>
      </c>
      <c r="B207" s="26" t="s">
        <v>82</v>
      </c>
      <c r="C207" s="27" t="n">
        <v>8970</v>
      </c>
      <c r="D207" s="28" t="n">
        <f aca="false">C207/$T$1*100</f>
        <v>1.794</v>
      </c>
      <c r="E207" s="28" t="n">
        <f aca="false">E206+D207</f>
        <v>307.62025</v>
      </c>
      <c r="F207" s="28" t="n">
        <f aca="false">MAX(0,MAX($E$2:E207))</f>
        <v>325.79815</v>
      </c>
      <c r="G207" s="28" t="n">
        <f aca="false">E207-F207</f>
        <v>-18.1778999999999</v>
      </c>
      <c r="H207" s="25" t="n">
        <f aca="false">IF(G207&gt;=-0.0000001,A207,H206)</f>
        <v>46090</v>
      </c>
      <c r="I207" s="29" t="n">
        <f aca="false">IF(AND(G207&gt;=-0.0000001,G206&lt;0),1,0)</f>
        <v>0</v>
      </c>
      <c r="J207" s="30" t="str">
        <f aca="false">IF(I207=1,A207-H206,"")</f>
        <v/>
      </c>
      <c r="K207" s="27" t="n">
        <f aca="false">IF(B207="Wednesday",0,C207)</f>
        <v>8970</v>
      </c>
      <c r="L207" s="28" t="n">
        <f aca="false">L206+K207/$T$1*100</f>
        <v>342.9866</v>
      </c>
      <c r="M207" s="28" t="n">
        <f aca="false">MAX(0,MAX($L$2:L207))</f>
        <v>364.49965</v>
      </c>
      <c r="N207" s="28" t="n">
        <f aca="false">L207-M207</f>
        <v>-21.51305</v>
      </c>
      <c r="O207" s="25" t="n">
        <f aca="false">IF(N207&gt;=-0.0000001,A207,O206)</f>
        <v>46090</v>
      </c>
      <c r="P207" s="29" t="n">
        <f aca="false">IF(AND(N207&gt;=-0.0000001,N206&lt;0),1,0)</f>
        <v>0</v>
      </c>
      <c r="Q207" s="30" t="str">
        <f aca="false">IF(P207=1,A207-O206,"")</f>
        <v/>
      </c>
    </row>
    <row r="208" customFormat="false" ht="15" hidden="false" customHeight="false" outlineLevel="0" collapsed="false">
      <c r="A208" s="25" t="n">
        <v>46129</v>
      </c>
      <c r="B208" s="26" t="s">
        <v>83</v>
      </c>
      <c r="C208" s="27" t="n">
        <v>-20514</v>
      </c>
      <c r="D208" s="28" t="n">
        <f aca="false">C208/$T$1*100</f>
        <v>-4.1028</v>
      </c>
      <c r="E208" s="28" t="n">
        <f aca="false">E207+D208</f>
        <v>303.51745</v>
      </c>
      <c r="F208" s="28" t="n">
        <f aca="false">MAX(0,MAX($E$2:E208))</f>
        <v>325.79815</v>
      </c>
      <c r="G208" s="28" t="n">
        <f aca="false">E208-F208</f>
        <v>-22.2806999999999</v>
      </c>
      <c r="H208" s="25" t="n">
        <f aca="false">IF(G208&gt;=-0.0000001,A208,H207)</f>
        <v>46090</v>
      </c>
      <c r="I208" s="29" t="n">
        <f aca="false">IF(AND(G208&gt;=-0.0000001,G207&lt;0),1,0)</f>
        <v>0</v>
      </c>
      <c r="J208" s="30" t="str">
        <f aca="false">IF(I208=1,A208-H207,"")</f>
        <v/>
      </c>
      <c r="K208" s="27" t="n">
        <f aca="false">IF(B208="Wednesday",0,C208)</f>
        <v>-20514</v>
      </c>
      <c r="L208" s="28" t="n">
        <f aca="false">L207+K208/$T$1*100</f>
        <v>338.8838</v>
      </c>
      <c r="M208" s="28" t="n">
        <f aca="false">MAX(0,MAX($L$2:L208))</f>
        <v>364.49965</v>
      </c>
      <c r="N208" s="28" t="n">
        <f aca="false">L208-M208</f>
        <v>-25.61585</v>
      </c>
      <c r="O208" s="25" t="n">
        <f aca="false">IF(N208&gt;=-0.0000001,A208,O207)</f>
        <v>46090</v>
      </c>
      <c r="P208" s="29" t="n">
        <f aca="false">IF(AND(N208&gt;=-0.0000001,N207&lt;0),1,0)</f>
        <v>0</v>
      </c>
      <c r="Q208" s="30" t="str">
        <f aca="false">IF(P208=1,A208-O207,"")</f>
        <v/>
      </c>
    </row>
    <row r="209" customFormat="false" ht="15" hidden="false" customHeight="false" outlineLevel="0" collapsed="false">
      <c r="A209" s="25" t="n">
        <v>46132</v>
      </c>
      <c r="B209" s="26" t="s">
        <v>79</v>
      </c>
      <c r="C209" s="27" t="n">
        <v>3744</v>
      </c>
      <c r="D209" s="28" t="n">
        <f aca="false">C209/$T$1*100</f>
        <v>0.7488</v>
      </c>
      <c r="E209" s="28" t="n">
        <f aca="false">E208+D209</f>
        <v>304.26625</v>
      </c>
      <c r="F209" s="28" t="n">
        <f aca="false">MAX(0,MAX($E$2:E209))</f>
        <v>325.79815</v>
      </c>
      <c r="G209" s="28" t="n">
        <f aca="false">E209-F209</f>
        <v>-21.5318999999999</v>
      </c>
      <c r="H209" s="25" t="n">
        <f aca="false">IF(G209&gt;=-0.0000001,A209,H208)</f>
        <v>46090</v>
      </c>
      <c r="I209" s="29" t="n">
        <f aca="false">IF(AND(G209&gt;=-0.0000001,G208&lt;0),1,0)</f>
        <v>0</v>
      </c>
      <c r="J209" s="30" t="str">
        <f aca="false">IF(I209=1,A209-H208,"")</f>
        <v/>
      </c>
      <c r="K209" s="27" t="n">
        <f aca="false">IF(B209="Wednesday",0,C209)</f>
        <v>3744</v>
      </c>
      <c r="L209" s="28" t="n">
        <f aca="false">L208+K209/$T$1*100</f>
        <v>339.6326</v>
      </c>
      <c r="M209" s="28" t="n">
        <f aca="false">MAX(0,MAX($L$2:L209))</f>
        <v>364.49965</v>
      </c>
      <c r="N209" s="28" t="n">
        <f aca="false">L209-M209</f>
        <v>-24.86705</v>
      </c>
      <c r="O209" s="25" t="n">
        <f aca="false">IF(N209&gt;=-0.0000001,A209,O208)</f>
        <v>46090</v>
      </c>
      <c r="P209" s="29" t="n">
        <f aca="false">IF(AND(N209&gt;=-0.0000001,N208&lt;0),1,0)</f>
        <v>0</v>
      </c>
      <c r="Q209" s="30" t="str">
        <f aca="false">IF(P209=1,A209-O208,"")</f>
        <v/>
      </c>
    </row>
    <row r="210" customFormat="false" ht="15" hidden="false" customHeight="false" outlineLevel="0" collapsed="false">
      <c r="A210" s="25" t="n">
        <v>46134</v>
      </c>
      <c r="B210" s="26" t="s">
        <v>81</v>
      </c>
      <c r="C210" s="27" t="n">
        <v>1534</v>
      </c>
      <c r="D210" s="28" t="n">
        <f aca="false">C210/$T$1*100</f>
        <v>0.3068</v>
      </c>
      <c r="E210" s="28" t="n">
        <f aca="false">E209+D210</f>
        <v>304.57305</v>
      </c>
      <c r="F210" s="28" t="n">
        <f aca="false">MAX(0,MAX($E$2:E210))</f>
        <v>325.79815</v>
      </c>
      <c r="G210" s="28" t="n">
        <f aca="false">E210-F210</f>
        <v>-21.2250999999999</v>
      </c>
      <c r="H210" s="25" t="n">
        <f aca="false">IF(G210&gt;=-0.0000001,A210,H209)</f>
        <v>46090</v>
      </c>
      <c r="I210" s="29" t="n">
        <f aca="false">IF(AND(G210&gt;=-0.0000001,G209&lt;0),1,0)</f>
        <v>0</v>
      </c>
      <c r="J210" s="30" t="str">
        <f aca="false">IF(I210=1,A210-H209,"")</f>
        <v/>
      </c>
      <c r="K210" s="27" t="n">
        <f aca="false">IF(B210="Wednesday",0,C210)</f>
        <v>0</v>
      </c>
      <c r="L210" s="28" t="n">
        <f aca="false">L209+K210/$T$1*100</f>
        <v>339.6326</v>
      </c>
      <c r="M210" s="28" t="n">
        <f aca="false">MAX(0,MAX($L$2:L210))</f>
        <v>364.49965</v>
      </c>
      <c r="N210" s="28" t="n">
        <f aca="false">L210-M210</f>
        <v>-24.86705</v>
      </c>
      <c r="O210" s="25" t="n">
        <f aca="false">IF(N210&gt;=-0.0000001,A210,O209)</f>
        <v>46090</v>
      </c>
      <c r="P210" s="29" t="n">
        <f aca="false">IF(AND(N210&gt;=-0.0000001,N209&lt;0),1,0)</f>
        <v>0</v>
      </c>
      <c r="Q210" s="30" t="str">
        <f aca="false">IF(P210=1,A210-O209,"")</f>
        <v/>
      </c>
    </row>
    <row r="211" customFormat="false" ht="15" hidden="false" customHeight="false" outlineLevel="0" collapsed="false">
      <c r="A211" s="25" t="n">
        <v>46135</v>
      </c>
      <c r="B211" s="26" t="s">
        <v>82</v>
      </c>
      <c r="C211" s="27" t="n">
        <v>-23185.5</v>
      </c>
      <c r="D211" s="28" t="n">
        <f aca="false">C211/$T$1*100</f>
        <v>-4.6371</v>
      </c>
      <c r="E211" s="28" t="n">
        <f aca="false">E210+D211</f>
        <v>299.93595</v>
      </c>
      <c r="F211" s="28" t="n">
        <f aca="false">MAX(0,MAX($E$2:E211))</f>
        <v>325.79815</v>
      </c>
      <c r="G211" s="28" t="n">
        <f aca="false">E211-F211</f>
        <v>-25.8621999999999</v>
      </c>
      <c r="H211" s="25" t="n">
        <f aca="false">IF(G211&gt;=-0.0000001,A211,H210)</f>
        <v>46090</v>
      </c>
      <c r="I211" s="29" t="n">
        <f aca="false">IF(AND(G211&gt;=-0.0000001,G210&lt;0),1,0)</f>
        <v>0</v>
      </c>
      <c r="J211" s="30" t="str">
        <f aca="false">IF(I211=1,A211-H210,"")</f>
        <v/>
      </c>
      <c r="K211" s="27" t="n">
        <f aca="false">IF(B211="Wednesday",0,C211)</f>
        <v>-23185.5</v>
      </c>
      <c r="L211" s="28" t="n">
        <f aca="false">L210+K211/$T$1*100</f>
        <v>334.9955</v>
      </c>
      <c r="M211" s="28" t="n">
        <f aca="false">MAX(0,MAX($L$2:L211))</f>
        <v>364.49965</v>
      </c>
      <c r="N211" s="28" t="n">
        <f aca="false">L211-M211</f>
        <v>-29.5041499999999</v>
      </c>
      <c r="O211" s="25" t="n">
        <f aca="false">IF(N211&gt;=-0.0000001,A211,O210)</f>
        <v>46090</v>
      </c>
      <c r="P211" s="29" t="n">
        <f aca="false">IF(AND(N211&gt;=-0.0000001,N210&lt;0),1,0)</f>
        <v>0</v>
      </c>
      <c r="Q211" s="30" t="str">
        <f aca="false">IF(P211=1,A211-O210,"")</f>
        <v/>
      </c>
    </row>
    <row r="212" customFormat="false" ht="15" hidden="false" customHeight="false" outlineLevel="0" collapsed="false">
      <c r="A212" s="25" t="n">
        <v>46136</v>
      </c>
      <c r="B212" s="26" t="s">
        <v>83</v>
      </c>
      <c r="C212" s="27" t="n">
        <v>12353.25</v>
      </c>
      <c r="D212" s="28" t="n">
        <f aca="false">C212/$T$1*100</f>
        <v>2.47065</v>
      </c>
      <c r="E212" s="28" t="n">
        <f aca="false">E211+D212</f>
        <v>302.4066</v>
      </c>
      <c r="F212" s="28" t="n">
        <f aca="false">MAX(0,MAX($E$2:E212))</f>
        <v>325.79815</v>
      </c>
      <c r="G212" s="28" t="n">
        <f aca="false">E212-F212</f>
        <v>-23.3915499999999</v>
      </c>
      <c r="H212" s="25" t="n">
        <f aca="false">IF(G212&gt;=-0.0000001,A212,H211)</f>
        <v>46090</v>
      </c>
      <c r="I212" s="29" t="n">
        <f aca="false">IF(AND(G212&gt;=-0.0000001,G211&lt;0),1,0)</f>
        <v>0</v>
      </c>
      <c r="J212" s="30" t="str">
        <f aca="false">IF(I212=1,A212-H211,"")</f>
        <v/>
      </c>
      <c r="K212" s="27" t="n">
        <f aca="false">IF(B212="Wednesday",0,C212)</f>
        <v>12353.25</v>
      </c>
      <c r="L212" s="28" t="n">
        <f aca="false">L211+K212/$T$1*100</f>
        <v>337.46615</v>
      </c>
      <c r="M212" s="28" t="n">
        <f aca="false">MAX(0,MAX($L$2:L212))</f>
        <v>364.49965</v>
      </c>
      <c r="N212" s="28" t="n">
        <f aca="false">L212-M212</f>
        <v>-27.0334999999999</v>
      </c>
      <c r="O212" s="25" t="n">
        <f aca="false">IF(N212&gt;=-0.0000001,A212,O211)</f>
        <v>46090</v>
      </c>
      <c r="P212" s="29" t="n">
        <f aca="false">IF(AND(N212&gt;=-0.0000001,N211&lt;0),1,0)</f>
        <v>0</v>
      </c>
      <c r="Q212" s="30" t="str">
        <f aca="false">IF(P212=1,A212-O211,"")</f>
        <v/>
      </c>
    </row>
    <row r="213" customFormat="false" ht="15" hidden="false" customHeight="false" outlineLevel="0" collapsed="false">
      <c r="A213" s="25" t="n">
        <v>46139</v>
      </c>
      <c r="B213" s="26" t="s">
        <v>79</v>
      </c>
      <c r="C213" s="27" t="n">
        <v>-12603.5</v>
      </c>
      <c r="D213" s="28" t="n">
        <f aca="false">C213/$T$1*100</f>
        <v>-2.5207</v>
      </c>
      <c r="E213" s="28" t="n">
        <f aca="false">E212+D213</f>
        <v>299.8859</v>
      </c>
      <c r="F213" s="28" t="n">
        <f aca="false">MAX(0,MAX($E$2:E213))</f>
        <v>325.79815</v>
      </c>
      <c r="G213" s="28" t="n">
        <f aca="false">E213-F213</f>
        <v>-25.9122499999999</v>
      </c>
      <c r="H213" s="25" t="n">
        <f aca="false">IF(G213&gt;=-0.0000001,A213,H212)</f>
        <v>46090</v>
      </c>
      <c r="I213" s="29" t="n">
        <f aca="false">IF(AND(G213&gt;=-0.0000001,G212&lt;0),1,0)</f>
        <v>0</v>
      </c>
      <c r="J213" s="30" t="str">
        <f aca="false">IF(I213=1,A213-H212,"")</f>
        <v/>
      </c>
      <c r="K213" s="27" t="n">
        <f aca="false">IF(B213="Wednesday",0,C213)</f>
        <v>-12603.5</v>
      </c>
      <c r="L213" s="28" t="n">
        <f aca="false">L212+K213/$T$1*100</f>
        <v>334.94545</v>
      </c>
      <c r="M213" s="28" t="n">
        <f aca="false">MAX(0,MAX($L$2:L213))</f>
        <v>364.49965</v>
      </c>
      <c r="N213" s="28" t="n">
        <f aca="false">L213-M213</f>
        <v>-29.5541999999999</v>
      </c>
      <c r="O213" s="25" t="n">
        <f aca="false">IF(N213&gt;=-0.0000001,A213,O212)</f>
        <v>46090</v>
      </c>
      <c r="P213" s="29" t="n">
        <f aca="false">IF(AND(N213&gt;=-0.0000001,N212&lt;0),1,0)</f>
        <v>0</v>
      </c>
      <c r="Q213" s="30" t="str">
        <f aca="false">IF(P213=1,A213-O212,"")</f>
        <v/>
      </c>
    </row>
    <row r="214" customFormat="false" ht="15" hidden="false" customHeight="false" outlineLevel="0" collapsed="false">
      <c r="A214" s="25" t="n">
        <v>46140</v>
      </c>
      <c r="B214" s="26" t="s">
        <v>80</v>
      </c>
      <c r="C214" s="27" t="n">
        <v>-30940</v>
      </c>
      <c r="D214" s="28" t="n">
        <f aca="false">C214/$T$1*100</f>
        <v>-6.188</v>
      </c>
      <c r="E214" s="28" t="n">
        <f aca="false">E213+D214</f>
        <v>293.6979</v>
      </c>
      <c r="F214" s="28" t="n">
        <f aca="false">MAX(0,MAX($E$2:E214))</f>
        <v>325.79815</v>
      </c>
      <c r="G214" s="28" t="n">
        <f aca="false">E214-F214</f>
        <v>-32.1002499999998</v>
      </c>
      <c r="H214" s="25" t="n">
        <f aca="false">IF(G214&gt;=-0.0000001,A214,H213)</f>
        <v>46090</v>
      </c>
      <c r="I214" s="29" t="n">
        <f aca="false">IF(AND(G214&gt;=-0.0000001,G213&lt;0),1,0)</f>
        <v>0</v>
      </c>
      <c r="J214" s="30" t="str">
        <f aca="false">IF(I214=1,A214-H213,"")</f>
        <v/>
      </c>
      <c r="K214" s="27" t="n">
        <f aca="false">IF(B214="Wednesday",0,C214)</f>
        <v>-30940</v>
      </c>
      <c r="L214" s="28" t="n">
        <f aca="false">L213+K214/$T$1*100</f>
        <v>328.75745</v>
      </c>
      <c r="M214" s="28" t="n">
        <f aca="false">MAX(0,MAX($L$2:L214))</f>
        <v>364.49965</v>
      </c>
      <c r="N214" s="28" t="n">
        <f aca="false">L214-M214</f>
        <v>-35.7421999999999</v>
      </c>
      <c r="O214" s="25" t="n">
        <f aca="false">IF(N214&gt;=-0.0000001,A214,O213)</f>
        <v>46090</v>
      </c>
      <c r="P214" s="29" t="n">
        <f aca="false">IF(AND(N214&gt;=-0.0000001,N213&lt;0),1,0)</f>
        <v>0</v>
      </c>
      <c r="Q214" s="30" t="str">
        <f aca="false">IF(P214=1,A214-O213,"")</f>
        <v/>
      </c>
    </row>
    <row r="215" customFormat="false" ht="15" hidden="false" customHeight="false" outlineLevel="0" collapsed="false">
      <c r="A215" s="25" t="n">
        <v>46141</v>
      </c>
      <c r="B215" s="26" t="s">
        <v>81</v>
      </c>
      <c r="C215" s="27" t="n">
        <v>14371.5</v>
      </c>
      <c r="D215" s="28" t="n">
        <f aca="false">C215/$T$1*100</f>
        <v>2.8743</v>
      </c>
      <c r="E215" s="28" t="n">
        <f aca="false">E214+D215</f>
        <v>296.5722</v>
      </c>
      <c r="F215" s="28" t="n">
        <f aca="false">MAX(0,MAX($E$2:E215))</f>
        <v>325.79815</v>
      </c>
      <c r="G215" s="28" t="n">
        <f aca="false">E215-F215</f>
        <v>-29.2259499999998</v>
      </c>
      <c r="H215" s="25" t="n">
        <f aca="false">IF(G215&gt;=-0.0000001,A215,H214)</f>
        <v>46090</v>
      </c>
      <c r="I215" s="29" t="n">
        <f aca="false">IF(AND(G215&gt;=-0.0000001,G214&lt;0),1,0)</f>
        <v>0</v>
      </c>
      <c r="J215" s="30" t="str">
        <f aca="false">IF(I215=1,A215-H214,"")</f>
        <v/>
      </c>
      <c r="K215" s="27" t="n">
        <f aca="false">IF(B215="Wednesday",0,C215)</f>
        <v>0</v>
      </c>
      <c r="L215" s="28" t="n">
        <f aca="false">L214+K215/$T$1*100</f>
        <v>328.75745</v>
      </c>
      <c r="M215" s="28" t="n">
        <f aca="false">MAX(0,MAX($L$2:L215))</f>
        <v>364.49965</v>
      </c>
      <c r="N215" s="28" t="n">
        <f aca="false">L215-M215</f>
        <v>-35.7421999999999</v>
      </c>
      <c r="O215" s="25" t="n">
        <f aca="false">IF(N215&gt;=-0.0000001,A215,O214)</f>
        <v>46090</v>
      </c>
      <c r="P215" s="29" t="n">
        <f aca="false">IF(AND(N215&gt;=-0.0000001,N214&lt;0),1,0)</f>
        <v>0</v>
      </c>
      <c r="Q215" s="30" t="str">
        <f aca="false">IF(P215=1,A215-O214,"")</f>
        <v/>
      </c>
    </row>
    <row r="216" customFormat="false" ht="15" hidden="false" customHeight="false" outlineLevel="0" collapsed="false">
      <c r="A216" s="25" t="n">
        <v>46142</v>
      </c>
      <c r="B216" s="26" t="s">
        <v>82</v>
      </c>
      <c r="C216" s="27" t="n">
        <v>41892.5</v>
      </c>
      <c r="D216" s="28" t="n">
        <f aca="false">C216/$T$1*100</f>
        <v>8.3785</v>
      </c>
      <c r="E216" s="28" t="n">
        <f aca="false">E215+D216</f>
        <v>304.9507</v>
      </c>
      <c r="F216" s="28" t="n">
        <f aca="false">MAX(0,MAX($E$2:E216))</f>
        <v>325.79815</v>
      </c>
      <c r="G216" s="28" t="n">
        <f aca="false">E216-F216</f>
        <v>-20.8474499999999</v>
      </c>
      <c r="H216" s="25" t="n">
        <f aca="false">IF(G216&gt;=-0.0000001,A216,H215)</f>
        <v>46090</v>
      </c>
      <c r="I216" s="29" t="n">
        <f aca="false">IF(AND(G216&gt;=-0.0000001,G215&lt;0),1,0)</f>
        <v>0</v>
      </c>
      <c r="J216" s="30" t="str">
        <f aca="false">IF(I216=1,A216-H215,"")</f>
        <v/>
      </c>
      <c r="K216" s="27" t="n">
        <f aca="false">IF(B216="Wednesday",0,C216)</f>
        <v>41892.5</v>
      </c>
      <c r="L216" s="28" t="n">
        <f aca="false">L215+K216/$T$1*100</f>
        <v>337.13595</v>
      </c>
      <c r="M216" s="28" t="n">
        <f aca="false">MAX(0,MAX($L$2:L216))</f>
        <v>364.49965</v>
      </c>
      <c r="N216" s="28" t="n">
        <f aca="false">L216-M216</f>
        <v>-27.3636999999999</v>
      </c>
      <c r="O216" s="25" t="n">
        <f aca="false">IF(N216&gt;=-0.0000001,A216,O215)</f>
        <v>46090</v>
      </c>
      <c r="P216" s="29" t="n">
        <f aca="false">IF(AND(N216&gt;=-0.0000001,N215&lt;0),1,0)</f>
        <v>0</v>
      </c>
      <c r="Q216" s="30" t="str">
        <f aca="false">IF(P216=1,A216-O215,"")</f>
        <v/>
      </c>
    </row>
    <row r="217" customFormat="false" ht="15" hidden="false" customHeight="false" outlineLevel="0" collapsed="false">
      <c r="A217" s="25" t="n">
        <v>46146</v>
      </c>
      <c r="B217" s="26" t="s">
        <v>79</v>
      </c>
      <c r="C217" s="27" t="n">
        <v>-24602.5</v>
      </c>
      <c r="D217" s="28" t="n">
        <f aca="false">C217/$T$1*100</f>
        <v>-4.9205</v>
      </c>
      <c r="E217" s="28" t="n">
        <f aca="false">E216+D217</f>
        <v>300.0302</v>
      </c>
      <c r="F217" s="28" t="n">
        <f aca="false">MAX(0,MAX($E$2:E217))</f>
        <v>325.79815</v>
      </c>
      <c r="G217" s="28" t="n">
        <f aca="false">E217-F217</f>
        <v>-25.7679499999999</v>
      </c>
      <c r="H217" s="25" t="n">
        <f aca="false">IF(G217&gt;=-0.0000001,A217,H216)</f>
        <v>46090</v>
      </c>
      <c r="I217" s="29" t="n">
        <f aca="false">IF(AND(G217&gt;=-0.0000001,G216&lt;0),1,0)</f>
        <v>0</v>
      </c>
      <c r="J217" s="30" t="str">
        <f aca="false">IF(I217=1,A217-H216,"")</f>
        <v/>
      </c>
      <c r="K217" s="27" t="n">
        <f aca="false">IF(B217="Wednesday",0,C217)</f>
        <v>-24602.5</v>
      </c>
      <c r="L217" s="28" t="n">
        <f aca="false">L216+K217/$T$1*100</f>
        <v>332.21545</v>
      </c>
      <c r="M217" s="28" t="n">
        <f aca="false">MAX(0,MAX($L$2:L217))</f>
        <v>364.49965</v>
      </c>
      <c r="N217" s="28" t="n">
        <f aca="false">L217-M217</f>
        <v>-32.2841999999999</v>
      </c>
      <c r="O217" s="25" t="n">
        <f aca="false">IF(N217&gt;=-0.0000001,A217,O216)</f>
        <v>46090</v>
      </c>
      <c r="P217" s="29" t="n">
        <f aca="false">IF(AND(N217&gt;=-0.0000001,N216&lt;0),1,0)</f>
        <v>0</v>
      </c>
      <c r="Q217" s="30" t="str">
        <f aca="false">IF(P217=1,A217-O216,"")</f>
        <v/>
      </c>
    </row>
    <row r="218" customFormat="false" ht="15" hidden="false" customHeight="false" outlineLevel="0" collapsed="false">
      <c r="A218" s="25" t="n">
        <v>46147</v>
      </c>
      <c r="B218" s="26" t="s">
        <v>80</v>
      </c>
      <c r="C218" s="27" t="n">
        <v>-31590</v>
      </c>
      <c r="D218" s="28" t="n">
        <f aca="false">C218/$T$1*100</f>
        <v>-6.318</v>
      </c>
      <c r="E218" s="28" t="n">
        <f aca="false">E217+D218</f>
        <v>293.7122</v>
      </c>
      <c r="F218" s="28" t="n">
        <f aca="false">MAX(0,MAX($E$2:E218))</f>
        <v>325.79815</v>
      </c>
      <c r="G218" s="28" t="n">
        <f aca="false">E218-F218</f>
        <v>-32.0859499999999</v>
      </c>
      <c r="H218" s="25" t="n">
        <f aca="false">IF(G218&gt;=-0.0000001,A218,H217)</f>
        <v>46090</v>
      </c>
      <c r="I218" s="29" t="n">
        <f aca="false">IF(AND(G218&gt;=-0.0000001,G217&lt;0),1,0)</f>
        <v>0</v>
      </c>
      <c r="J218" s="30" t="str">
        <f aca="false">IF(I218=1,A218-H217,"")</f>
        <v/>
      </c>
      <c r="K218" s="27" t="n">
        <f aca="false">IF(B218="Wednesday",0,C218)</f>
        <v>-31590</v>
      </c>
      <c r="L218" s="28" t="n">
        <f aca="false">L217+K218/$T$1*100</f>
        <v>325.89745</v>
      </c>
      <c r="M218" s="28" t="n">
        <f aca="false">MAX(0,MAX($L$2:L218))</f>
        <v>364.49965</v>
      </c>
      <c r="N218" s="28" t="n">
        <f aca="false">L218-M218</f>
        <v>-38.6021999999999</v>
      </c>
      <c r="O218" s="25" t="n">
        <f aca="false">IF(N218&gt;=-0.0000001,A218,O217)</f>
        <v>46090</v>
      </c>
      <c r="P218" s="29" t="n">
        <f aca="false">IF(AND(N218&gt;=-0.0000001,N217&lt;0),1,0)</f>
        <v>0</v>
      </c>
      <c r="Q218" s="30" t="str">
        <f aca="false">IF(P218=1,A218-O217,"")</f>
        <v/>
      </c>
    </row>
    <row r="219" customFormat="false" ht="15" hidden="false" customHeight="false" outlineLevel="0" collapsed="false">
      <c r="A219" s="25" t="n">
        <v>46148</v>
      </c>
      <c r="B219" s="26" t="s">
        <v>81</v>
      </c>
      <c r="C219" s="27" t="n">
        <v>60791.25</v>
      </c>
      <c r="D219" s="28" t="n">
        <f aca="false">C219/$T$1*100</f>
        <v>12.15825</v>
      </c>
      <c r="E219" s="28" t="n">
        <f aca="false">E218+D219</f>
        <v>305.87045</v>
      </c>
      <c r="F219" s="28" t="n">
        <f aca="false">MAX(0,MAX($E$2:E219))</f>
        <v>325.79815</v>
      </c>
      <c r="G219" s="28" t="n">
        <f aca="false">E219-F219</f>
        <v>-19.9276999999998</v>
      </c>
      <c r="H219" s="25" t="n">
        <f aca="false">IF(G219&gt;=-0.0000001,A219,H218)</f>
        <v>46090</v>
      </c>
      <c r="I219" s="29" t="n">
        <f aca="false">IF(AND(G219&gt;=-0.0000001,G218&lt;0),1,0)</f>
        <v>0</v>
      </c>
      <c r="J219" s="30" t="str">
        <f aca="false">IF(I219=1,A219-H218,"")</f>
        <v/>
      </c>
      <c r="K219" s="27" t="n">
        <f aca="false">IF(B219="Wednesday",0,C219)</f>
        <v>0</v>
      </c>
      <c r="L219" s="28" t="n">
        <f aca="false">L218+K219/$T$1*100</f>
        <v>325.89745</v>
      </c>
      <c r="M219" s="28" t="n">
        <f aca="false">MAX(0,MAX($L$2:L219))</f>
        <v>364.49965</v>
      </c>
      <c r="N219" s="28" t="n">
        <f aca="false">L219-M219</f>
        <v>-38.6021999999999</v>
      </c>
      <c r="O219" s="25" t="n">
        <f aca="false">IF(N219&gt;=-0.0000001,A219,O218)</f>
        <v>46090</v>
      </c>
      <c r="P219" s="29" t="n">
        <f aca="false">IF(AND(N219&gt;=-0.0000001,N218&lt;0),1,0)</f>
        <v>0</v>
      </c>
      <c r="Q219" s="30" t="str">
        <f aca="false">IF(P219=1,A219-O218,"")</f>
        <v/>
      </c>
    </row>
    <row r="220" customFormat="false" ht="15" hidden="false" customHeight="false" outlineLevel="0" collapsed="false">
      <c r="A220" s="25" t="n">
        <v>46149</v>
      </c>
      <c r="B220" s="26" t="s">
        <v>82</v>
      </c>
      <c r="C220" s="27" t="n">
        <v>-2964</v>
      </c>
      <c r="D220" s="28" t="n">
        <f aca="false">C220/$T$1*100</f>
        <v>-0.5928</v>
      </c>
      <c r="E220" s="28" t="n">
        <f aca="false">E219+D220</f>
        <v>305.27765</v>
      </c>
      <c r="F220" s="28" t="n">
        <f aca="false">MAX(0,MAX($E$2:E220))</f>
        <v>325.79815</v>
      </c>
      <c r="G220" s="28" t="n">
        <f aca="false">E220-F220</f>
        <v>-20.5204999999999</v>
      </c>
      <c r="H220" s="25" t="n">
        <f aca="false">IF(G220&gt;=-0.0000001,A220,H219)</f>
        <v>46090</v>
      </c>
      <c r="I220" s="29" t="n">
        <f aca="false">IF(AND(G220&gt;=-0.0000001,G219&lt;0),1,0)</f>
        <v>0</v>
      </c>
      <c r="J220" s="30" t="str">
        <f aca="false">IF(I220=1,A220-H219,"")</f>
        <v/>
      </c>
      <c r="K220" s="27" t="n">
        <f aca="false">IF(B220="Wednesday",0,C220)</f>
        <v>-2964</v>
      </c>
      <c r="L220" s="28" t="n">
        <f aca="false">L219+K220/$T$1*100</f>
        <v>325.30465</v>
      </c>
      <c r="M220" s="28" t="n">
        <f aca="false">MAX(0,MAX($L$2:L220))</f>
        <v>364.49965</v>
      </c>
      <c r="N220" s="28" t="n">
        <f aca="false">L220-M220</f>
        <v>-39.1949999999999</v>
      </c>
      <c r="O220" s="25" t="n">
        <f aca="false">IF(N220&gt;=-0.0000001,A220,O219)</f>
        <v>46090</v>
      </c>
      <c r="P220" s="29" t="n">
        <f aca="false">IF(AND(N220&gt;=-0.0000001,N219&lt;0),1,0)</f>
        <v>0</v>
      </c>
      <c r="Q220" s="30" t="str">
        <f aca="false">IF(P220=1,A220-O219,"")</f>
        <v/>
      </c>
    </row>
    <row r="221" customFormat="false" ht="15" hidden="false" customHeight="false" outlineLevel="0" collapsed="false">
      <c r="A221" s="25" t="n">
        <v>46150</v>
      </c>
      <c r="B221" s="26" t="s">
        <v>83</v>
      </c>
      <c r="C221" s="27" t="n">
        <v>-936</v>
      </c>
      <c r="D221" s="28" t="n">
        <f aca="false">C221/$T$1*100</f>
        <v>-0.1872</v>
      </c>
      <c r="E221" s="28" t="n">
        <f aca="false">E220+D221</f>
        <v>305.09045</v>
      </c>
      <c r="F221" s="28" t="n">
        <f aca="false">MAX(0,MAX($E$2:E221))</f>
        <v>325.79815</v>
      </c>
      <c r="G221" s="28" t="n">
        <f aca="false">E221-F221</f>
        <v>-20.7076999999999</v>
      </c>
      <c r="H221" s="25" t="n">
        <f aca="false">IF(G221&gt;=-0.0000001,A221,H220)</f>
        <v>46090</v>
      </c>
      <c r="I221" s="29" t="n">
        <f aca="false">IF(AND(G221&gt;=-0.0000001,G220&lt;0),1,0)</f>
        <v>0</v>
      </c>
      <c r="J221" s="30" t="str">
        <f aca="false">IF(I221=1,A221-H220,"")</f>
        <v/>
      </c>
      <c r="K221" s="27" t="n">
        <f aca="false">IF(B221="Wednesday",0,C221)</f>
        <v>-936</v>
      </c>
      <c r="L221" s="28" t="n">
        <f aca="false">L220+K221/$T$1*100</f>
        <v>325.11745</v>
      </c>
      <c r="M221" s="28" t="n">
        <f aca="false">MAX(0,MAX($L$2:L221))</f>
        <v>364.49965</v>
      </c>
      <c r="N221" s="28" t="n">
        <f aca="false">L221-M221</f>
        <v>-39.3822</v>
      </c>
      <c r="O221" s="25" t="n">
        <f aca="false">IF(N221&gt;=-0.0000001,A221,O220)</f>
        <v>46090</v>
      </c>
      <c r="P221" s="29" t="n">
        <f aca="false">IF(AND(N221&gt;=-0.0000001,N220&lt;0),1,0)</f>
        <v>0</v>
      </c>
      <c r="Q221" s="30" t="str">
        <f aca="false">IF(P221=1,A221-O220,"")</f>
        <v/>
      </c>
    </row>
    <row r="222" customFormat="false" ht="15" hidden="false" customHeight="false" outlineLevel="0" collapsed="false">
      <c r="A222" s="25" t="n">
        <v>46153</v>
      </c>
      <c r="B222" s="26" t="s">
        <v>79</v>
      </c>
      <c r="C222" s="27" t="n">
        <v>-59835.75</v>
      </c>
      <c r="D222" s="28" t="n">
        <f aca="false">C222/$T$1*100</f>
        <v>-11.96715</v>
      </c>
      <c r="E222" s="28" t="n">
        <f aca="false">E221+D222</f>
        <v>293.1233</v>
      </c>
      <c r="F222" s="28" t="n">
        <f aca="false">MAX(0,MAX($E$2:E222))</f>
        <v>325.79815</v>
      </c>
      <c r="G222" s="28" t="n">
        <f aca="false">E222-F222</f>
        <v>-32.6748499999999</v>
      </c>
      <c r="H222" s="25" t="n">
        <f aca="false">IF(G222&gt;=-0.0000001,A222,H221)</f>
        <v>46090</v>
      </c>
      <c r="I222" s="29" t="n">
        <f aca="false">IF(AND(G222&gt;=-0.0000001,G221&lt;0),1,0)</f>
        <v>0</v>
      </c>
      <c r="J222" s="30" t="str">
        <f aca="false">IF(I222=1,A222-H221,"")</f>
        <v/>
      </c>
      <c r="K222" s="27" t="n">
        <f aca="false">IF(B222="Wednesday",0,C222)</f>
        <v>-59835.75</v>
      </c>
      <c r="L222" s="28" t="n">
        <f aca="false">L221+K222/$T$1*100</f>
        <v>313.1503</v>
      </c>
      <c r="M222" s="28" t="n">
        <f aca="false">MAX(0,MAX($L$2:L222))</f>
        <v>364.49965</v>
      </c>
      <c r="N222" s="28" t="n">
        <f aca="false">L222-M222</f>
        <v>-51.34935</v>
      </c>
      <c r="O222" s="25" t="n">
        <f aca="false">IF(N222&gt;=-0.0000001,A222,O221)</f>
        <v>46090</v>
      </c>
      <c r="P222" s="29" t="n">
        <f aca="false">IF(AND(N222&gt;=-0.0000001,N221&lt;0),1,0)</f>
        <v>0</v>
      </c>
      <c r="Q222" s="30" t="str">
        <f aca="false">IF(P222=1,A222-O221,"")</f>
        <v/>
      </c>
    </row>
    <row r="223" customFormat="false" ht="15" hidden="false" customHeight="false" outlineLevel="0" collapsed="false">
      <c r="A223" s="25" t="n">
        <v>46154</v>
      </c>
      <c r="B223" s="26" t="s">
        <v>80</v>
      </c>
      <c r="C223" s="27" t="n">
        <v>214233.5</v>
      </c>
      <c r="D223" s="28" t="n">
        <f aca="false">C223/$T$1*100</f>
        <v>42.8467</v>
      </c>
      <c r="E223" s="28" t="n">
        <f aca="false">E222+D223</f>
        <v>335.97</v>
      </c>
      <c r="F223" s="28" t="n">
        <f aca="false">MAX(0,MAX($E$2:E223))</f>
        <v>335.97</v>
      </c>
      <c r="G223" s="28" t="n">
        <f aca="false">E223-F223</f>
        <v>0</v>
      </c>
      <c r="H223" s="25" t="n">
        <f aca="false">IF(G223&gt;=-0.0000001,A223,H222)</f>
        <v>46154</v>
      </c>
      <c r="I223" s="29" t="n">
        <f aca="false">IF(AND(G223&gt;=-0.0000001,G222&lt;0),1,0)</f>
        <v>1</v>
      </c>
      <c r="J223" s="30" t="n">
        <f aca="false">IF(I223=1,A223-H222,"")</f>
        <v>64</v>
      </c>
      <c r="K223" s="27" t="n">
        <f aca="false">IF(B223="Wednesday",0,C223)</f>
        <v>214233.5</v>
      </c>
      <c r="L223" s="28" t="n">
        <f aca="false">L222+K223/$T$1*100</f>
        <v>355.997</v>
      </c>
      <c r="M223" s="28" t="n">
        <f aca="false">MAX(0,MAX($L$2:L223))</f>
        <v>364.49965</v>
      </c>
      <c r="N223" s="28" t="n">
        <f aca="false">L223-M223</f>
        <v>-8.50264999999996</v>
      </c>
      <c r="O223" s="25" t="n">
        <f aca="false">IF(N223&gt;=-0.0000001,A223,O222)</f>
        <v>46090</v>
      </c>
      <c r="P223" s="29" t="n">
        <f aca="false">IF(AND(N223&gt;=-0.0000001,N222&lt;0),1,0)</f>
        <v>0</v>
      </c>
      <c r="Q223" s="30" t="str">
        <f aca="false">IF(P223=1,A223-O222,"")</f>
        <v/>
      </c>
    </row>
    <row r="224" customFormat="false" ht="15" hidden="false" customHeight="false" outlineLevel="0" collapsed="false">
      <c r="A224" s="25" t="n">
        <v>46155</v>
      </c>
      <c r="B224" s="26" t="s">
        <v>81</v>
      </c>
      <c r="C224" s="27" t="n">
        <v>-6370</v>
      </c>
      <c r="D224" s="28" t="n">
        <f aca="false">C224/$T$1*100</f>
        <v>-1.274</v>
      </c>
      <c r="E224" s="28" t="n">
        <f aca="false">E223+D224</f>
        <v>334.696</v>
      </c>
      <c r="F224" s="28" t="n">
        <f aca="false">MAX(0,MAX($E$2:E224))</f>
        <v>335.97</v>
      </c>
      <c r="G224" s="28" t="n">
        <f aca="false">E224-F224</f>
        <v>-1.274</v>
      </c>
      <c r="H224" s="25" t="n">
        <f aca="false">IF(G224&gt;=-0.0000001,A224,H223)</f>
        <v>46154</v>
      </c>
      <c r="I224" s="29" t="n">
        <f aca="false">IF(AND(G224&gt;=-0.0000001,G223&lt;0),1,0)</f>
        <v>0</v>
      </c>
      <c r="J224" s="30" t="str">
        <f aca="false">IF(I224=1,A224-H223,"")</f>
        <v/>
      </c>
      <c r="K224" s="27" t="n">
        <f aca="false">IF(B224="Wednesday",0,C224)</f>
        <v>0</v>
      </c>
      <c r="L224" s="28" t="n">
        <f aca="false">L223+K224/$T$1*100</f>
        <v>355.997</v>
      </c>
      <c r="M224" s="28" t="n">
        <f aca="false">MAX(0,MAX($L$2:L224))</f>
        <v>364.49965</v>
      </c>
      <c r="N224" s="28" t="n">
        <f aca="false">L224-M224</f>
        <v>-8.50264999999996</v>
      </c>
      <c r="O224" s="25" t="n">
        <f aca="false">IF(N224&gt;=-0.0000001,A224,O223)</f>
        <v>46090</v>
      </c>
      <c r="P224" s="29" t="n">
        <f aca="false">IF(AND(N224&gt;=-0.0000001,N223&lt;0),1,0)</f>
        <v>0</v>
      </c>
      <c r="Q224" s="30" t="str">
        <f aca="false">IF(P224=1,A224-O223,"")</f>
        <v/>
      </c>
    </row>
    <row r="225" customFormat="false" ht="15" hidden="false" customHeight="false" outlineLevel="0" collapsed="false">
      <c r="A225" s="25" t="n">
        <v>46156</v>
      </c>
      <c r="B225" s="26" t="s">
        <v>82</v>
      </c>
      <c r="C225" s="27" t="n">
        <v>46176</v>
      </c>
      <c r="D225" s="28" t="n">
        <f aca="false">C225/$T$1*100</f>
        <v>9.2352</v>
      </c>
      <c r="E225" s="28" t="n">
        <f aca="false">E224+D225</f>
        <v>343.9312</v>
      </c>
      <c r="F225" s="28" t="n">
        <f aca="false">MAX(0,MAX($E$2:E225))</f>
        <v>343.9312</v>
      </c>
      <c r="G225" s="28" t="n">
        <f aca="false">E225-F225</f>
        <v>0</v>
      </c>
      <c r="H225" s="25" t="n">
        <f aca="false">IF(G225&gt;=-0.0000001,A225,H224)</f>
        <v>46156</v>
      </c>
      <c r="I225" s="29" t="n">
        <f aca="false">IF(AND(G225&gt;=-0.0000001,G224&lt;0),1,0)</f>
        <v>1</v>
      </c>
      <c r="J225" s="30" t="n">
        <f aca="false">IF(I225=1,A225-H224,"")</f>
        <v>2</v>
      </c>
      <c r="K225" s="27" t="n">
        <f aca="false">IF(B225="Wednesday",0,C225)</f>
        <v>46176</v>
      </c>
      <c r="L225" s="28" t="n">
        <f aca="false">L224+K225/$T$1*100</f>
        <v>365.2322</v>
      </c>
      <c r="M225" s="28" t="n">
        <f aca="false">MAX(0,MAX($L$2:L225))</f>
        <v>365.2322</v>
      </c>
      <c r="N225" s="28" t="n">
        <f aca="false">L225-M225</f>
        <v>0</v>
      </c>
      <c r="O225" s="25" t="n">
        <f aca="false">IF(N225&gt;=-0.0000001,A225,O224)</f>
        <v>46156</v>
      </c>
      <c r="P225" s="29" t="n">
        <f aca="false">IF(AND(N225&gt;=-0.0000001,N224&lt;0),1,0)</f>
        <v>1</v>
      </c>
      <c r="Q225" s="30" t="n">
        <f aca="false">IF(P225=1,A225-O224,"")</f>
        <v>66</v>
      </c>
    </row>
    <row r="226" customFormat="false" ht="15" hidden="false" customHeight="false" outlineLevel="0" collapsed="false">
      <c r="A226" s="25" t="n">
        <v>46157</v>
      </c>
      <c r="B226" s="26" t="s">
        <v>83</v>
      </c>
      <c r="C226" s="27" t="n">
        <v>-26890.5</v>
      </c>
      <c r="D226" s="28" t="n">
        <f aca="false">C226/$T$1*100</f>
        <v>-5.3781</v>
      </c>
      <c r="E226" s="28" t="n">
        <f aca="false">E225+D226</f>
        <v>338.5531</v>
      </c>
      <c r="F226" s="28" t="n">
        <f aca="false">MAX(0,MAX($E$2:E226))</f>
        <v>343.9312</v>
      </c>
      <c r="G226" s="28" t="n">
        <f aca="false">E226-F226</f>
        <v>-5.37810000000002</v>
      </c>
      <c r="H226" s="25" t="n">
        <f aca="false">IF(G226&gt;=-0.0000001,A226,H225)</f>
        <v>46156</v>
      </c>
      <c r="I226" s="29" t="n">
        <f aca="false">IF(AND(G226&gt;=-0.0000001,G225&lt;0),1,0)</f>
        <v>0</v>
      </c>
      <c r="J226" s="30" t="str">
        <f aca="false">IF(I226=1,A226-H225,"")</f>
        <v/>
      </c>
      <c r="K226" s="27" t="n">
        <f aca="false">IF(B226="Wednesday",0,C226)</f>
        <v>-26890.5</v>
      </c>
      <c r="L226" s="28" t="n">
        <f aca="false">L225+K226/$T$1*100</f>
        <v>359.8541</v>
      </c>
      <c r="M226" s="28" t="n">
        <f aca="false">MAX(0,MAX($L$2:L226))</f>
        <v>365.2322</v>
      </c>
      <c r="N226" s="28" t="n">
        <f aca="false">L226-M226</f>
        <v>-5.37810000000002</v>
      </c>
      <c r="O226" s="25" t="n">
        <f aca="false">IF(N226&gt;=-0.0000001,A226,O225)</f>
        <v>46156</v>
      </c>
      <c r="P226" s="29" t="n">
        <f aca="false">IF(AND(N226&gt;=-0.0000001,N225&lt;0),1,0)</f>
        <v>0</v>
      </c>
      <c r="Q226" s="30" t="str">
        <f aca="false">IF(P226=1,A226-O225,"")</f>
        <v/>
      </c>
    </row>
    <row r="227" customFormat="false" ht="15" hidden="false" customHeight="false" outlineLevel="0" collapsed="false">
      <c r="A227" s="25" t="n">
        <v>46160</v>
      </c>
      <c r="B227" s="26" t="s">
        <v>79</v>
      </c>
      <c r="C227" s="27" t="n">
        <v>-21710</v>
      </c>
      <c r="D227" s="28" t="n">
        <f aca="false">C227/$T$1*100</f>
        <v>-4.342</v>
      </c>
      <c r="E227" s="28" t="n">
        <f aca="false">E226+D227</f>
        <v>334.2111</v>
      </c>
      <c r="F227" s="28" t="n">
        <f aca="false">MAX(0,MAX($E$2:E227))</f>
        <v>343.9312</v>
      </c>
      <c r="G227" s="28" t="n">
        <f aca="false">E227-F227</f>
        <v>-9.7201</v>
      </c>
      <c r="H227" s="25" t="n">
        <f aca="false">IF(G227&gt;=-0.0000001,A227,H226)</f>
        <v>46156</v>
      </c>
      <c r="I227" s="29" t="n">
        <f aca="false">IF(AND(G227&gt;=-0.0000001,G226&lt;0),1,0)</f>
        <v>0</v>
      </c>
      <c r="J227" s="30" t="str">
        <f aca="false">IF(I227=1,A227-H226,"")</f>
        <v/>
      </c>
      <c r="K227" s="27" t="n">
        <f aca="false">IF(B227="Wednesday",0,C227)</f>
        <v>-21710</v>
      </c>
      <c r="L227" s="28" t="n">
        <f aca="false">L226+K227/$T$1*100</f>
        <v>355.5121</v>
      </c>
      <c r="M227" s="28" t="n">
        <f aca="false">MAX(0,MAX($L$2:L227))</f>
        <v>365.2322</v>
      </c>
      <c r="N227" s="28" t="n">
        <f aca="false">L227-M227</f>
        <v>-9.7201</v>
      </c>
      <c r="O227" s="25" t="n">
        <f aca="false">IF(N227&gt;=-0.0000001,A227,O226)</f>
        <v>46156</v>
      </c>
      <c r="P227" s="29" t="n">
        <f aca="false">IF(AND(N227&gt;=-0.0000001,N226&lt;0),1,0)</f>
        <v>0</v>
      </c>
      <c r="Q227" s="30" t="str">
        <f aca="false">IF(P227=1,A227-O226,"")</f>
        <v/>
      </c>
    </row>
    <row r="228" customFormat="false" ht="15" hidden="false" customHeight="false" outlineLevel="0" collapsed="false">
      <c r="A228" s="25" t="n">
        <v>46161</v>
      </c>
      <c r="B228" s="26" t="s">
        <v>80</v>
      </c>
      <c r="C228" s="27" t="n">
        <v>-29172</v>
      </c>
      <c r="D228" s="28" t="n">
        <f aca="false">C228/$T$1*100</f>
        <v>-5.8344</v>
      </c>
      <c r="E228" s="28" t="n">
        <f aca="false">E227+D228</f>
        <v>328.3767</v>
      </c>
      <c r="F228" s="28" t="n">
        <f aca="false">MAX(0,MAX($E$2:E228))</f>
        <v>343.9312</v>
      </c>
      <c r="G228" s="28" t="n">
        <f aca="false">E228-F228</f>
        <v>-15.5545</v>
      </c>
      <c r="H228" s="25" t="n">
        <f aca="false">IF(G228&gt;=-0.0000001,A228,H227)</f>
        <v>46156</v>
      </c>
      <c r="I228" s="29" t="n">
        <f aca="false">IF(AND(G228&gt;=-0.0000001,G227&lt;0),1,0)</f>
        <v>0</v>
      </c>
      <c r="J228" s="30" t="str">
        <f aca="false">IF(I228=1,A228-H227,"")</f>
        <v/>
      </c>
      <c r="K228" s="27" t="n">
        <f aca="false">IF(B228="Wednesday",0,C228)</f>
        <v>-29172</v>
      </c>
      <c r="L228" s="28" t="n">
        <f aca="false">L227+K228/$T$1*100</f>
        <v>349.6777</v>
      </c>
      <c r="M228" s="28" t="n">
        <f aca="false">MAX(0,MAX($L$2:L228))</f>
        <v>365.2322</v>
      </c>
      <c r="N228" s="28" t="n">
        <f aca="false">L228-M228</f>
        <v>-15.5545</v>
      </c>
      <c r="O228" s="25" t="n">
        <f aca="false">IF(N228&gt;=-0.0000001,A228,O227)</f>
        <v>46156</v>
      </c>
      <c r="P228" s="29" t="n">
        <f aca="false">IF(AND(N228&gt;=-0.0000001,N227&lt;0),1,0)</f>
        <v>0</v>
      </c>
      <c r="Q228" s="30" t="str">
        <f aca="false">IF(P228=1,A228-O227,"")</f>
        <v/>
      </c>
    </row>
    <row r="229" customFormat="false" ht="15" hidden="false" customHeight="false" outlineLevel="0" collapsed="false">
      <c r="A229" s="25" t="n">
        <v>46162</v>
      </c>
      <c r="B229" s="26" t="s">
        <v>81</v>
      </c>
      <c r="C229" s="27" t="n">
        <v>24651.25</v>
      </c>
      <c r="D229" s="28" t="n">
        <f aca="false">C229/$T$1*100</f>
        <v>4.93025</v>
      </c>
      <c r="E229" s="28" t="n">
        <f aca="false">E228+D229</f>
        <v>333.30695</v>
      </c>
      <c r="F229" s="28" t="n">
        <f aca="false">MAX(0,MAX($E$2:E229))</f>
        <v>343.9312</v>
      </c>
      <c r="G229" s="28" t="n">
        <f aca="false">E229-F229</f>
        <v>-10.62425</v>
      </c>
      <c r="H229" s="25" t="n">
        <f aca="false">IF(G229&gt;=-0.0000001,A229,H228)</f>
        <v>46156</v>
      </c>
      <c r="I229" s="29" t="n">
        <f aca="false">IF(AND(G229&gt;=-0.0000001,G228&lt;0),1,0)</f>
        <v>0</v>
      </c>
      <c r="J229" s="30" t="str">
        <f aca="false">IF(I229=1,A229-H228,"")</f>
        <v/>
      </c>
      <c r="K229" s="27" t="n">
        <f aca="false">IF(B229="Wednesday",0,C229)</f>
        <v>0</v>
      </c>
      <c r="L229" s="28" t="n">
        <f aca="false">L228+K229/$T$1*100</f>
        <v>349.6777</v>
      </c>
      <c r="M229" s="28" t="n">
        <f aca="false">MAX(0,MAX($L$2:L229))</f>
        <v>365.2322</v>
      </c>
      <c r="N229" s="28" t="n">
        <f aca="false">L229-M229</f>
        <v>-15.5545</v>
      </c>
      <c r="O229" s="25" t="n">
        <f aca="false">IF(N229&gt;=-0.0000001,A229,O228)</f>
        <v>46156</v>
      </c>
      <c r="P229" s="29" t="n">
        <f aca="false">IF(AND(N229&gt;=-0.0000001,N228&lt;0),1,0)</f>
        <v>0</v>
      </c>
      <c r="Q229" s="30" t="str">
        <f aca="false">IF(P229=1,A229-O228,"")</f>
        <v/>
      </c>
    </row>
    <row r="230" customFormat="false" ht="15" hidden="false" customHeight="false" outlineLevel="0" collapsed="false">
      <c r="A230" s="25" t="n">
        <v>46163</v>
      </c>
      <c r="B230" s="26" t="s">
        <v>82</v>
      </c>
      <c r="C230" s="27" t="n">
        <v>-14683.5</v>
      </c>
      <c r="D230" s="28" t="n">
        <f aca="false">C230/$T$1*100</f>
        <v>-2.9367</v>
      </c>
      <c r="E230" s="28" t="n">
        <f aca="false">E229+D230</f>
        <v>330.37025</v>
      </c>
      <c r="F230" s="28" t="n">
        <f aca="false">MAX(0,MAX($E$2:E230))</f>
        <v>343.9312</v>
      </c>
      <c r="G230" s="28" t="n">
        <f aca="false">E230-F230</f>
        <v>-13.56095</v>
      </c>
      <c r="H230" s="25" t="n">
        <f aca="false">IF(G230&gt;=-0.0000001,A230,H229)</f>
        <v>46156</v>
      </c>
      <c r="I230" s="29" t="n">
        <f aca="false">IF(AND(G230&gt;=-0.0000001,G229&lt;0),1,0)</f>
        <v>0</v>
      </c>
      <c r="J230" s="30" t="str">
        <f aca="false">IF(I230=1,A230-H229,"")</f>
        <v/>
      </c>
      <c r="K230" s="27" t="n">
        <f aca="false">IF(B230="Wednesday",0,C230)</f>
        <v>-14683.5</v>
      </c>
      <c r="L230" s="28" t="n">
        <f aca="false">L229+K230/$T$1*100</f>
        <v>346.741</v>
      </c>
      <c r="M230" s="28" t="n">
        <f aca="false">MAX(0,MAX($L$2:L230))</f>
        <v>365.2322</v>
      </c>
      <c r="N230" s="28" t="n">
        <f aca="false">L230-M230</f>
        <v>-18.4912</v>
      </c>
      <c r="O230" s="25" t="n">
        <f aca="false">IF(N230&gt;=-0.0000001,A230,O229)</f>
        <v>46156</v>
      </c>
      <c r="P230" s="29" t="n">
        <f aca="false">IF(AND(N230&gt;=-0.0000001,N229&lt;0),1,0)</f>
        <v>0</v>
      </c>
      <c r="Q230" s="30" t="str">
        <f aca="false">IF(P230=1,A230-O229,"")</f>
        <v/>
      </c>
    </row>
    <row r="231" customFormat="false" ht="15" hidden="false" customHeight="false" outlineLevel="0" collapsed="false">
      <c r="A231" s="25" t="n">
        <v>46164</v>
      </c>
      <c r="B231" s="26" t="s">
        <v>83</v>
      </c>
      <c r="C231" s="27" t="n">
        <v>17494.75</v>
      </c>
      <c r="D231" s="28" t="n">
        <f aca="false">C231/$T$1*100</f>
        <v>3.49895</v>
      </c>
      <c r="E231" s="28" t="n">
        <f aca="false">E230+D231</f>
        <v>333.8692</v>
      </c>
      <c r="F231" s="28" t="n">
        <f aca="false">MAX(0,MAX($E$2:E231))</f>
        <v>343.9312</v>
      </c>
      <c r="G231" s="28" t="n">
        <f aca="false">E231-F231</f>
        <v>-10.062</v>
      </c>
      <c r="H231" s="25" t="n">
        <f aca="false">IF(G231&gt;=-0.0000001,A231,H230)</f>
        <v>46156</v>
      </c>
      <c r="I231" s="29" t="n">
        <f aca="false">IF(AND(G231&gt;=-0.0000001,G230&lt;0),1,0)</f>
        <v>0</v>
      </c>
      <c r="J231" s="30" t="str">
        <f aca="false">IF(I231=1,A231-H230,"")</f>
        <v/>
      </c>
      <c r="K231" s="27" t="n">
        <f aca="false">IF(B231="Wednesday",0,C231)</f>
        <v>17494.75</v>
      </c>
      <c r="L231" s="28" t="n">
        <f aca="false">L230+K231/$T$1*100</f>
        <v>350.23995</v>
      </c>
      <c r="M231" s="28" t="n">
        <f aca="false">MAX(0,MAX($L$2:L231))</f>
        <v>365.2322</v>
      </c>
      <c r="N231" s="28" t="n">
        <f aca="false">L231-M231</f>
        <v>-14.99225</v>
      </c>
      <c r="O231" s="25" t="n">
        <f aca="false">IF(N231&gt;=-0.0000001,A231,O230)</f>
        <v>46156</v>
      </c>
      <c r="P231" s="29" t="n">
        <f aca="false">IF(AND(N231&gt;=-0.0000001,N230&lt;0),1,0)</f>
        <v>0</v>
      </c>
      <c r="Q231" s="30" t="str">
        <f aca="false">IF(P231=1,A231-O230,"")</f>
        <v/>
      </c>
    </row>
    <row r="232" customFormat="false" ht="15" hidden="false" customHeight="false" outlineLevel="0" collapsed="false">
      <c r="A232" s="25" t="n">
        <v>46167</v>
      </c>
      <c r="B232" s="26" t="s">
        <v>79</v>
      </c>
      <c r="C232" s="27" t="n">
        <v>-28847</v>
      </c>
      <c r="D232" s="28" t="n">
        <f aca="false">C232/$T$1*100</f>
        <v>-5.7694</v>
      </c>
      <c r="E232" s="28" t="n">
        <f aca="false">E231+D232</f>
        <v>328.0998</v>
      </c>
      <c r="F232" s="28" t="n">
        <f aca="false">MAX(0,MAX($E$2:E232))</f>
        <v>343.9312</v>
      </c>
      <c r="G232" s="28" t="n">
        <f aca="false">E232-F232</f>
        <v>-15.8314</v>
      </c>
      <c r="H232" s="25" t="n">
        <f aca="false">IF(G232&gt;=-0.0000001,A232,H231)</f>
        <v>46156</v>
      </c>
      <c r="I232" s="29" t="n">
        <f aca="false">IF(AND(G232&gt;=-0.0000001,G231&lt;0),1,0)</f>
        <v>0</v>
      </c>
      <c r="J232" s="30" t="str">
        <f aca="false">IF(I232=1,A232-H231,"")</f>
        <v/>
      </c>
      <c r="K232" s="27" t="n">
        <f aca="false">IF(B232="Wednesday",0,C232)</f>
        <v>-28847</v>
      </c>
      <c r="L232" s="28" t="n">
        <f aca="false">L231+K232/$T$1*100</f>
        <v>344.47055</v>
      </c>
      <c r="M232" s="28" t="n">
        <f aca="false">MAX(0,MAX($L$2:L232))</f>
        <v>365.2322</v>
      </c>
      <c r="N232" s="28" t="n">
        <f aca="false">L232-M232</f>
        <v>-20.76165</v>
      </c>
      <c r="O232" s="25" t="n">
        <f aca="false">IF(N232&gt;=-0.0000001,A232,O231)</f>
        <v>46156</v>
      </c>
      <c r="P232" s="29" t="n">
        <f aca="false">IF(AND(N232&gt;=-0.0000001,N231&lt;0),1,0)</f>
        <v>0</v>
      </c>
      <c r="Q232" s="30" t="str">
        <f aca="false">IF(P232=1,A232-O231,"")</f>
        <v/>
      </c>
    </row>
    <row r="233" customFormat="false" ht="15" hidden="false" customHeight="false" outlineLevel="0" collapsed="false">
      <c r="A233" s="25" t="n">
        <v>46168</v>
      </c>
      <c r="B233" s="26" t="s">
        <v>80</v>
      </c>
      <c r="C233" s="27" t="n">
        <v>180765</v>
      </c>
      <c r="D233" s="28" t="n">
        <f aca="false">C233/$T$1*100</f>
        <v>36.153</v>
      </c>
      <c r="E233" s="28" t="n">
        <f aca="false">E232+D233</f>
        <v>364.2528</v>
      </c>
      <c r="F233" s="28" t="n">
        <f aca="false">MAX(0,MAX($E$2:E233))</f>
        <v>364.2528</v>
      </c>
      <c r="G233" s="28" t="n">
        <f aca="false">E233-F233</f>
        <v>0</v>
      </c>
      <c r="H233" s="25" t="n">
        <f aca="false">IF(G233&gt;=-0.0000001,A233,H232)</f>
        <v>46168</v>
      </c>
      <c r="I233" s="29" t="n">
        <f aca="false">IF(AND(G233&gt;=-0.0000001,G232&lt;0),1,0)</f>
        <v>1</v>
      </c>
      <c r="J233" s="30" t="n">
        <f aca="false">IF(I233=1,A233-H232,"")</f>
        <v>12</v>
      </c>
      <c r="K233" s="27" t="n">
        <f aca="false">IF(B233="Wednesday",0,C233)</f>
        <v>180765</v>
      </c>
      <c r="L233" s="28" t="n">
        <f aca="false">L232+K233/$T$1*100</f>
        <v>380.62355</v>
      </c>
      <c r="M233" s="28" t="n">
        <f aca="false">MAX(0,MAX($L$2:L233))</f>
        <v>380.62355</v>
      </c>
      <c r="N233" s="28" t="n">
        <f aca="false">L233-M233</f>
        <v>0</v>
      </c>
      <c r="O233" s="25" t="n">
        <f aca="false">IF(N233&gt;=-0.0000001,A233,O232)</f>
        <v>46168</v>
      </c>
      <c r="P233" s="29" t="n">
        <f aca="false">IF(AND(N233&gt;=-0.0000001,N232&lt;0),1,0)</f>
        <v>1</v>
      </c>
      <c r="Q233" s="30" t="n">
        <f aca="false">IF(P233=1,A233-O232,"")</f>
        <v>12</v>
      </c>
    </row>
    <row r="234" customFormat="false" ht="15" hidden="false" customHeight="false" outlineLevel="0" collapsed="false">
      <c r="A234" s="25" t="n">
        <v>46169</v>
      </c>
      <c r="B234" s="26" t="s">
        <v>81</v>
      </c>
      <c r="C234" s="27" t="n">
        <v>-13572</v>
      </c>
      <c r="D234" s="28" t="n">
        <f aca="false">C234/$T$1*100</f>
        <v>-2.7144</v>
      </c>
      <c r="E234" s="28" t="n">
        <f aca="false">E233+D234</f>
        <v>361.5384</v>
      </c>
      <c r="F234" s="28" t="n">
        <f aca="false">MAX(0,MAX($E$2:E234))</f>
        <v>364.2528</v>
      </c>
      <c r="G234" s="28" t="n">
        <f aca="false">E234-F234</f>
        <v>-2.71440000000001</v>
      </c>
      <c r="H234" s="25" t="n">
        <f aca="false">IF(G234&gt;=-0.0000001,A234,H233)</f>
        <v>46168</v>
      </c>
      <c r="I234" s="29" t="n">
        <f aca="false">IF(AND(G234&gt;=-0.0000001,G233&lt;0),1,0)</f>
        <v>0</v>
      </c>
      <c r="J234" s="30" t="str">
        <f aca="false">IF(I234=1,A234-H233,"")</f>
        <v/>
      </c>
      <c r="K234" s="27" t="n">
        <f aca="false">IF(B234="Wednesday",0,C234)</f>
        <v>0</v>
      </c>
      <c r="L234" s="28" t="n">
        <f aca="false">L233+K234/$T$1*100</f>
        <v>380.62355</v>
      </c>
      <c r="M234" s="28" t="n">
        <f aca="false">MAX(0,MAX($L$2:L234))</f>
        <v>380.62355</v>
      </c>
      <c r="N234" s="28" t="n">
        <f aca="false">L234-M234</f>
        <v>0</v>
      </c>
      <c r="O234" s="25" t="n">
        <f aca="false">IF(N234&gt;=-0.0000001,A234,O233)</f>
        <v>46169</v>
      </c>
      <c r="P234" s="29" t="n">
        <f aca="false">IF(AND(N234&gt;=-0.0000001,N233&lt;0),1,0)</f>
        <v>0</v>
      </c>
      <c r="Q234" s="30" t="str">
        <f aca="false">IF(P234=1,A234-O233,"")</f>
        <v/>
      </c>
    </row>
    <row r="235" customFormat="false" ht="15" hidden="false" customHeight="false" outlineLevel="0" collapsed="false">
      <c r="A235" s="25" t="n">
        <v>46171</v>
      </c>
      <c r="B235" s="26" t="s">
        <v>83</v>
      </c>
      <c r="C235" s="27" t="n">
        <v>-38493</v>
      </c>
      <c r="D235" s="28" t="n">
        <f aca="false">C235/$T$1*100</f>
        <v>-7.6986</v>
      </c>
      <c r="E235" s="28" t="n">
        <f aca="false">E234+D235</f>
        <v>353.8398</v>
      </c>
      <c r="F235" s="28" t="n">
        <f aca="false">MAX(0,MAX($E$2:E235))</f>
        <v>364.2528</v>
      </c>
      <c r="G235" s="28" t="n">
        <f aca="false">E235-F235</f>
        <v>-10.413</v>
      </c>
      <c r="H235" s="25" t="n">
        <f aca="false">IF(G235&gt;=-0.0000001,A235,H234)</f>
        <v>46168</v>
      </c>
      <c r="I235" s="29" t="n">
        <f aca="false">IF(AND(G235&gt;=-0.0000001,G234&lt;0),1,0)</f>
        <v>0</v>
      </c>
      <c r="J235" s="30" t="str">
        <f aca="false">IF(I235=1,A235-H234,"")</f>
        <v/>
      </c>
      <c r="K235" s="27" t="n">
        <f aca="false">IF(B235="Wednesday",0,C235)</f>
        <v>-38493</v>
      </c>
      <c r="L235" s="28" t="n">
        <f aca="false">L234+K235/$T$1*100</f>
        <v>372.92495</v>
      </c>
      <c r="M235" s="28" t="n">
        <f aca="false">MAX(0,MAX($L$2:L235))</f>
        <v>380.62355</v>
      </c>
      <c r="N235" s="28" t="n">
        <f aca="false">L235-M235</f>
        <v>-7.6986</v>
      </c>
      <c r="O235" s="25" t="n">
        <f aca="false">IF(N235&gt;=-0.0000001,A235,O234)</f>
        <v>46169</v>
      </c>
      <c r="P235" s="29" t="n">
        <f aca="false">IF(AND(N235&gt;=-0.0000001,N234&lt;0),1,0)</f>
        <v>0</v>
      </c>
      <c r="Q235" s="30" t="str">
        <f aca="false">IF(P235=1,A235-O234,"")</f>
        <v/>
      </c>
    </row>
    <row r="236" customFormat="false" ht="15" hidden="false" customHeight="false" outlineLevel="0" collapsed="false">
      <c r="A236" s="25" t="n">
        <v>46174</v>
      </c>
      <c r="B236" s="26" t="s">
        <v>79</v>
      </c>
      <c r="C236" s="27" t="n">
        <v>-59215</v>
      </c>
      <c r="D236" s="28" t="n">
        <f aca="false">C236/$T$1*100</f>
        <v>-11.843</v>
      </c>
      <c r="E236" s="28" t="n">
        <f aca="false">E235+D236</f>
        <v>341.9968</v>
      </c>
      <c r="F236" s="28" t="n">
        <f aca="false">MAX(0,MAX($E$2:E236))</f>
        <v>364.2528</v>
      </c>
      <c r="G236" s="28" t="n">
        <f aca="false">E236-F236</f>
        <v>-22.256</v>
      </c>
      <c r="H236" s="25" t="n">
        <f aca="false">IF(G236&gt;=-0.0000001,A236,H235)</f>
        <v>46168</v>
      </c>
      <c r="I236" s="29" t="n">
        <f aca="false">IF(AND(G236&gt;=-0.0000001,G235&lt;0),1,0)</f>
        <v>0</v>
      </c>
      <c r="J236" s="30" t="str">
        <f aca="false">IF(I236=1,A236-H235,"")</f>
        <v/>
      </c>
      <c r="K236" s="27" t="n">
        <f aca="false">IF(B236="Wednesday",0,C236)</f>
        <v>-59215</v>
      </c>
      <c r="L236" s="28" t="n">
        <f aca="false">L235+K236/$T$1*100</f>
        <v>361.08195</v>
      </c>
      <c r="M236" s="28" t="n">
        <f aca="false">MAX(0,MAX($L$2:L236))</f>
        <v>380.62355</v>
      </c>
      <c r="N236" s="28" t="n">
        <f aca="false">L236-M236</f>
        <v>-19.5416</v>
      </c>
      <c r="O236" s="25" t="n">
        <f aca="false">IF(N236&gt;=-0.0000001,A236,O235)</f>
        <v>46169</v>
      </c>
      <c r="P236" s="29" t="n">
        <f aca="false">IF(AND(N236&gt;=-0.0000001,N235&lt;0),1,0)</f>
        <v>0</v>
      </c>
      <c r="Q236" s="30" t="str">
        <f aca="false">IF(P236=1,A236-O235,"")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500000</v>
      </c>
    </row>
    <row r="2" customFormat="false" ht="15" hidden="false" customHeight="false" outlineLevel="0" collapsed="false">
      <c r="A2" s="25" t="n">
        <v>45810</v>
      </c>
      <c r="B2" s="26" t="s">
        <v>79</v>
      </c>
      <c r="C2" s="27" t="n">
        <v>-7620</v>
      </c>
      <c r="D2" s="28" t="n">
        <f aca="false">C2/$T$1*100</f>
        <v>-1.524</v>
      </c>
      <c r="E2" s="28" t="n">
        <f aca="false">D2</f>
        <v>-1.524</v>
      </c>
      <c r="F2" s="28" t="n">
        <f aca="false">MAX(0,MAX($E$2:E2))</f>
        <v>0</v>
      </c>
      <c r="G2" s="28" t="n">
        <f aca="false">E2-F2</f>
        <v>-1.524</v>
      </c>
      <c r="H2" s="25" t="n">
        <f aca="false">IF(G2&gt;=-0.0000001,A2,A2)</f>
        <v>45810</v>
      </c>
      <c r="I2" s="29" t="n">
        <v>0</v>
      </c>
      <c r="J2" s="30"/>
      <c r="K2" s="27" t="n">
        <f aca="false">IF(B2="Wednesday",0,C2)</f>
        <v>-7620</v>
      </c>
      <c r="L2" s="28" t="n">
        <f aca="false">K2/$T$1*100</f>
        <v>-1.524</v>
      </c>
      <c r="M2" s="28" t="n">
        <f aca="false">MAX(0,MAX($L$2:L2))</f>
        <v>0</v>
      </c>
      <c r="N2" s="28" t="n">
        <f aca="false">L2-M2</f>
        <v>-1.524</v>
      </c>
      <c r="O2" s="25" t="n">
        <f aca="false">IF(N2&gt;=-0.0000001,A2,A2)</f>
        <v>45810</v>
      </c>
      <c r="P2" s="29" t="n">
        <v>0</v>
      </c>
      <c r="Q2" s="30"/>
      <c r="S2" s="23" t="s">
        <v>108</v>
      </c>
      <c r="T2" s="31" t="n">
        <f aca="false">MAX(A2:A237)</f>
        <v>46174</v>
      </c>
    </row>
    <row r="3" customFormat="false" ht="15" hidden="false" customHeight="false" outlineLevel="0" collapsed="false">
      <c r="A3" s="25" t="n">
        <v>45811</v>
      </c>
      <c r="B3" s="26" t="s">
        <v>80</v>
      </c>
      <c r="C3" s="27" t="n">
        <v>12405</v>
      </c>
      <c r="D3" s="28" t="n">
        <f aca="false">C3/$T$1*100</f>
        <v>2.481</v>
      </c>
      <c r="E3" s="28" t="n">
        <f aca="false">E2+D3</f>
        <v>0.957</v>
      </c>
      <c r="F3" s="28" t="n">
        <f aca="false">MAX(0,MAX($E$2:E3))</f>
        <v>0.957</v>
      </c>
      <c r="G3" s="28" t="n">
        <f aca="false">E3-F3</f>
        <v>0</v>
      </c>
      <c r="H3" s="25" t="n">
        <f aca="false">IF(G3&gt;=-0.0000001,A3,H2)</f>
        <v>45811</v>
      </c>
      <c r="I3" s="29" t="n">
        <f aca="false">IF(AND(G3&gt;=-0.0000001,G2&lt;0),1,0)</f>
        <v>1</v>
      </c>
      <c r="J3" s="30" t="n">
        <f aca="false">IF(I3=1,A3-H2,"")</f>
        <v>1</v>
      </c>
      <c r="K3" s="27" t="n">
        <f aca="false">IF(B3="Wednesday",0,C3)</f>
        <v>12405</v>
      </c>
      <c r="L3" s="28" t="n">
        <f aca="false">L2+K3/$T$1*100</f>
        <v>0.957</v>
      </c>
      <c r="M3" s="28" t="n">
        <f aca="false">MAX(0,MAX($L$2:L3))</f>
        <v>0.957</v>
      </c>
      <c r="N3" s="28" t="n">
        <f aca="false">L3-M3</f>
        <v>0</v>
      </c>
      <c r="O3" s="25" t="n">
        <f aca="false">IF(N3&gt;=-0.0000001,A3,O2)</f>
        <v>45811</v>
      </c>
      <c r="P3" s="29" t="n">
        <f aca="false">IF(AND(N3&gt;=-0.0000001,N2&lt;0),1,0)</f>
        <v>1</v>
      </c>
      <c r="Q3" s="30" t="n">
        <f aca="false">IF(P3=1,A3-O2,"")</f>
        <v>1</v>
      </c>
      <c r="S3" s="23" t="s">
        <v>109</v>
      </c>
      <c r="T3" s="31" t="n">
        <f aca="false">EDATE($T$2,-1)</f>
        <v>46143</v>
      </c>
    </row>
    <row r="4" customFormat="false" ht="15" hidden="false" customHeight="false" outlineLevel="0" collapsed="false">
      <c r="A4" s="25" t="n">
        <v>45812</v>
      </c>
      <c r="B4" s="26" t="s">
        <v>81</v>
      </c>
      <c r="C4" s="27" t="n">
        <v>-9776.25</v>
      </c>
      <c r="D4" s="28" t="n">
        <f aca="false">C4/$T$1*100</f>
        <v>-1.95525</v>
      </c>
      <c r="E4" s="28" t="n">
        <f aca="false">E3+D4</f>
        <v>-0.99825</v>
      </c>
      <c r="F4" s="28" t="n">
        <f aca="false">MAX(0,MAX($E$2:E4))</f>
        <v>0.957</v>
      </c>
      <c r="G4" s="28" t="n">
        <f aca="false">E4-F4</f>
        <v>-1.95525</v>
      </c>
      <c r="H4" s="25" t="n">
        <f aca="false">IF(G4&gt;=-0.0000001,A4,H3)</f>
        <v>45811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0</v>
      </c>
      <c r="L4" s="28" t="n">
        <f aca="false">L3+K4/$T$1*100</f>
        <v>0.957</v>
      </c>
      <c r="M4" s="28" t="n">
        <f aca="false">MAX(0,MAX($L$2:L4))</f>
        <v>0.957</v>
      </c>
      <c r="N4" s="28" t="n">
        <f aca="false">L4-M4</f>
        <v>0</v>
      </c>
      <c r="O4" s="25" t="n">
        <f aca="false">IF(N4&gt;=-0.0000001,A4,O3)</f>
        <v>45812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46082</v>
      </c>
    </row>
    <row r="5" customFormat="false" ht="15" hidden="false" customHeight="false" outlineLevel="0" collapsed="false">
      <c r="A5" s="25" t="n">
        <v>45813</v>
      </c>
      <c r="B5" s="26" t="s">
        <v>82</v>
      </c>
      <c r="C5" s="27" t="n">
        <v>-23767.5</v>
      </c>
      <c r="D5" s="28" t="n">
        <f aca="false">C5/$T$1*100</f>
        <v>-4.7535</v>
      </c>
      <c r="E5" s="28" t="n">
        <f aca="false">E4+D5</f>
        <v>-5.75175</v>
      </c>
      <c r="F5" s="28" t="n">
        <f aca="false">MAX(0,MAX($E$2:E5))</f>
        <v>0.957</v>
      </c>
      <c r="G5" s="28" t="n">
        <f aca="false">E5-F5</f>
        <v>-6.70875</v>
      </c>
      <c r="H5" s="25" t="n">
        <f aca="false">IF(G5&gt;=-0.0000001,A5,H4)</f>
        <v>45811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-23767.5</v>
      </c>
      <c r="L5" s="28" t="n">
        <f aca="false">L4+K5/$T$1*100</f>
        <v>-3.7965</v>
      </c>
      <c r="M5" s="28" t="n">
        <f aca="false">MAX(0,MAX($L$2:L5))</f>
        <v>0.957</v>
      </c>
      <c r="N5" s="28" t="n">
        <f aca="false">L5-M5</f>
        <v>-4.7535</v>
      </c>
      <c r="O5" s="25" t="n">
        <f aca="false">IF(N5&gt;=-0.0000001,A5,O4)</f>
        <v>45812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45992</v>
      </c>
    </row>
    <row r="6" customFormat="false" ht="15" hidden="false" customHeight="false" outlineLevel="0" collapsed="false">
      <c r="A6" s="25" t="n">
        <v>45814</v>
      </c>
      <c r="B6" s="26" t="s">
        <v>83</v>
      </c>
      <c r="C6" s="27" t="n">
        <v>36393.75</v>
      </c>
      <c r="D6" s="28" t="n">
        <f aca="false">C6/$T$1*100</f>
        <v>7.27875</v>
      </c>
      <c r="E6" s="28" t="n">
        <f aca="false">E5+D6</f>
        <v>1.527</v>
      </c>
      <c r="F6" s="28" t="n">
        <f aca="false">MAX(0,MAX($E$2:E6))</f>
        <v>1.527</v>
      </c>
      <c r="G6" s="28" t="n">
        <f aca="false">E6-F6</f>
        <v>0</v>
      </c>
      <c r="H6" s="25" t="n">
        <f aca="false">IF(G6&gt;=-0.0000001,A6,H5)</f>
        <v>45814</v>
      </c>
      <c r="I6" s="29" t="n">
        <f aca="false">IF(AND(G6&gt;=-0.0000001,G5&lt;0),1,0)</f>
        <v>1</v>
      </c>
      <c r="J6" s="30" t="n">
        <f aca="false">IF(I6=1,A6-H5,"")</f>
        <v>3</v>
      </c>
      <c r="K6" s="27" t="n">
        <f aca="false">IF(B6="Wednesday",0,C6)</f>
        <v>36393.75</v>
      </c>
      <c r="L6" s="28" t="n">
        <f aca="false">L5+K6/$T$1*100</f>
        <v>3.48225</v>
      </c>
      <c r="M6" s="28" t="n">
        <f aca="false">MAX(0,MAX($L$2:L6))</f>
        <v>3.48225</v>
      </c>
      <c r="N6" s="28" t="n">
        <f aca="false">L6-M6</f>
        <v>0</v>
      </c>
      <c r="O6" s="25" t="n">
        <f aca="false">IF(N6&gt;=-0.0000001,A6,O5)</f>
        <v>45814</v>
      </c>
      <c r="P6" s="29" t="n">
        <f aca="false">IF(AND(N6&gt;=-0.0000001,N5&lt;0),1,0)</f>
        <v>1</v>
      </c>
      <c r="Q6" s="30" t="n">
        <f aca="false">IF(P6=1,A6-O5,"")</f>
        <v>2</v>
      </c>
      <c r="S6" s="23" t="s">
        <v>112</v>
      </c>
      <c r="T6" s="31" t="n">
        <f aca="false">EDATE($T$2,-12)</f>
        <v>45809</v>
      </c>
    </row>
    <row r="7" customFormat="false" ht="15" hidden="false" customHeight="false" outlineLevel="0" collapsed="false">
      <c r="A7" s="25" t="n">
        <v>45817</v>
      </c>
      <c r="B7" s="26" t="s">
        <v>79</v>
      </c>
      <c r="C7" s="27" t="n">
        <v>-4815</v>
      </c>
      <c r="D7" s="28" t="n">
        <f aca="false">C7/$T$1*100</f>
        <v>-0.963</v>
      </c>
      <c r="E7" s="28" t="n">
        <f aca="false">E6+D7</f>
        <v>0.564000000000001</v>
      </c>
      <c r="F7" s="28" t="n">
        <f aca="false">MAX(0,MAX($E$2:E7))</f>
        <v>1.527</v>
      </c>
      <c r="G7" s="28" t="n">
        <f aca="false">E7-F7</f>
        <v>-0.963</v>
      </c>
      <c r="H7" s="25" t="n">
        <f aca="false">IF(G7&gt;=-0.0000001,A7,H6)</f>
        <v>45814</v>
      </c>
      <c r="I7" s="29" t="n">
        <f aca="false">IF(AND(G7&gt;=-0.0000001,G6&lt;0),1,0)</f>
        <v>0</v>
      </c>
      <c r="J7" s="30" t="str">
        <f aca="false">IF(I7=1,A7-H6,"")</f>
        <v/>
      </c>
      <c r="K7" s="27" t="n">
        <f aca="false">IF(B7="Wednesday",0,C7)</f>
        <v>-4815</v>
      </c>
      <c r="L7" s="28" t="n">
        <f aca="false">L6+K7/$T$1*100</f>
        <v>2.51925</v>
      </c>
      <c r="M7" s="28" t="n">
        <f aca="false">MAX(0,MAX($L$2:L7))</f>
        <v>3.48225</v>
      </c>
      <c r="N7" s="28" t="n">
        <f aca="false">L7-M7</f>
        <v>-0.963</v>
      </c>
      <c r="O7" s="25" t="n">
        <f aca="false">IF(N7&gt;=-0.0000001,A7,O6)</f>
        <v>45814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IF(G237&lt;-0.0000001,$T$2-H237,0)</f>
        <v>18</v>
      </c>
    </row>
    <row r="8" customFormat="false" ht="15" hidden="false" customHeight="false" outlineLevel="0" collapsed="false">
      <c r="A8" s="25" t="n">
        <v>45818</v>
      </c>
      <c r="B8" s="26" t="s">
        <v>80</v>
      </c>
      <c r="C8" s="27" t="n">
        <v>21412.5</v>
      </c>
      <c r="D8" s="28" t="n">
        <f aca="false">C8/$T$1*100</f>
        <v>4.2825</v>
      </c>
      <c r="E8" s="28" t="n">
        <f aca="false">E7+D8</f>
        <v>4.8465</v>
      </c>
      <c r="F8" s="28" t="n">
        <f aca="false">MAX(0,MAX($E$2:E8))</f>
        <v>4.8465</v>
      </c>
      <c r="G8" s="28" t="n">
        <f aca="false">E8-F8</f>
        <v>0</v>
      </c>
      <c r="H8" s="25" t="n">
        <f aca="false">IF(G8&gt;=-0.0000001,A8,H7)</f>
        <v>45818</v>
      </c>
      <c r="I8" s="29" t="n">
        <f aca="false">IF(AND(G8&gt;=-0.0000001,G7&lt;0),1,0)</f>
        <v>1</v>
      </c>
      <c r="J8" s="30" t="n">
        <f aca="false">IF(I8=1,A8-H7,"")</f>
        <v>4</v>
      </c>
      <c r="K8" s="27" t="n">
        <f aca="false">IF(B8="Wednesday",0,C8)</f>
        <v>21412.5</v>
      </c>
      <c r="L8" s="28" t="n">
        <f aca="false">L7+K8/$T$1*100</f>
        <v>6.80175</v>
      </c>
      <c r="M8" s="28" t="n">
        <f aca="false">MAX(0,MAX($L$2:L8))</f>
        <v>6.80175</v>
      </c>
      <c r="N8" s="28" t="n">
        <f aca="false">L8-M8</f>
        <v>0</v>
      </c>
      <c r="O8" s="25" t="n">
        <f aca="false">IF(N8&gt;=-0.0000001,A8,O7)</f>
        <v>45818</v>
      </c>
      <c r="P8" s="29" t="n">
        <f aca="false">IF(AND(N8&gt;=-0.0000001,N7&lt;0),1,0)</f>
        <v>1</v>
      </c>
      <c r="Q8" s="30" t="n">
        <f aca="false">IF(P8=1,A8-O7,"")</f>
        <v>4</v>
      </c>
      <c r="S8" s="23" t="s">
        <v>114</v>
      </c>
      <c r="T8" s="32" t="n">
        <f aca="false">IF(N237&lt;-0.0000001,$T$2-O237,0)</f>
        <v>18</v>
      </c>
    </row>
    <row r="9" customFormat="false" ht="15" hidden="false" customHeight="false" outlineLevel="0" collapsed="false">
      <c r="A9" s="25" t="n">
        <v>45819</v>
      </c>
      <c r="B9" s="26" t="s">
        <v>81</v>
      </c>
      <c r="C9" s="27" t="n">
        <v>7875</v>
      </c>
      <c r="D9" s="28" t="n">
        <f aca="false">C9/$T$1*100</f>
        <v>1.575</v>
      </c>
      <c r="E9" s="28" t="n">
        <f aca="false">E8+D9</f>
        <v>6.4215</v>
      </c>
      <c r="F9" s="28" t="n">
        <f aca="false">MAX(0,MAX($E$2:E9))</f>
        <v>6.4215</v>
      </c>
      <c r="G9" s="28" t="n">
        <f aca="false">E9-F9</f>
        <v>0</v>
      </c>
      <c r="H9" s="25" t="n">
        <f aca="false">IF(G9&gt;=-0.0000001,A9,H8)</f>
        <v>45819</v>
      </c>
      <c r="I9" s="29" t="n">
        <f aca="false">IF(AND(G9&gt;=-0.0000001,G8&lt;0),1,0)</f>
        <v>0</v>
      </c>
      <c r="J9" s="30" t="str">
        <f aca="false">IF(I9=1,A9-H8,"")</f>
        <v/>
      </c>
      <c r="K9" s="27" t="n">
        <f aca="false">IF(B9="Wednesday",0,C9)</f>
        <v>0</v>
      </c>
      <c r="L9" s="28" t="n">
        <f aca="false">L8+K9/$T$1*100</f>
        <v>6.80175</v>
      </c>
      <c r="M9" s="28" t="n">
        <f aca="false">MAX(0,MAX($L$2:L9))</f>
        <v>6.80175</v>
      </c>
      <c r="N9" s="28" t="n">
        <f aca="false">L9-M9</f>
        <v>0</v>
      </c>
      <c r="O9" s="25" t="n">
        <f aca="false">IF(N9&gt;=-0.0000001,A9,O8)</f>
        <v>45819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MIN(A2:A237)</f>
        <v>45810</v>
      </c>
    </row>
    <row r="10" customFormat="false" ht="15" hidden="false" customHeight="false" outlineLevel="0" collapsed="false">
      <c r="A10" s="25" t="n">
        <v>45820</v>
      </c>
      <c r="B10" s="26" t="s">
        <v>82</v>
      </c>
      <c r="C10" s="27" t="n">
        <v>41047.5</v>
      </c>
      <c r="D10" s="28" t="n">
        <f aca="false">C10/$T$1*100</f>
        <v>8.2095</v>
      </c>
      <c r="E10" s="28" t="n">
        <f aca="false">E9+D10</f>
        <v>14.631</v>
      </c>
      <c r="F10" s="28" t="n">
        <f aca="false">MAX(0,MAX($E$2:E10))</f>
        <v>14.631</v>
      </c>
      <c r="G10" s="28" t="n">
        <f aca="false">E10-F10</f>
        <v>0</v>
      </c>
      <c r="H10" s="25" t="n">
        <f aca="false">IF(G10&gt;=-0.0000001,A10,H9)</f>
        <v>45820</v>
      </c>
      <c r="I10" s="29" t="n">
        <f aca="false">IF(AND(G10&gt;=-0.0000001,G9&lt;0),1,0)</f>
        <v>0</v>
      </c>
      <c r="J10" s="30" t="str">
        <f aca="false">IF(I10=1,A10-H9,"")</f>
        <v/>
      </c>
      <c r="K10" s="27" t="n">
        <f aca="false">IF(B10="Wednesday",0,C10)</f>
        <v>41047.5</v>
      </c>
      <c r="L10" s="28" t="n">
        <f aca="false">L9+K10/$T$1*100</f>
        <v>15.01125</v>
      </c>
      <c r="M10" s="28" t="n">
        <f aca="false">MAX(0,MAX($L$2:L10))</f>
        <v>15.01125</v>
      </c>
      <c r="N10" s="28" t="n">
        <f aca="false">L10-M10</f>
        <v>0</v>
      </c>
      <c r="O10" s="25" t="n">
        <f aca="false">IF(N10&gt;=-0.0000001,A10,O9)</f>
        <v>45820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45821</v>
      </c>
      <c r="B11" s="26" t="s">
        <v>83</v>
      </c>
      <c r="C11" s="27" t="n">
        <v>1485</v>
      </c>
      <c r="D11" s="28" t="n">
        <f aca="false">C11/$T$1*100</f>
        <v>0.297</v>
      </c>
      <c r="E11" s="28" t="n">
        <f aca="false">E10+D11</f>
        <v>14.928</v>
      </c>
      <c r="F11" s="28" t="n">
        <f aca="false">MAX(0,MAX($E$2:E11))</f>
        <v>14.928</v>
      </c>
      <c r="G11" s="28" t="n">
        <f aca="false">E11-F11</f>
        <v>0</v>
      </c>
      <c r="H11" s="25" t="n">
        <f aca="false">IF(G11&gt;=-0.0000001,A11,H10)</f>
        <v>45821</v>
      </c>
      <c r="I11" s="29" t="n">
        <f aca="false">IF(AND(G11&gt;=-0.0000001,G10&lt;0),1,0)</f>
        <v>0</v>
      </c>
      <c r="J11" s="30" t="str">
        <f aca="false">IF(I11=1,A11-H10,"")</f>
        <v/>
      </c>
      <c r="K11" s="27" t="n">
        <f aca="false">IF(B11="Wednesday",0,C11)</f>
        <v>1485</v>
      </c>
      <c r="L11" s="28" t="n">
        <f aca="false">L10+K11/$T$1*100</f>
        <v>15.30825</v>
      </c>
      <c r="M11" s="28" t="n">
        <f aca="false">MAX(0,MAX($L$2:L11))</f>
        <v>15.30825</v>
      </c>
      <c r="N11" s="28" t="n">
        <f aca="false">L11-M11</f>
        <v>0</v>
      </c>
      <c r="O11" s="25" t="n">
        <f aca="false">IF(N11&gt;=-0.0000001,A11,O10)</f>
        <v>45821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45824</v>
      </c>
      <c r="B12" s="26" t="s">
        <v>79</v>
      </c>
      <c r="C12" s="27" t="n">
        <v>-21341.25</v>
      </c>
      <c r="D12" s="28" t="n">
        <f aca="false">C12/$T$1*100</f>
        <v>-4.26825</v>
      </c>
      <c r="E12" s="28" t="n">
        <f aca="false">E11+D12</f>
        <v>10.65975</v>
      </c>
      <c r="F12" s="28" t="n">
        <f aca="false">MAX(0,MAX($E$2:E12))</f>
        <v>14.928</v>
      </c>
      <c r="G12" s="28" t="n">
        <f aca="false">E12-F12</f>
        <v>-4.26825</v>
      </c>
      <c r="H12" s="25" t="n">
        <f aca="false">IF(G12&gt;=-0.0000001,A12,H11)</f>
        <v>45821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-21341.25</v>
      </c>
      <c r="L12" s="28" t="n">
        <f aca="false">L11+K12/$T$1*100</f>
        <v>11.04</v>
      </c>
      <c r="M12" s="28" t="n">
        <f aca="false">MAX(0,MAX($L$2:L12))</f>
        <v>15.30825</v>
      </c>
      <c r="N12" s="28" t="n">
        <f aca="false">L12-M12</f>
        <v>-4.26825</v>
      </c>
      <c r="O12" s="25" t="n">
        <f aca="false">IF(N12&gt;=-0.0000001,A12,O11)</f>
        <v>45821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45825</v>
      </c>
      <c r="B13" s="26" t="s">
        <v>80</v>
      </c>
      <c r="C13" s="27" t="n">
        <v>10901.25</v>
      </c>
      <c r="D13" s="28" t="n">
        <f aca="false">C13/$T$1*100</f>
        <v>2.18025</v>
      </c>
      <c r="E13" s="28" t="n">
        <f aca="false">E12+D13</f>
        <v>12.84</v>
      </c>
      <c r="F13" s="28" t="n">
        <f aca="false">MAX(0,MAX($E$2:E13))</f>
        <v>14.928</v>
      </c>
      <c r="G13" s="28" t="n">
        <f aca="false">E13-F13</f>
        <v>-2.088</v>
      </c>
      <c r="H13" s="25" t="n">
        <f aca="false">IF(G13&gt;=-0.0000001,A13,H12)</f>
        <v>45821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10901.25</v>
      </c>
      <c r="L13" s="28" t="n">
        <f aca="false">L12+K13/$T$1*100</f>
        <v>13.22025</v>
      </c>
      <c r="M13" s="28" t="n">
        <f aca="false">MAX(0,MAX($L$2:L13))</f>
        <v>15.30825</v>
      </c>
      <c r="N13" s="28" t="n">
        <f aca="false">L13-M13</f>
        <v>-2.088</v>
      </c>
      <c r="O13" s="25" t="n">
        <f aca="false">IF(N13&gt;=-0.0000001,A13,O12)</f>
        <v>45821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45826</v>
      </c>
      <c r="B14" s="26" t="s">
        <v>81</v>
      </c>
      <c r="C14" s="27" t="n">
        <v>-27502.5</v>
      </c>
      <c r="D14" s="28" t="n">
        <f aca="false">C14/$T$1*100</f>
        <v>-5.5005</v>
      </c>
      <c r="E14" s="28" t="n">
        <f aca="false">E13+D14</f>
        <v>7.3395</v>
      </c>
      <c r="F14" s="28" t="n">
        <f aca="false">MAX(0,MAX($E$2:E14))</f>
        <v>14.928</v>
      </c>
      <c r="G14" s="28" t="n">
        <f aca="false">E14-F14</f>
        <v>-7.5885</v>
      </c>
      <c r="H14" s="25" t="n">
        <f aca="false">IF(G14&gt;=-0.0000001,A14,H13)</f>
        <v>45821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0</v>
      </c>
      <c r="L14" s="28" t="n">
        <f aca="false">L13+K14/$T$1*100</f>
        <v>13.22025</v>
      </c>
      <c r="M14" s="28" t="n">
        <f aca="false">MAX(0,MAX($L$2:L14))</f>
        <v>15.30825</v>
      </c>
      <c r="N14" s="28" t="n">
        <f aca="false">L14-M14</f>
        <v>-2.088</v>
      </c>
      <c r="O14" s="25" t="n">
        <f aca="false">IF(N14&gt;=-0.0000001,A14,O13)</f>
        <v>45821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45827</v>
      </c>
      <c r="B15" s="26" t="s">
        <v>82</v>
      </c>
      <c r="C15" s="27" t="n">
        <v>-59808.75</v>
      </c>
      <c r="D15" s="28" t="n">
        <f aca="false">C15/$T$1*100</f>
        <v>-11.96175</v>
      </c>
      <c r="E15" s="28" t="n">
        <f aca="false">E14+D15</f>
        <v>-4.62225</v>
      </c>
      <c r="F15" s="28" t="n">
        <f aca="false">MAX(0,MAX($E$2:E15))</f>
        <v>14.928</v>
      </c>
      <c r="G15" s="28" t="n">
        <f aca="false">E15-F15</f>
        <v>-19.55025</v>
      </c>
      <c r="H15" s="25" t="n">
        <f aca="false">IF(G15&gt;=-0.0000001,A15,H14)</f>
        <v>45821</v>
      </c>
      <c r="I15" s="29" t="n">
        <f aca="false">IF(AND(G15&gt;=-0.0000001,G14&lt;0),1,0)</f>
        <v>0</v>
      </c>
      <c r="J15" s="30" t="str">
        <f aca="false">IF(I15=1,A15-H14,"")</f>
        <v/>
      </c>
      <c r="K15" s="27" t="n">
        <f aca="false">IF(B15="Wednesday",0,C15)</f>
        <v>-59808.75</v>
      </c>
      <c r="L15" s="28" t="n">
        <f aca="false">L14+K15/$T$1*100</f>
        <v>1.2585</v>
      </c>
      <c r="M15" s="28" t="n">
        <f aca="false">MAX(0,MAX($L$2:L15))</f>
        <v>15.30825</v>
      </c>
      <c r="N15" s="28" t="n">
        <f aca="false">L15-M15</f>
        <v>-14.04975</v>
      </c>
      <c r="O15" s="25" t="n">
        <f aca="false">IF(N15&gt;=-0.0000001,A15,O14)</f>
        <v>45821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45828</v>
      </c>
      <c r="B16" s="26" t="s">
        <v>83</v>
      </c>
      <c r="C16" s="27" t="n">
        <v>-15007.5</v>
      </c>
      <c r="D16" s="28" t="n">
        <f aca="false">C16/$T$1*100</f>
        <v>-3.0015</v>
      </c>
      <c r="E16" s="28" t="n">
        <f aca="false">E15+D16</f>
        <v>-7.62375</v>
      </c>
      <c r="F16" s="28" t="n">
        <f aca="false">MAX(0,MAX($E$2:E16))</f>
        <v>14.928</v>
      </c>
      <c r="G16" s="28" t="n">
        <f aca="false">E16-F16</f>
        <v>-22.55175</v>
      </c>
      <c r="H16" s="25" t="n">
        <f aca="false">IF(G16&gt;=-0.0000001,A16,H15)</f>
        <v>45821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-15007.5</v>
      </c>
      <c r="L16" s="28" t="n">
        <f aca="false">L15+K16/$T$1*100</f>
        <v>-1.743</v>
      </c>
      <c r="M16" s="28" t="n">
        <f aca="false">MAX(0,MAX($L$2:L16))</f>
        <v>15.30825</v>
      </c>
      <c r="N16" s="28" t="n">
        <f aca="false">L16-M16</f>
        <v>-17.05125</v>
      </c>
      <c r="O16" s="25" t="n">
        <f aca="false">IF(N16&gt;=-0.0000001,A16,O15)</f>
        <v>45821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45831</v>
      </c>
      <c r="B17" s="26" t="s">
        <v>79</v>
      </c>
      <c r="C17" s="27" t="n">
        <v>-17010</v>
      </c>
      <c r="D17" s="28" t="n">
        <f aca="false">C17/$T$1*100</f>
        <v>-3.402</v>
      </c>
      <c r="E17" s="28" t="n">
        <f aca="false">E16+D17</f>
        <v>-11.02575</v>
      </c>
      <c r="F17" s="28" t="n">
        <f aca="false">MAX(0,MAX($E$2:E17))</f>
        <v>14.928</v>
      </c>
      <c r="G17" s="28" t="n">
        <f aca="false">E17-F17</f>
        <v>-25.95375</v>
      </c>
      <c r="H17" s="25" t="n">
        <f aca="false">IF(G17&gt;=-0.0000001,A17,H16)</f>
        <v>45821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-17010</v>
      </c>
      <c r="L17" s="28" t="n">
        <f aca="false">L16+K17/$T$1*100</f>
        <v>-5.145</v>
      </c>
      <c r="M17" s="28" t="n">
        <f aca="false">MAX(0,MAX($L$2:L17))</f>
        <v>15.30825</v>
      </c>
      <c r="N17" s="28" t="n">
        <f aca="false">L17-M17</f>
        <v>-20.45325</v>
      </c>
      <c r="O17" s="25" t="n">
        <f aca="false">IF(N17&gt;=-0.0000001,A17,O16)</f>
        <v>45821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45832</v>
      </c>
      <c r="B18" s="26" t="s">
        <v>80</v>
      </c>
      <c r="C18" s="27" t="n">
        <v>-26520</v>
      </c>
      <c r="D18" s="28" t="n">
        <f aca="false">C18/$T$1*100</f>
        <v>-5.304</v>
      </c>
      <c r="E18" s="28" t="n">
        <f aca="false">E17+D18</f>
        <v>-16.32975</v>
      </c>
      <c r="F18" s="28" t="n">
        <f aca="false">MAX(0,MAX($E$2:E18))</f>
        <v>14.928</v>
      </c>
      <c r="G18" s="28" t="n">
        <f aca="false">E18-F18</f>
        <v>-31.25775</v>
      </c>
      <c r="H18" s="25" t="n">
        <f aca="false">IF(G18&gt;=-0.0000001,A18,H17)</f>
        <v>45821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-26520</v>
      </c>
      <c r="L18" s="28" t="n">
        <f aca="false">L17+K18/$T$1*100</f>
        <v>-10.449</v>
      </c>
      <c r="M18" s="28" t="n">
        <f aca="false">MAX(0,MAX($L$2:L18))</f>
        <v>15.30825</v>
      </c>
      <c r="N18" s="28" t="n">
        <f aca="false">L18-M18</f>
        <v>-25.75725</v>
      </c>
      <c r="O18" s="25" t="n">
        <f aca="false">IF(N18&gt;=-0.0000001,A18,O17)</f>
        <v>45821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45833</v>
      </c>
      <c r="B19" s="26" t="s">
        <v>81</v>
      </c>
      <c r="C19" s="27" t="n">
        <v>-32092.5</v>
      </c>
      <c r="D19" s="28" t="n">
        <f aca="false">C19/$T$1*100</f>
        <v>-6.4185</v>
      </c>
      <c r="E19" s="28" t="n">
        <f aca="false">E18+D19</f>
        <v>-22.74825</v>
      </c>
      <c r="F19" s="28" t="n">
        <f aca="false">MAX(0,MAX($E$2:E19))</f>
        <v>14.928</v>
      </c>
      <c r="G19" s="28" t="n">
        <f aca="false">E19-F19</f>
        <v>-37.67625</v>
      </c>
      <c r="H19" s="25" t="n">
        <f aca="false">IF(G19&gt;=-0.0000001,A19,H18)</f>
        <v>45821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0</v>
      </c>
      <c r="L19" s="28" t="n">
        <f aca="false">L18+K19/$T$1*100</f>
        <v>-10.449</v>
      </c>
      <c r="M19" s="28" t="n">
        <f aca="false">MAX(0,MAX($L$2:L19))</f>
        <v>15.30825</v>
      </c>
      <c r="N19" s="28" t="n">
        <f aca="false">L19-M19</f>
        <v>-25.75725</v>
      </c>
      <c r="O19" s="25" t="n">
        <f aca="false">IF(N19&gt;=-0.0000001,A19,O18)</f>
        <v>45821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45834</v>
      </c>
      <c r="B20" s="26" t="s">
        <v>82</v>
      </c>
      <c r="C20" s="27" t="n">
        <v>-55691.25</v>
      </c>
      <c r="D20" s="28" t="n">
        <f aca="false">C20/$T$1*100</f>
        <v>-11.13825</v>
      </c>
      <c r="E20" s="28" t="n">
        <f aca="false">E19+D20</f>
        <v>-33.8865</v>
      </c>
      <c r="F20" s="28" t="n">
        <f aca="false">MAX(0,MAX($E$2:E20))</f>
        <v>14.928</v>
      </c>
      <c r="G20" s="28" t="n">
        <f aca="false">E20-F20</f>
        <v>-48.8145</v>
      </c>
      <c r="H20" s="25" t="n">
        <f aca="false">IF(G20&gt;=-0.0000001,A20,H19)</f>
        <v>45821</v>
      </c>
      <c r="I20" s="29" t="n">
        <f aca="false">IF(AND(G20&gt;=-0.0000001,G19&lt;0),1,0)</f>
        <v>0</v>
      </c>
      <c r="J20" s="30" t="str">
        <f aca="false">IF(I20=1,A20-H19,"")</f>
        <v/>
      </c>
      <c r="K20" s="27" t="n">
        <f aca="false">IF(B20="Wednesday",0,C20)</f>
        <v>-55691.25</v>
      </c>
      <c r="L20" s="28" t="n">
        <f aca="false">L19+K20/$T$1*100</f>
        <v>-21.58725</v>
      </c>
      <c r="M20" s="28" t="n">
        <f aca="false">MAX(0,MAX($L$2:L20))</f>
        <v>15.30825</v>
      </c>
      <c r="N20" s="28" t="n">
        <f aca="false">L20-M20</f>
        <v>-36.8955</v>
      </c>
      <c r="O20" s="25" t="n">
        <f aca="false">IF(N20&gt;=-0.0000001,A20,O19)</f>
        <v>45821</v>
      </c>
      <c r="P20" s="29" t="n">
        <f aca="false">IF(AND(N20&gt;=-0.0000001,N19&lt;0),1,0)</f>
        <v>0</v>
      </c>
      <c r="Q20" s="30" t="str">
        <f aca="false">IF(P20=1,A20-O19,"")</f>
        <v/>
      </c>
    </row>
    <row r="21" customFormat="false" ht="15" hidden="false" customHeight="false" outlineLevel="0" collapsed="false">
      <c r="A21" s="25" t="n">
        <v>45835</v>
      </c>
      <c r="B21" s="26" t="s">
        <v>83</v>
      </c>
      <c r="C21" s="27" t="n">
        <v>-13815</v>
      </c>
      <c r="D21" s="28" t="n">
        <f aca="false">C21/$T$1*100</f>
        <v>-2.763</v>
      </c>
      <c r="E21" s="28" t="n">
        <f aca="false">E20+D21</f>
        <v>-36.6495</v>
      </c>
      <c r="F21" s="28" t="n">
        <f aca="false">MAX(0,MAX($E$2:E21))</f>
        <v>14.928</v>
      </c>
      <c r="G21" s="28" t="n">
        <f aca="false">E21-F21</f>
        <v>-51.5775</v>
      </c>
      <c r="H21" s="25" t="n">
        <f aca="false">IF(G21&gt;=-0.0000001,A21,H20)</f>
        <v>45821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-13815</v>
      </c>
      <c r="L21" s="28" t="n">
        <f aca="false">L20+K21/$T$1*100</f>
        <v>-24.35025</v>
      </c>
      <c r="M21" s="28" t="n">
        <f aca="false">MAX(0,MAX($L$2:L21))</f>
        <v>15.30825</v>
      </c>
      <c r="N21" s="28" t="n">
        <f aca="false">L21-M21</f>
        <v>-39.6585</v>
      </c>
      <c r="O21" s="25" t="n">
        <f aca="false">IF(N21&gt;=-0.0000001,A21,O20)</f>
        <v>45821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45838</v>
      </c>
      <c r="B22" s="26" t="s">
        <v>79</v>
      </c>
      <c r="C22" s="27" t="n">
        <v>-24712.5</v>
      </c>
      <c r="D22" s="28" t="n">
        <f aca="false">C22/$T$1*100</f>
        <v>-4.9425</v>
      </c>
      <c r="E22" s="28" t="n">
        <f aca="false">E21+D22</f>
        <v>-41.592</v>
      </c>
      <c r="F22" s="28" t="n">
        <f aca="false">MAX(0,MAX($E$2:E22))</f>
        <v>14.928</v>
      </c>
      <c r="G22" s="28" t="n">
        <f aca="false">E22-F22</f>
        <v>-56.52</v>
      </c>
      <c r="H22" s="25" t="n">
        <f aca="false">IF(G22&gt;=-0.0000001,A22,H21)</f>
        <v>45821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-24712.5</v>
      </c>
      <c r="L22" s="28" t="n">
        <f aca="false">L21+K22/$T$1*100</f>
        <v>-29.29275</v>
      </c>
      <c r="M22" s="28" t="n">
        <f aca="false">MAX(0,MAX($L$2:L22))</f>
        <v>15.30825</v>
      </c>
      <c r="N22" s="28" t="n">
        <f aca="false">L22-M22</f>
        <v>-44.601</v>
      </c>
      <c r="O22" s="25" t="n">
        <f aca="false">IF(N22&gt;=-0.0000001,A22,O21)</f>
        <v>45821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45839</v>
      </c>
      <c r="B23" s="26" t="s">
        <v>80</v>
      </c>
      <c r="C23" s="27" t="n">
        <v>-7560</v>
      </c>
      <c r="D23" s="28" t="n">
        <f aca="false">C23/$T$1*100</f>
        <v>-1.512</v>
      </c>
      <c r="E23" s="28" t="n">
        <f aca="false">E22+D23</f>
        <v>-43.104</v>
      </c>
      <c r="F23" s="28" t="n">
        <f aca="false">MAX(0,MAX($E$2:E23))</f>
        <v>14.928</v>
      </c>
      <c r="G23" s="28" t="n">
        <f aca="false">E23-F23</f>
        <v>-58.032</v>
      </c>
      <c r="H23" s="25" t="n">
        <f aca="false">IF(G23&gt;=-0.0000001,A23,H22)</f>
        <v>45821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-7560</v>
      </c>
      <c r="L23" s="28" t="n">
        <f aca="false">L22+K23/$T$1*100</f>
        <v>-30.80475</v>
      </c>
      <c r="M23" s="28" t="n">
        <f aca="false">MAX(0,MAX($L$2:L23))</f>
        <v>15.30825</v>
      </c>
      <c r="N23" s="28" t="n">
        <f aca="false">L23-M23</f>
        <v>-46.113</v>
      </c>
      <c r="O23" s="25" t="n">
        <f aca="false">IF(N23&gt;=-0.0000001,A23,O22)</f>
        <v>45821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45840</v>
      </c>
      <c r="B24" s="26" t="s">
        <v>81</v>
      </c>
      <c r="C24" s="27" t="n">
        <v>33810</v>
      </c>
      <c r="D24" s="28" t="n">
        <f aca="false">C24/$T$1*100</f>
        <v>6.762</v>
      </c>
      <c r="E24" s="28" t="n">
        <f aca="false">E23+D24</f>
        <v>-36.342</v>
      </c>
      <c r="F24" s="28" t="n">
        <f aca="false">MAX(0,MAX($E$2:E24))</f>
        <v>14.928</v>
      </c>
      <c r="G24" s="28" t="n">
        <f aca="false">E24-F24</f>
        <v>-51.27</v>
      </c>
      <c r="H24" s="25" t="n">
        <f aca="false">IF(G24&gt;=-0.0000001,A24,H23)</f>
        <v>45821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0</v>
      </c>
      <c r="L24" s="28" t="n">
        <f aca="false">L23+K24/$T$1*100</f>
        <v>-30.80475</v>
      </c>
      <c r="M24" s="28" t="n">
        <f aca="false">MAX(0,MAX($L$2:L24))</f>
        <v>15.30825</v>
      </c>
      <c r="N24" s="28" t="n">
        <f aca="false">L24-M24</f>
        <v>-46.113</v>
      </c>
      <c r="O24" s="25" t="n">
        <f aca="false">IF(N24&gt;=-0.0000001,A24,O23)</f>
        <v>45821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45841</v>
      </c>
      <c r="B25" s="26" t="s">
        <v>82</v>
      </c>
      <c r="C25" s="27" t="n">
        <v>-53640</v>
      </c>
      <c r="D25" s="28" t="n">
        <f aca="false">C25/$T$1*100</f>
        <v>-10.728</v>
      </c>
      <c r="E25" s="28" t="n">
        <f aca="false">E24+D25</f>
        <v>-47.07</v>
      </c>
      <c r="F25" s="28" t="n">
        <f aca="false">MAX(0,MAX($E$2:E25))</f>
        <v>14.928</v>
      </c>
      <c r="G25" s="28" t="n">
        <f aca="false">E25-F25</f>
        <v>-61.998</v>
      </c>
      <c r="H25" s="25" t="n">
        <f aca="false">IF(G25&gt;=-0.0000001,A25,H24)</f>
        <v>45821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-53640</v>
      </c>
      <c r="L25" s="28" t="n">
        <f aca="false">L24+K25/$T$1*100</f>
        <v>-41.53275</v>
      </c>
      <c r="M25" s="28" t="n">
        <f aca="false">MAX(0,MAX($L$2:L25))</f>
        <v>15.30825</v>
      </c>
      <c r="N25" s="28" t="n">
        <f aca="false">L25-M25</f>
        <v>-56.841</v>
      </c>
      <c r="O25" s="25" t="n">
        <f aca="false">IF(N25&gt;=-0.0000001,A25,O24)</f>
        <v>45821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45842</v>
      </c>
      <c r="B26" s="26" t="s">
        <v>83</v>
      </c>
      <c r="C26" s="27" t="n">
        <v>7560</v>
      </c>
      <c r="D26" s="28" t="n">
        <f aca="false">C26/$T$1*100</f>
        <v>1.512</v>
      </c>
      <c r="E26" s="28" t="n">
        <f aca="false">E25+D26</f>
        <v>-45.558</v>
      </c>
      <c r="F26" s="28" t="n">
        <f aca="false">MAX(0,MAX($E$2:E26))</f>
        <v>14.928</v>
      </c>
      <c r="G26" s="28" t="n">
        <f aca="false">E26-F26</f>
        <v>-60.486</v>
      </c>
      <c r="H26" s="25" t="n">
        <f aca="false">IF(G26&gt;=-0.0000001,A26,H25)</f>
        <v>45821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7560</v>
      </c>
      <c r="L26" s="28" t="n">
        <f aca="false">L25+K26/$T$1*100</f>
        <v>-40.02075</v>
      </c>
      <c r="M26" s="28" t="n">
        <f aca="false">MAX(0,MAX($L$2:L26))</f>
        <v>15.30825</v>
      </c>
      <c r="N26" s="28" t="n">
        <f aca="false">L26-M26</f>
        <v>-55.329</v>
      </c>
      <c r="O26" s="25" t="n">
        <f aca="false">IF(N26&gt;=-0.0000001,A26,O25)</f>
        <v>45821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45845</v>
      </c>
      <c r="B27" s="26" t="s">
        <v>79</v>
      </c>
      <c r="C27" s="27" t="n">
        <v>2193.75</v>
      </c>
      <c r="D27" s="28" t="n">
        <f aca="false">C27/$T$1*100</f>
        <v>0.43875</v>
      </c>
      <c r="E27" s="28" t="n">
        <f aca="false">E26+D27</f>
        <v>-45.11925</v>
      </c>
      <c r="F27" s="28" t="n">
        <f aca="false">MAX(0,MAX($E$2:E27))</f>
        <v>14.928</v>
      </c>
      <c r="G27" s="28" t="n">
        <f aca="false">E27-F27</f>
        <v>-60.04725</v>
      </c>
      <c r="H27" s="25" t="n">
        <f aca="false">IF(G27&gt;=-0.0000001,A27,H26)</f>
        <v>45821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2193.75</v>
      </c>
      <c r="L27" s="28" t="n">
        <f aca="false">L26+K27/$T$1*100</f>
        <v>-39.582</v>
      </c>
      <c r="M27" s="28" t="n">
        <f aca="false">MAX(0,MAX($L$2:L27))</f>
        <v>15.30825</v>
      </c>
      <c r="N27" s="28" t="n">
        <f aca="false">L27-M27</f>
        <v>-54.89025</v>
      </c>
      <c r="O27" s="25" t="n">
        <f aca="false">IF(N27&gt;=-0.0000001,A27,O26)</f>
        <v>45821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45846</v>
      </c>
      <c r="B28" s="26" t="s">
        <v>80</v>
      </c>
      <c r="C28" s="27" t="n">
        <v>13702.5</v>
      </c>
      <c r="D28" s="28" t="n">
        <f aca="false">C28/$T$1*100</f>
        <v>2.7405</v>
      </c>
      <c r="E28" s="28" t="n">
        <f aca="false">E27+D28</f>
        <v>-42.37875</v>
      </c>
      <c r="F28" s="28" t="n">
        <f aca="false">MAX(0,MAX($E$2:E28))</f>
        <v>14.928</v>
      </c>
      <c r="G28" s="28" t="n">
        <f aca="false">E28-F28</f>
        <v>-57.30675</v>
      </c>
      <c r="H28" s="25" t="n">
        <f aca="false">IF(G28&gt;=-0.0000001,A28,H27)</f>
        <v>45821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13702.5</v>
      </c>
      <c r="L28" s="28" t="n">
        <f aca="false">L27+K28/$T$1*100</f>
        <v>-36.8415</v>
      </c>
      <c r="M28" s="28" t="n">
        <f aca="false">MAX(0,MAX($L$2:L28))</f>
        <v>15.30825</v>
      </c>
      <c r="N28" s="28" t="n">
        <f aca="false">L28-M28</f>
        <v>-52.14975</v>
      </c>
      <c r="O28" s="25" t="n">
        <f aca="false">IF(N28&gt;=-0.0000001,A28,O27)</f>
        <v>45821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45847</v>
      </c>
      <c r="B29" s="26" t="s">
        <v>81</v>
      </c>
      <c r="C29" s="27" t="n">
        <v>-28713.75</v>
      </c>
      <c r="D29" s="28" t="n">
        <f aca="false">C29/$T$1*100</f>
        <v>-5.74275</v>
      </c>
      <c r="E29" s="28" t="n">
        <f aca="false">E28+D29</f>
        <v>-48.1215</v>
      </c>
      <c r="F29" s="28" t="n">
        <f aca="false">MAX(0,MAX($E$2:E29))</f>
        <v>14.928</v>
      </c>
      <c r="G29" s="28" t="n">
        <f aca="false">E29-F29</f>
        <v>-63.0495</v>
      </c>
      <c r="H29" s="25" t="n">
        <f aca="false">IF(G29&gt;=-0.0000001,A29,H28)</f>
        <v>45821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0</v>
      </c>
      <c r="L29" s="28" t="n">
        <f aca="false">L28+K29/$T$1*100</f>
        <v>-36.8415</v>
      </c>
      <c r="M29" s="28" t="n">
        <f aca="false">MAX(0,MAX($L$2:L29))</f>
        <v>15.30825</v>
      </c>
      <c r="N29" s="28" t="n">
        <f aca="false">L29-M29</f>
        <v>-52.14975</v>
      </c>
      <c r="O29" s="25" t="n">
        <f aca="false">IF(N29&gt;=-0.0000001,A29,O28)</f>
        <v>45821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45848</v>
      </c>
      <c r="B30" s="26" t="s">
        <v>82</v>
      </c>
      <c r="C30" s="27" t="n">
        <v>-585</v>
      </c>
      <c r="D30" s="28" t="n">
        <f aca="false">C30/$T$1*100</f>
        <v>-0.117</v>
      </c>
      <c r="E30" s="28" t="n">
        <f aca="false">E29+D30</f>
        <v>-48.2385</v>
      </c>
      <c r="F30" s="28" t="n">
        <f aca="false">MAX(0,MAX($E$2:E30))</f>
        <v>14.928</v>
      </c>
      <c r="G30" s="28" t="n">
        <f aca="false">E30-F30</f>
        <v>-63.1665</v>
      </c>
      <c r="H30" s="25" t="n">
        <f aca="false">IF(G30&gt;=-0.0000001,A30,H29)</f>
        <v>45821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-585</v>
      </c>
      <c r="L30" s="28" t="n">
        <f aca="false">L29+K30/$T$1*100</f>
        <v>-36.9585</v>
      </c>
      <c r="M30" s="28" t="n">
        <f aca="false">MAX(0,MAX($L$2:L30))</f>
        <v>15.30825</v>
      </c>
      <c r="N30" s="28" t="n">
        <f aca="false">L30-M30</f>
        <v>-52.26675</v>
      </c>
      <c r="O30" s="25" t="n">
        <f aca="false">IF(N30&gt;=-0.0000001,A30,O29)</f>
        <v>45821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45849</v>
      </c>
      <c r="B31" s="26" t="s">
        <v>83</v>
      </c>
      <c r="C31" s="27" t="n">
        <v>-7320</v>
      </c>
      <c r="D31" s="28" t="n">
        <f aca="false">C31/$T$1*100</f>
        <v>-1.464</v>
      </c>
      <c r="E31" s="28" t="n">
        <f aca="false">E30+D31</f>
        <v>-49.7025</v>
      </c>
      <c r="F31" s="28" t="n">
        <f aca="false">MAX(0,MAX($E$2:E31))</f>
        <v>14.928</v>
      </c>
      <c r="G31" s="28" t="n">
        <f aca="false">E31-F31</f>
        <v>-64.6305</v>
      </c>
      <c r="H31" s="25" t="n">
        <f aca="false">IF(G31&gt;=-0.0000001,A31,H30)</f>
        <v>45821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-7320</v>
      </c>
      <c r="L31" s="28" t="n">
        <f aca="false">L30+K31/$T$1*100</f>
        <v>-38.4225</v>
      </c>
      <c r="M31" s="28" t="n">
        <f aca="false">MAX(0,MAX($L$2:L31))</f>
        <v>15.30825</v>
      </c>
      <c r="N31" s="28" t="n">
        <f aca="false">L31-M31</f>
        <v>-53.73075</v>
      </c>
      <c r="O31" s="25" t="n">
        <f aca="false">IF(N31&gt;=-0.0000001,A31,O30)</f>
        <v>45821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45852</v>
      </c>
      <c r="B32" s="26" t="s">
        <v>79</v>
      </c>
      <c r="C32" s="27" t="n">
        <v>-375</v>
      </c>
      <c r="D32" s="28" t="n">
        <f aca="false">C32/$T$1*100</f>
        <v>-0.075</v>
      </c>
      <c r="E32" s="28" t="n">
        <f aca="false">E31+D32</f>
        <v>-49.7775</v>
      </c>
      <c r="F32" s="28" t="n">
        <f aca="false">MAX(0,MAX($E$2:E32))</f>
        <v>14.928</v>
      </c>
      <c r="G32" s="28" t="n">
        <f aca="false">E32-F32</f>
        <v>-64.7055</v>
      </c>
      <c r="H32" s="25" t="n">
        <f aca="false">IF(G32&gt;=-0.0000001,A32,H31)</f>
        <v>45821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-375</v>
      </c>
      <c r="L32" s="28" t="n">
        <f aca="false">L31+K32/$T$1*100</f>
        <v>-38.4975</v>
      </c>
      <c r="M32" s="28" t="n">
        <f aca="false">MAX(0,MAX($L$2:L32))</f>
        <v>15.30825</v>
      </c>
      <c r="N32" s="28" t="n">
        <f aca="false">L32-M32</f>
        <v>-53.80575</v>
      </c>
      <c r="O32" s="25" t="n">
        <f aca="false">IF(N32&gt;=-0.0000001,A32,O31)</f>
        <v>45821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45853</v>
      </c>
      <c r="B33" s="26" t="s">
        <v>80</v>
      </c>
      <c r="C33" s="27" t="n">
        <v>-18123.75</v>
      </c>
      <c r="D33" s="28" t="n">
        <f aca="false">C33/$T$1*100</f>
        <v>-3.62475</v>
      </c>
      <c r="E33" s="28" t="n">
        <f aca="false">E32+D33</f>
        <v>-53.40225</v>
      </c>
      <c r="F33" s="28" t="n">
        <f aca="false">MAX(0,MAX($E$2:E33))</f>
        <v>14.928</v>
      </c>
      <c r="G33" s="28" t="n">
        <f aca="false">E33-F33</f>
        <v>-68.33025</v>
      </c>
      <c r="H33" s="25" t="n">
        <f aca="false">IF(G33&gt;=-0.0000001,A33,H32)</f>
        <v>45821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-18123.75</v>
      </c>
      <c r="L33" s="28" t="n">
        <f aca="false">L32+K33/$T$1*100</f>
        <v>-42.12225</v>
      </c>
      <c r="M33" s="28" t="n">
        <f aca="false">MAX(0,MAX($L$2:L33))</f>
        <v>15.30825</v>
      </c>
      <c r="N33" s="28" t="n">
        <f aca="false">L33-M33</f>
        <v>-57.4305</v>
      </c>
      <c r="O33" s="25" t="n">
        <f aca="false">IF(N33&gt;=-0.0000001,A33,O32)</f>
        <v>45821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45854</v>
      </c>
      <c r="B34" s="26" t="s">
        <v>81</v>
      </c>
      <c r="C34" s="27" t="n">
        <v>63180</v>
      </c>
      <c r="D34" s="28" t="n">
        <f aca="false">C34/$T$1*100</f>
        <v>12.636</v>
      </c>
      <c r="E34" s="28" t="n">
        <f aca="false">E33+D34</f>
        <v>-40.76625</v>
      </c>
      <c r="F34" s="28" t="n">
        <f aca="false">MAX(0,MAX($E$2:E34))</f>
        <v>14.928</v>
      </c>
      <c r="G34" s="28" t="n">
        <f aca="false">E34-F34</f>
        <v>-55.69425</v>
      </c>
      <c r="H34" s="25" t="n">
        <f aca="false">IF(G34&gt;=-0.0000001,A34,H33)</f>
        <v>45821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0</v>
      </c>
      <c r="L34" s="28" t="n">
        <f aca="false">L33+K34/$T$1*100</f>
        <v>-42.12225</v>
      </c>
      <c r="M34" s="28" t="n">
        <f aca="false">MAX(0,MAX($L$2:L34))</f>
        <v>15.30825</v>
      </c>
      <c r="N34" s="28" t="n">
        <f aca="false">L34-M34</f>
        <v>-57.4305</v>
      </c>
      <c r="O34" s="25" t="n">
        <f aca="false">IF(N34&gt;=-0.0000001,A34,O33)</f>
        <v>45821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45859</v>
      </c>
      <c r="B35" s="26" t="s">
        <v>79</v>
      </c>
      <c r="C35" s="27" t="n">
        <v>1500</v>
      </c>
      <c r="D35" s="28" t="n">
        <f aca="false">C35/$T$1*100</f>
        <v>0.3</v>
      </c>
      <c r="E35" s="28" t="n">
        <f aca="false">E34+D35</f>
        <v>-40.46625</v>
      </c>
      <c r="F35" s="28" t="n">
        <f aca="false">MAX(0,MAX($E$2:E35))</f>
        <v>14.928</v>
      </c>
      <c r="G35" s="28" t="n">
        <f aca="false">E35-F35</f>
        <v>-55.39425</v>
      </c>
      <c r="H35" s="25" t="n">
        <f aca="false">IF(G35&gt;=-0.0000001,A35,H34)</f>
        <v>45821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1500</v>
      </c>
      <c r="L35" s="28" t="n">
        <f aca="false">L34+K35/$T$1*100</f>
        <v>-41.82225</v>
      </c>
      <c r="M35" s="28" t="n">
        <f aca="false">MAX(0,MAX($L$2:L35))</f>
        <v>15.30825</v>
      </c>
      <c r="N35" s="28" t="n">
        <f aca="false">L35-M35</f>
        <v>-57.1305</v>
      </c>
      <c r="O35" s="25" t="n">
        <f aca="false">IF(N35&gt;=-0.0000001,A35,O34)</f>
        <v>45821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45862</v>
      </c>
      <c r="B36" s="26" t="s">
        <v>82</v>
      </c>
      <c r="C36" s="27" t="n">
        <v>95700</v>
      </c>
      <c r="D36" s="28" t="n">
        <f aca="false">C36/$T$1*100</f>
        <v>19.14</v>
      </c>
      <c r="E36" s="28" t="n">
        <f aca="false">E35+D36</f>
        <v>-21.32625</v>
      </c>
      <c r="F36" s="28" t="n">
        <f aca="false">MAX(0,MAX($E$2:E36))</f>
        <v>14.928</v>
      </c>
      <c r="G36" s="28" t="n">
        <f aca="false">E36-F36</f>
        <v>-36.25425</v>
      </c>
      <c r="H36" s="25" t="n">
        <f aca="false">IF(G36&gt;=-0.0000001,A36,H35)</f>
        <v>45821</v>
      </c>
      <c r="I36" s="29" t="n">
        <f aca="false">IF(AND(G36&gt;=-0.0000001,G35&lt;0),1,0)</f>
        <v>0</v>
      </c>
      <c r="J36" s="30" t="str">
        <f aca="false">IF(I36=1,A36-H35,"")</f>
        <v/>
      </c>
      <c r="K36" s="27" t="n">
        <f aca="false">IF(B36="Wednesday",0,C36)</f>
        <v>95700</v>
      </c>
      <c r="L36" s="28" t="n">
        <f aca="false">L35+K36/$T$1*100</f>
        <v>-22.68225</v>
      </c>
      <c r="M36" s="28" t="n">
        <f aca="false">MAX(0,MAX($L$2:L36))</f>
        <v>15.30825</v>
      </c>
      <c r="N36" s="28" t="n">
        <f aca="false">L36-M36</f>
        <v>-37.9905</v>
      </c>
      <c r="O36" s="25" t="n">
        <f aca="false">IF(N36&gt;=-0.0000001,A36,O35)</f>
        <v>45821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45863</v>
      </c>
      <c r="B37" s="26" t="s">
        <v>83</v>
      </c>
      <c r="C37" s="27" t="n">
        <v>-16983.75</v>
      </c>
      <c r="D37" s="28" t="n">
        <f aca="false">C37/$T$1*100</f>
        <v>-3.39675</v>
      </c>
      <c r="E37" s="28" t="n">
        <f aca="false">E36+D37</f>
        <v>-24.723</v>
      </c>
      <c r="F37" s="28" t="n">
        <f aca="false">MAX(0,MAX($E$2:E37))</f>
        <v>14.928</v>
      </c>
      <c r="G37" s="28" t="n">
        <f aca="false">E37-F37</f>
        <v>-39.651</v>
      </c>
      <c r="H37" s="25" t="n">
        <f aca="false">IF(G37&gt;=-0.0000001,A37,H36)</f>
        <v>45821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-16983.75</v>
      </c>
      <c r="L37" s="28" t="n">
        <f aca="false">L36+K37/$T$1*100</f>
        <v>-26.079</v>
      </c>
      <c r="M37" s="28" t="n">
        <f aca="false">MAX(0,MAX($L$2:L37))</f>
        <v>15.30825</v>
      </c>
      <c r="N37" s="28" t="n">
        <f aca="false">L37-M37</f>
        <v>-41.38725</v>
      </c>
      <c r="O37" s="25" t="n">
        <f aca="false">IF(N37&gt;=-0.0000001,A37,O36)</f>
        <v>45821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45866</v>
      </c>
      <c r="B38" s="26" t="s">
        <v>79</v>
      </c>
      <c r="C38" s="27" t="n">
        <v>50658.75</v>
      </c>
      <c r="D38" s="28" t="n">
        <f aca="false">C38/$T$1*100</f>
        <v>10.13175</v>
      </c>
      <c r="E38" s="28" t="n">
        <f aca="false">E37+D38</f>
        <v>-14.59125</v>
      </c>
      <c r="F38" s="28" t="n">
        <f aca="false">MAX(0,MAX($E$2:E38))</f>
        <v>14.928</v>
      </c>
      <c r="G38" s="28" t="n">
        <f aca="false">E38-F38</f>
        <v>-29.51925</v>
      </c>
      <c r="H38" s="25" t="n">
        <f aca="false">IF(G38&gt;=-0.0000001,A38,H37)</f>
        <v>45821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50658.75</v>
      </c>
      <c r="L38" s="28" t="n">
        <f aca="false">L37+K38/$T$1*100</f>
        <v>-15.94725</v>
      </c>
      <c r="M38" s="28" t="n">
        <f aca="false">MAX(0,MAX($L$2:L38))</f>
        <v>15.30825</v>
      </c>
      <c r="N38" s="28" t="n">
        <f aca="false">L38-M38</f>
        <v>-31.2555</v>
      </c>
      <c r="O38" s="25" t="n">
        <f aca="false">IF(N38&gt;=-0.0000001,A38,O37)</f>
        <v>45821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45867</v>
      </c>
      <c r="B39" s="26" t="s">
        <v>80</v>
      </c>
      <c r="C39" s="27" t="n">
        <v>-54705</v>
      </c>
      <c r="D39" s="28" t="n">
        <f aca="false">C39/$T$1*100</f>
        <v>-10.941</v>
      </c>
      <c r="E39" s="28" t="n">
        <f aca="false">E38+D39</f>
        <v>-25.53225</v>
      </c>
      <c r="F39" s="28" t="n">
        <f aca="false">MAX(0,MAX($E$2:E39))</f>
        <v>14.928</v>
      </c>
      <c r="G39" s="28" t="n">
        <f aca="false">E39-F39</f>
        <v>-40.46025</v>
      </c>
      <c r="H39" s="25" t="n">
        <f aca="false">IF(G39&gt;=-0.0000001,A39,H38)</f>
        <v>45821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-54705</v>
      </c>
      <c r="L39" s="28" t="n">
        <f aca="false">L38+K39/$T$1*100</f>
        <v>-26.88825</v>
      </c>
      <c r="M39" s="28" t="n">
        <f aca="false">MAX(0,MAX($L$2:L39))</f>
        <v>15.30825</v>
      </c>
      <c r="N39" s="28" t="n">
        <f aca="false">L39-M39</f>
        <v>-42.1965</v>
      </c>
      <c r="O39" s="25" t="n">
        <f aca="false">IF(N39&gt;=-0.0000001,A39,O38)</f>
        <v>45821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45868</v>
      </c>
      <c r="B40" s="26" t="s">
        <v>81</v>
      </c>
      <c r="C40" s="27" t="n">
        <v>-38872.5</v>
      </c>
      <c r="D40" s="28" t="n">
        <f aca="false">C40/$T$1*100</f>
        <v>-7.7745</v>
      </c>
      <c r="E40" s="28" t="n">
        <f aca="false">E39+D40</f>
        <v>-33.30675</v>
      </c>
      <c r="F40" s="28" t="n">
        <f aca="false">MAX(0,MAX($E$2:E40))</f>
        <v>14.928</v>
      </c>
      <c r="G40" s="28" t="n">
        <f aca="false">E40-F40</f>
        <v>-48.23475</v>
      </c>
      <c r="H40" s="25" t="n">
        <f aca="false">IF(G40&gt;=-0.0000001,A40,H39)</f>
        <v>45821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0</v>
      </c>
      <c r="L40" s="28" t="n">
        <f aca="false">L39+K40/$T$1*100</f>
        <v>-26.88825</v>
      </c>
      <c r="M40" s="28" t="n">
        <f aca="false">MAX(0,MAX($L$2:L40))</f>
        <v>15.30825</v>
      </c>
      <c r="N40" s="28" t="n">
        <f aca="false">L40-M40</f>
        <v>-42.1965</v>
      </c>
      <c r="O40" s="25" t="n">
        <f aca="false">IF(N40&gt;=-0.0000001,A40,O39)</f>
        <v>45821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45869</v>
      </c>
      <c r="B41" s="26" t="s">
        <v>82</v>
      </c>
      <c r="C41" s="27" t="n">
        <v>-28065</v>
      </c>
      <c r="D41" s="28" t="n">
        <f aca="false">C41/$T$1*100</f>
        <v>-5.613</v>
      </c>
      <c r="E41" s="28" t="n">
        <f aca="false">E40+D41</f>
        <v>-38.91975</v>
      </c>
      <c r="F41" s="28" t="n">
        <f aca="false">MAX(0,MAX($E$2:E41))</f>
        <v>14.928</v>
      </c>
      <c r="G41" s="28" t="n">
        <f aca="false">E41-F41</f>
        <v>-53.84775</v>
      </c>
      <c r="H41" s="25" t="n">
        <f aca="false">IF(G41&gt;=-0.0000001,A41,H40)</f>
        <v>45821</v>
      </c>
      <c r="I41" s="29" t="n">
        <f aca="false">IF(AND(G41&gt;=-0.0000001,G40&lt;0),1,0)</f>
        <v>0</v>
      </c>
      <c r="J41" s="30" t="str">
        <f aca="false">IF(I41=1,A41-H40,"")</f>
        <v/>
      </c>
      <c r="K41" s="27" t="n">
        <f aca="false">IF(B41="Wednesday",0,C41)</f>
        <v>-28065</v>
      </c>
      <c r="L41" s="28" t="n">
        <f aca="false">L40+K41/$T$1*100</f>
        <v>-32.50125</v>
      </c>
      <c r="M41" s="28" t="n">
        <f aca="false">MAX(0,MAX($L$2:L41))</f>
        <v>15.30825</v>
      </c>
      <c r="N41" s="28" t="n">
        <f aca="false">L41-M41</f>
        <v>-47.8095</v>
      </c>
      <c r="O41" s="25" t="n">
        <f aca="false">IF(N41&gt;=-0.0000001,A41,O40)</f>
        <v>45821</v>
      </c>
      <c r="P41" s="29" t="n">
        <f aca="false">IF(AND(N41&gt;=-0.0000001,N40&lt;0),1,0)</f>
        <v>0</v>
      </c>
      <c r="Q41" s="30" t="str">
        <f aca="false">IF(P41=1,A41-O40,"")</f>
        <v/>
      </c>
    </row>
    <row r="42" customFormat="false" ht="15" hidden="false" customHeight="false" outlineLevel="0" collapsed="false">
      <c r="A42" s="25" t="n">
        <v>45870</v>
      </c>
      <c r="B42" s="26" t="s">
        <v>83</v>
      </c>
      <c r="C42" s="27" t="n">
        <v>18315</v>
      </c>
      <c r="D42" s="28" t="n">
        <f aca="false">C42/$T$1*100</f>
        <v>3.663</v>
      </c>
      <c r="E42" s="28" t="n">
        <f aca="false">E41+D42</f>
        <v>-35.25675</v>
      </c>
      <c r="F42" s="28" t="n">
        <f aca="false">MAX(0,MAX($E$2:E42))</f>
        <v>14.928</v>
      </c>
      <c r="G42" s="28" t="n">
        <f aca="false">E42-F42</f>
        <v>-50.18475</v>
      </c>
      <c r="H42" s="25" t="n">
        <f aca="false">IF(G42&gt;=-0.0000001,A42,H41)</f>
        <v>45821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18315</v>
      </c>
      <c r="L42" s="28" t="n">
        <f aca="false">L41+K42/$T$1*100</f>
        <v>-28.83825</v>
      </c>
      <c r="M42" s="28" t="n">
        <f aca="false">MAX(0,MAX($L$2:L42))</f>
        <v>15.30825</v>
      </c>
      <c r="N42" s="28" t="n">
        <f aca="false">L42-M42</f>
        <v>-44.1465</v>
      </c>
      <c r="O42" s="25" t="n">
        <f aca="false">IF(N42&gt;=-0.0000001,A42,O41)</f>
        <v>45821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45873</v>
      </c>
      <c r="B43" s="26" t="s">
        <v>79</v>
      </c>
      <c r="C43" s="27" t="n">
        <v>7222.5</v>
      </c>
      <c r="D43" s="28" t="n">
        <f aca="false">C43/$T$1*100</f>
        <v>1.4445</v>
      </c>
      <c r="E43" s="28" t="n">
        <f aca="false">E42+D43</f>
        <v>-33.81225</v>
      </c>
      <c r="F43" s="28" t="n">
        <f aca="false">MAX(0,MAX($E$2:E43))</f>
        <v>14.928</v>
      </c>
      <c r="G43" s="28" t="n">
        <f aca="false">E43-F43</f>
        <v>-48.74025</v>
      </c>
      <c r="H43" s="25" t="n">
        <f aca="false">IF(G43&gt;=-0.0000001,A43,H42)</f>
        <v>45821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7222.5</v>
      </c>
      <c r="L43" s="28" t="n">
        <f aca="false">L42+K43/$T$1*100</f>
        <v>-27.39375</v>
      </c>
      <c r="M43" s="28" t="n">
        <f aca="false">MAX(0,MAX($L$2:L43))</f>
        <v>15.30825</v>
      </c>
      <c r="N43" s="28" t="n">
        <f aca="false">L43-M43</f>
        <v>-42.702</v>
      </c>
      <c r="O43" s="25" t="n">
        <f aca="false">IF(N43&gt;=-0.0000001,A43,O42)</f>
        <v>45821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45874</v>
      </c>
      <c r="B44" s="26" t="s">
        <v>80</v>
      </c>
      <c r="C44" s="27" t="n">
        <v>-10125</v>
      </c>
      <c r="D44" s="28" t="n">
        <f aca="false">C44/$T$1*100</f>
        <v>-2.025</v>
      </c>
      <c r="E44" s="28" t="n">
        <f aca="false">E43+D44</f>
        <v>-35.83725</v>
      </c>
      <c r="F44" s="28" t="n">
        <f aca="false">MAX(0,MAX($E$2:E44))</f>
        <v>14.928</v>
      </c>
      <c r="G44" s="28" t="n">
        <f aca="false">E44-F44</f>
        <v>-50.76525</v>
      </c>
      <c r="H44" s="25" t="n">
        <f aca="false">IF(G44&gt;=-0.0000001,A44,H43)</f>
        <v>45821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-10125</v>
      </c>
      <c r="L44" s="28" t="n">
        <f aca="false">L43+K44/$T$1*100</f>
        <v>-29.41875</v>
      </c>
      <c r="M44" s="28" t="n">
        <f aca="false">MAX(0,MAX($L$2:L44))</f>
        <v>15.30825</v>
      </c>
      <c r="N44" s="28" t="n">
        <f aca="false">L44-M44</f>
        <v>-44.727</v>
      </c>
      <c r="O44" s="25" t="n">
        <f aca="false">IF(N44&gt;=-0.0000001,A44,O43)</f>
        <v>45821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45875</v>
      </c>
      <c r="B45" s="26" t="s">
        <v>81</v>
      </c>
      <c r="C45" s="27" t="n">
        <v>17223.75</v>
      </c>
      <c r="D45" s="28" t="n">
        <f aca="false">C45/$T$1*100</f>
        <v>3.44475</v>
      </c>
      <c r="E45" s="28" t="n">
        <f aca="false">E44+D45</f>
        <v>-32.3925</v>
      </c>
      <c r="F45" s="28" t="n">
        <f aca="false">MAX(0,MAX($E$2:E45))</f>
        <v>14.928</v>
      </c>
      <c r="G45" s="28" t="n">
        <f aca="false">E45-F45</f>
        <v>-47.3205</v>
      </c>
      <c r="H45" s="25" t="n">
        <f aca="false">IF(G45&gt;=-0.0000001,A45,H44)</f>
        <v>45821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0</v>
      </c>
      <c r="L45" s="28" t="n">
        <f aca="false">L44+K45/$T$1*100</f>
        <v>-29.41875</v>
      </c>
      <c r="M45" s="28" t="n">
        <f aca="false">MAX(0,MAX($L$2:L45))</f>
        <v>15.30825</v>
      </c>
      <c r="N45" s="28" t="n">
        <f aca="false">L45-M45</f>
        <v>-44.727</v>
      </c>
      <c r="O45" s="25" t="n">
        <f aca="false">IF(N45&gt;=-0.0000001,A45,O44)</f>
        <v>45821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45876</v>
      </c>
      <c r="B46" s="26" t="s">
        <v>82</v>
      </c>
      <c r="C46" s="27" t="n">
        <v>92748.75</v>
      </c>
      <c r="D46" s="28" t="n">
        <f aca="false">C46/$T$1*100</f>
        <v>18.54975</v>
      </c>
      <c r="E46" s="28" t="n">
        <f aca="false">E45+D46</f>
        <v>-13.84275</v>
      </c>
      <c r="F46" s="28" t="n">
        <f aca="false">MAX(0,MAX($E$2:E46))</f>
        <v>14.928</v>
      </c>
      <c r="G46" s="28" t="n">
        <f aca="false">E46-F46</f>
        <v>-28.77075</v>
      </c>
      <c r="H46" s="25" t="n">
        <f aca="false">IF(G46&gt;=-0.0000001,A46,H45)</f>
        <v>45821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92748.75</v>
      </c>
      <c r="L46" s="28" t="n">
        <f aca="false">L45+K46/$T$1*100</f>
        <v>-10.869</v>
      </c>
      <c r="M46" s="28" t="n">
        <f aca="false">MAX(0,MAX($L$2:L46))</f>
        <v>15.30825</v>
      </c>
      <c r="N46" s="28" t="n">
        <f aca="false">L46-M46</f>
        <v>-26.17725</v>
      </c>
      <c r="O46" s="25" t="n">
        <f aca="false">IF(N46&gt;=-0.0000001,A46,O45)</f>
        <v>45821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45877</v>
      </c>
      <c r="B47" s="26" t="s">
        <v>83</v>
      </c>
      <c r="C47" s="27" t="n">
        <v>1365</v>
      </c>
      <c r="D47" s="28" t="n">
        <f aca="false">C47/$T$1*100</f>
        <v>0.273</v>
      </c>
      <c r="E47" s="28" t="n">
        <f aca="false">E46+D47</f>
        <v>-13.56975</v>
      </c>
      <c r="F47" s="28" t="n">
        <f aca="false">MAX(0,MAX($E$2:E47))</f>
        <v>14.928</v>
      </c>
      <c r="G47" s="28" t="n">
        <f aca="false">E47-F47</f>
        <v>-28.49775</v>
      </c>
      <c r="H47" s="25" t="n">
        <f aca="false">IF(G47&gt;=-0.0000001,A47,H46)</f>
        <v>45821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1365</v>
      </c>
      <c r="L47" s="28" t="n">
        <f aca="false">L46+K47/$T$1*100</f>
        <v>-10.596</v>
      </c>
      <c r="M47" s="28" t="n">
        <f aca="false">MAX(0,MAX($L$2:L47))</f>
        <v>15.30825</v>
      </c>
      <c r="N47" s="28" t="n">
        <f aca="false">L47-M47</f>
        <v>-25.90425</v>
      </c>
      <c r="O47" s="25" t="n">
        <f aca="false">IF(N47&gt;=-0.0000001,A47,O46)</f>
        <v>45821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45880</v>
      </c>
      <c r="B48" s="26" t="s">
        <v>79</v>
      </c>
      <c r="C48" s="27" t="n">
        <v>27067.5</v>
      </c>
      <c r="D48" s="28" t="n">
        <f aca="false">C48/$T$1*100</f>
        <v>5.4135</v>
      </c>
      <c r="E48" s="28" t="n">
        <f aca="false">E47+D48</f>
        <v>-8.15625000000001</v>
      </c>
      <c r="F48" s="28" t="n">
        <f aca="false">MAX(0,MAX($E$2:E48))</f>
        <v>14.928</v>
      </c>
      <c r="G48" s="28" t="n">
        <f aca="false">E48-F48</f>
        <v>-23.08425</v>
      </c>
      <c r="H48" s="25" t="n">
        <f aca="false">IF(G48&gt;=-0.0000001,A48,H47)</f>
        <v>45821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27067.5</v>
      </c>
      <c r="L48" s="28" t="n">
        <f aca="false">L47+K48/$T$1*100</f>
        <v>-5.1825</v>
      </c>
      <c r="M48" s="28" t="n">
        <f aca="false">MAX(0,MAX($L$2:L48))</f>
        <v>15.30825</v>
      </c>
      <c r="N48" s="28" t="n">
        <f aca="false">L48-M48</f>
        <v>-20.49075</v>
      </c>
      <c r="O48" s="25" t="n">
        <f aca="false">IF(N48&gt;=-0.0000001,A48,O47)</f>
        <v>45821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45881</v>
      </c>
      <c r="B49" s="26" t="s">
        <v>80</v>
      </c>
      <c r="C49" s="27" t="n">
        <v>-20268.75</v>
      </c>
      <c r="D49" s="28" t="n">
        <f aca="false">C49/$T$1*100</f>
        <v>-4.05375</v>
      </c>
      <c r="E49" s="28" t="n">
        <f aca="false">E48+D49</f>
        <v>-12.21</v>
      </c>
      <c r="F49" s="28" t="n">
        <f aca="false">MAX(0,MAX($E$2:E49))</f>
        <v>14.928</v>
      </c>
      <c r="G49" s="28" t="n">
        <f aca="false">E49-F49</f>
        <v>-27.138</v>
      </c>
      <c r="H49" s="25" t="n">
        <f aca="false">IF(G49&gt;=-0.0000001,A49,H48)</f>
        <v>45821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-20268.75</v>
      </c>
      <c r="L49" s="28" t="n">
        <f aca="false">L48+K49/$T$1*100</f>
        <v>-9.23625</v>
      </c>
      <c r="M49" s="28" t="n">
        <f aca="false">MAX(0,MAX($L$2:L49))</f>
        <v>15.30825</v>
      </c>
      <c r="N49" s="28" t="n">
        <f aca="false">L49-M49</f>
        <v>-24.5445</v>
      </c>
      <c r="O49" s="25" t="n">
        <f aca="false">IF(N49&gt;=-0.0000001,A49,O48)</f>
        <v>45821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45882</v>
      </c>
      <c r="B50" s="26" t="s">
        <v>81</v>
      </c>
      <c r="C50" s="27" t="n">
        <v>13860</v>
      </c>
      <c r="D50" s="28" t="n">
        <f aca="false">C50/$T$1*100</f>
        <v>2.772</v>
      </c>
      <c r="E50" s="28" t="n">
        <f aca="false">E49+D50</f>
        <v>-9.43800000000002</v>
      </c>
      <c r="F50" s="28" t="n">
        <f aca="false">MAX(0,MAX($E$2:E50))</f>
        <v>14.928</v>
      </c>
      <c r="G50" s="28" t="n">
        <f aca="false">E50-F50</f>
        <v>-24.366</v>
      </c>
      <c r="H50" s="25" t="n">
        <f aca="false">IF(G50&gt;=-0.0000001,A50,H49)</f>
        <v>45821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0</v>
      </c>
      <c r="L50" s="28" t="n">
        <f aca="false">L49+K50/$T$1*100</f>
        <v>-9.23625</v>
      </c>
      <c r="M50" s="28" t="n">
        <f aca="false">MAX(0,MAX($L$2:L50))</f>
        <v>15.30825</v>
      </c>
      <c r="N50" s="28" t="n">
        <f aca="false">L50-M50</f>
        <v>-24.5445</v>
      </c>
      <c r="O50" s="25" t="n">
        <f aca="false">IF(N50&gt;=-0.0000001,A50,O49)</f>
        <v>45821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45883</v>
      </c>
      <c r="B51" s="26" t="s">
        <v>82</v>
      </c>
      <c r="C51" s="27" t="n">
        <v>-5433.75</v>
      </c>
      <c r="D51" s="28" t="n">
        <f aca="false">C51/$T$1*100</f>
        <v>-1.08675</v>
      </c>
      <c r="E51" s="28" t="n">
        <f aca="false">E50+D51</f>
        <v>-10.52475</v>
      </c>
      <c r="F51" s="28" t="n">
        <f aca="false">MAX(0,MAX($E$2:E51))</f>
        <v>14.928</v>
      </c>
      <c r="G51" s="28" t="n">
        <f aca="false">E51-F51</f>
        <v>-25.45275</v>
      </c>
      <c r="H51" s="25" t="n">
        <f aca="false">IF(G51&gt;=-0.0000001,A51,H50)</f>
        <v>45821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-5433.75</v>
      </c>
      <c r="L51" s="28" t="n">
        <f aca="false">L50+K51/$T$1*100</f>
        <v>-10.323</v>
      </c>
      <c r="M51" s="28" t="n">
        <f aca="false">MAX(0,MAX($L$2:L51))</f>
        <v>15.30825</v>
      </c>
      <c r="N51" s="28" t="n">
        <f aca="false">L51-M51</f>
        <v>-25.63125</v>
      </c>
      <c r="O51" s="25" t="n">
        <f aca="false">IF(N51&gt;=-0.0000001,A51,O50)</f>
        <v>45821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45887</v>
      </c>
      <c r="B52" s="26" t="s">
        <v>79</v>
      </c>
      <c r="C52" s="27" t="n">
        <v>-6075</v>
      </c>
      <c r="D52" s="28" t="n">
        <f aca="false">C52/$T$1*100</f>
        <v>-1.215</v>
      </c>
      <c r="E52" s="28" t="n">
        <f aca="false">E51+D52</f>
        <v>-11.73975</v>
      </c>
      <c r="F52" s="28" t="n">
        <f aca="false">MAX(0,MAX($E$2:E52))</f>
        <v>14.928</v>
      </c>
      <c r="G52" s="28" t="n">
        <f aca="false">E52-F52</f>
        <v>-26.66775</v>
      </c>
      <c r="H52" s="25" t="n">
        <f aca="false">IF(G52&gt;=-0.0000001,A52,H51)</f>
        <v>45821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-6075</v>
      </c>
      <c r="L52" s="28" t="n">
        <f aca="false">L51+K52/$T$1*100</f>
        <v>-11.538</v>
      </c>
      <c r="M52" s="28" t="n">
        <f aca="false">MAX(0,MAX($L$2:L52))</f>
        <v>15.30825</v>
      </c>
      <c r="N52" s="28" t="n">
        <f aca="false">L52-M52</f>
        <v>-26.84625</v>
      </c>
      <c r="O52" s="25" t="n">
        <f aca="false">IF(N52&gt;=-0.0000001,A52,O51)</f>
        <v>45821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45888</v>
      </c>
      <c r="B53" s="26" t="s">
        <v>80</v>
      </c>
      <c r="C53" s="27" t="n">
        <v>12993.75</v>
      </c>
      <c r="D53" s="28" t="n">
        <f aca="false">C53/$T$1*100</f>
        <v>2.59875</v>
      </c>
      <c r="E53" s="28" t="n">
        <f aca="false">E52+D53</f>
        <v>-9.14100000000002</v>
      </c>
      <c r="F53" s="28" t="n">
        <f aca="false">MAX(0,MAX($E$2:E53))</f>
        <v>14.928</v>
      </c>
      <c r="G53" s="28" t="n">
        <f aca="false">E53-F53</f>
        <v>-24.069</v>
      </c>
      <c r="H53" s="25" t="n">
        <f aca="false">IF(G53&gt;=-0.0000001,A53,H52)</f>
        <v>45821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12993.75</v>
      </c>
      <c r="L53" s="28" t="n">
        <f aca="false">L52+K53/$T$1*100</f>
        <v>-8.93925</v>
      </c>
      <c r="M53" s="28" t="n">
        <f aca="false">MAX(0,MAX($L$2:L53))</f>
        <v>15.30825</v>
      </c>
      <c r="N53" s="28" t="n">
        <f aca="false">L53-M53</f>
        <v>-24.2475</v>
      </c>
      <c r="O53" s="25" t="n">
        <f aca="false">IF(N53&gt;=-0.0000001,A53,O52)</f>
        <v>45821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45889</v>
      </c>
      <c r="B54" s="26" t="s">
        <v>81</v>
      </c>
      <c r="C54" s="27" t="n">
        <v>33693.75</v>
      </c>
      <c r="D54" s="28" t="n">
        <f aca="false">C54/$T$1*100</f>
        <v>6.73875</v>
      </c>
      <c r="E54" s="28" t="n">
        <f aca="false">E53+D54</f>
        <v>-2.40225000000002</v>
      </c>
      <c r="F54" s="28" t="n">
        <f aca="false">MAX(0,MAX($E$2:E54))</f>
        <v>14.928</v>
      </c>
      <c r="G54" s="28" t="n">
        <f aca="false">E54-F54</f>
        <v>-17.33025</v>
      </c>
      <c r="H54" s="25" t="n">
        <f aca="false">IF(G54&gt;=-0.0000001,A54,H53)</f>
        <v>45821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0</v>
      </c>
      <c r="L54" s="28" t="n">
        <f aca="false">L53+K54/$T$1*100</f>
        <v>-8.93925</v>
      </c>
      <c r="M54" s="28" t="n">
        <f aca="false">MAX(0,MAX($L$2:L54))</f>
        <v>15.30825</v>
      </c>
      <c r="N54" s="28" t="n">
        <f aca="false">L54-M54</f>
        <v>-24.2475</v>
      </c>
      <c r="O54" s="25" t="n">
        <f aca="false">IF(N54&gt;=-0.0000001,A54,O53)</f>
        <v>45821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45890</v>
      </c>
      <c r="B55" s="26" t="s">
        <v>82</v>
      </c>
      <c r="C55" s="27" t="n">
        <v>-28222.5</v>
      </c>
      <c r="D55" s="28" t="n">
        <f aca="false">C55/$T$1*100</f>
        <v>-5.6445</v>
      </c>
      <c r="E55" s="28" t="n">
        <f aca="false">E54+D55</f>
        <v>-8.04675000000002</v>
      </c>
      <c r="F55" s="28" t="n">
        <f aca="false">MAX(0,MAX($E$2:E55))</f>
        <v>14.928</v>
      </c>
      <c r="G55" s="28" t="n">
        <f aca="false">E55-F55</f>
        <v>-22.97475</v>
      </c>
      <c r="H55" s="25" t="n">
        <f aca="false">IF(G55&gt;=-0.0000001,A55,H54)</f>
        <v>45821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-28222.5</v>
      </c>
      <c r="L55" s="28" t="n">
        <f aca="false">L54+K55/$T$1*100</f>
        <v>-14.58375</v>
      </c>
      <c r="M55" s="28" t="n">
        <f aca="false">MAX(0,MAX($L$2:L55))</f>
        <v>15.30825</v>
      </c>
      <c r="N55" s="28" t="n">
        <f aca="false">L55-M55</f>
        <v>-29.892</v>
      </c>
      <c r="O55" s="25" t="n">
        <f aca="false">IF(N55&gt;=-0.0000001,A55,O54)</f>
        <v>45821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45891</v>
      </c>
      <c r="B56" s="26" t="s">
        <v>83</v>
      </c>
      <c r="C56" s="27" t="n">
        <v>16680</v>
      </c>
      <c r="D56" s="28" t="n">
        <f aca="false">C56/$T$1*100</f>
        <v>3.336</v>
      </c>
      <c r="E56" s="28" t="n">
        <f aca="false">E55+D56</f>
        <v>-4.71075000000002</v>
      </c>
      <c r="F56" s="28" t="n">
        <f aca="false">MAX(0,MAX($E$2:E56))</f>
        <v>14.928</v>
      </c>
      <c r="G56" s="28" t="n">
        <f aca="false">E56-F56</f>
        <v>-19.63875</v>
      </c>
      <c r="H56" s="25" t="n">
        <f aca="false">IF(G56&gt;=-0.0000001,A56,H55)</f>
        <v>45821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16680</v>
      </c>
      <c r="L56" s="28" t="n">
        <f aca="false">L55+K56/$T$1*100</f>
        <v>-11.24775</v>
      </c>
      <c r="M56" s="28" t="n">
        <f aca="false">MAX(0,MAX($L$2:L56))</f>
        <v>15.30825</v>
      </c>
      <c r="N56" s="28" t="n">
        <f aca="false">L56-M56</f>
        <v>-26.556</v>
      </c>
      <c r="O56" s="25" t="n">
        <f aca="false">IF(N56&gt;=-0.0000001,A56,O55)</f>
        <v>45821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45894</v>
      </c>
      <c r="B57" s="26" t="s">
        <v>79</v>
      </c>
      <c r="C57" s="27" t="n">
        <v>4252.5</v>
      </c>
      <c r="D57" s="28" t="n">
        <f aca="false">C57/$T$1*100</f>
        <v>0.8505</v>
      </c>
      <c r="E57" s="28" t="n">
        <f aca="false">E56+D57</f>
        <v>-3.86025000000002</v>
      </c>
      <c r="F57" s="28" t="n">
        <f aca="false">MAX(0,MAX($E$2:E57))</f>
        <v>14.928</v>
      </c>
      <c r="G57" s="28" t="n">
        <f aca="false">E57-F57</f>
        <v>-18.78825</v>
      </c>
      <c r="H57" s="25" t="n">
        <f aca="false">IF(G57&gt;=-0.0000001,A57,H56)</f>
        <v>45821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4252.5</v>
      </c>
      <c r="L57" s="28" t="n">
        <f aca="false">L56+K57/$T$1*100</f>
        <v>-10.39725</v>
      </c>
      <c r="M57" s="28" t="n">
        <f aca="false">MAX(0,MAX($L$2:L57))</f>
        <v>15.30825</v>
      </c>
      <c r="N57" s="28" t="n">
        <f aca="false">L57-M57</f>
        <v>-25.7055</v>
      </c>
      <c r="O57" s="25" t="n">
        <f aca="false">IF(N57&gt;=-0.0000001,A57,O56)</f>
        <v>45821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45895</v>
      </c>
      <c r="B58" s="26" t="s">
        <v>80</v>
      </c>
      <c r="C58" s="27" t="n">
        <v>540</v>
      </c>
      <c r="D58" s="28" t="n">
        <f aca="false">C58/$T$1*100</f>
        <v>0.108</v>
      </c>
      <c r="E58" s="28" t="n">
        <f aca="false">E57+D58</f>
        <v>-3.75225000000001</v>
      </c>
      <c r="F58" s="28" t="n">
        <f aca="false">MAX(0,MAX($E$2:E58))</f>
        <v>14.928</v>
      </c>
      <c r="G58" s="28" t="n">
        <f aca="false">E58-F58</f>
        <v>-18.68025</v>
      </c>
      <c r="H58" s="25" t="n">
        <f aca="false">IF(G58&gt;=-0.0000001,A58,H57)</f>
        <v>45821</v>
      </c>
      <c r="I58" s="29" t="n">
        <f aca="false">IF(AND(G58&gt;=-0.0000001,G57&lt;0),1,0)</f>
        <v>0</v>
      </c>
      <c r="J58" s="30" t="str">
        <f aca="false">IF(I58=1,A58-H57,"")</f>
        <v/>
      </c>
      <c r="K58" s="27" t="n">
        <f aca="false">IF(B58="Wednesday",0,C58)</f>
        <v>540</v>
      </c>
      <c r="L58" s="28" t="n">
        <f aca="false">L57+K58/$T$1*100</f>
        <v>-10.28925</v>
      </c>
      <c r="M58" s="28" t="n">
        <f aca="false">MAX(0,MAX($L$2:L58))</f>
        <v>15.30825</v>
      </c>
      <c r="N58" s="28" t="n">
        <f aca="false">L58-M58</f>
        <v>-25.5975</v>
      </c>
      <c r="O58" s="25" t="n">
        <f aca="false">IF(N58&gt;=-0.0000001,A58,O57)</f>
        <v>45821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45897</v>
      </c>
      <c r="B59" s="26" t="s">
        <v>82</v>
      </c>
      <c r="C59" s="27" t="n">
        <v>145875</v>
      </c>
      <c r="D59" s="28" t="n">
        <f aca="false">C59/$T$1*100</f>
        <v>29.175</v>
      </c>
      <c r="E59" s="28" t="n">
        <f aca="false">E58+D59</f>
        <v>25.42275</v>
      </c>
      <c r="F59" s="28" t="n">
        <f aca="false">MAX(0,MAX($E$2:E59))</f>
        <v>25.42275</v>
      </c>
      <c r="G59" s="28" t="n">
        <f aca="false">E59-F59</f>
        <v>0</v>
      </c>
      <c r="H59" s="25" t="n">
        <f aca="false">IF(G59&gt;=-0.0000001,A59,H58)</f>
        <v>45897</v>
      </c>
      <c r="I59" s="29" t="n">
        <f aca="false">IF(AND(G59&gt;=-0.0000001,G58&lt;0),1,0)</f>
        <v>1</v>
      </c>
      <c r="J59" s="30" t="n">
        <f aca="false">IF(I59=1,A59-H58,"")</f>
        <v>76</v>
      </c>
      <c r="K59" s="27" t="n">
        <f aca="false">IF(B59="Wednesday",0,C59)</f>
        <v>145875</v>
      </c>
      <c r="L59" s="28" t="n">
        <f aca="false">L58+K59/$T$1*100</f>
        <v>18.88575</v>
      </c>
      <c r="M59" s="28" t="n">
        <f aca="false">MAX(0,MAX($L$2:L59))</f>
        <v>18.88575</v>
      </c>
      <c r="N59" s="28" t="n">
        <f aca="false">L59-M59</f>
        <v>0</v>
      </c>
      <c r="O59" s="25" t="n">
        <f aca="false">IF(N59&gt;=-0.0000001,A59,O58)</f>
        <v>45897</v>
      </c>
      <c r="P59" s="29" t="n">
        <f aca="false">IF(AND(N59&gt;=-0.0000001,N58&lt;0),1,0)</f>
        <v>1</v>
      </c>
      <c r="Q59" s="30" t="n">
        <f aca="false">IF(P59=1,A59-O58,"")</f>
        <v>76</v>
      </c>
    </row>
    <row r="60" customFormat="false" ht="15" hidden="false" customHeight="false" outlineLevel="0" collapsed="false">
      <c r="A60" s="25" t="n">
        <v>45898</v>
      </c>
      <c r="B60" s="26" t="s">
        <v>83</v>
      </c>
      <c r="C60" s="27" t="n">
        <v>-29362.5</v>
      </c>
      <c r="D60" s="28" t="n">
        <f aca="false">C60/$T$1*100</f>
        <v>-5.8725</v>
      </c>
      <c r="E60" s="28" t="n">
        <f aca="false">E59+D60</f>
        <v>19.55025</v>
      </c>
      <c r="F60" s="28" t="n">
        <f aca="false">MAX(0,MAX($E$2:E60))</f>
        <v>25.42275</v>
      </c>
      <c r="G60" s="28" t="n">
        <f aca="false">E60-F60</f>
        <v>-5.8725</v>
      </c>
      <c r="H60" s="25" t="n">
        <f aca="false">IF(G60&gt;=-0.0000001,A60,H59)</f>
        <v>45897</v>
      </c>
      <c r="I60" s="29" t="n">
        <f aca="false">IF(AND(G60&gt;=-0.0000001,G59&lt;0),1,0)</f>
        <v>0</v>
      </c>
      <c r="J60" s="30" t="str">
        <f aca="false">IF(I60=1,A60-H59,"")</f>
        <v/>
      </c>
      <c r="K60" s="27" t="n">
        <f aca="false">IF(B60="Wednesday",0,C60)</f>
        <v>-29362.5</v>
      </c>
      <c r="L60" s="28" t="n">
        <f aca="false">L59+K60/$T$1*100</f>
        <v>13.01325</v>
      </c>
      <c r="M60" s="28" t="n">
        <f aca="false">MAX(0,MAX($L$2:L60))</f>
        <v>18.88575</v>
      </c>
      <c r="N60" s="28" t="n">
        <f aca="false">L60-M60</f>
        <v>-5.8725</v>
      </c>
      <c r="O60" s="25" t="n">
        <f aca="false">IF(N60&gt;=-0.0000001,A60,O59)</f>
        <v>45897</v>
      </c>
      <c r="P60" s="29" t="n">
        <f aca="false">IF(AND(N60&gt;=-0.0000001,N59&lt;0),1,0)</f>
        <v>0</v>
      </c>
      <c r="Q60" s="30" t="str">
        <f aca="false">IF(P60=1,A60-O59,"")</f>
        <v/>
      </c>
    </row>
    <row r="61" customFormat="false" ht="15" hidden="false" customHeight="false" outlineLevel="0" collapsed="false">
      <c r="A61" s="25" t="n">
        <v>45901</v>
      </c>
      <c r="B61" s="26" t="s">
        <v>79</v>
      </c>
      <c r="C61" s="27" t="n">
        <v>55518.75</v>
      </c>
      <c r="D61" s="28" t="n">
        <f aca="false">C61/$T$1*100</f>
        <v>11.10375</v>
      </c>
      <c r="E61" s="28" t="n">
        <f aca="false">E60+D61</f>
        <v>30.654</v>
      </c>
      <c r="F61" s="28" t="n">
        <f aca="false">MAX(0,MAX($E$2:E61))</f>
        <v>30.654</v>
      </c>
      <c r="G61" s="28" t="n">
        <f aca="false">E61-F61</f>
        <v>0</v>
      </c>
      <c r="H61" s="25" t="n">
        <f aca="false">IF(G61&gt;=-0.0000001,A61,H60)</f>
        <v>45901</v>
      </c>
      <c r="I61" s="29" t="n">
        <f aca="false">IF(AND(G61&gt;=-0.0000001,G60&lt;0),1,0)</f>
        <v>1</v>
      </c>
      <c r="J61" s="30" t="n">
        <f aca="false">IF(I61=1,A61-H60,"")</f>
        <v>4</v>
      </c>
      <c r="K61" s="27" t="n">
        <f aca="false">IF(B61="Wednesday",0,C61)</f>
        <v>55518.75</v>
      </c>
      <c r="L61" s="28" t="n">
        <f aca="false">L60+K61/$T$1*100</f>
        <v>24.117</v>
      </c>
      <c r="M61" s="28" t="n">
        <f aca="false">MAX(0,MAX($L$2:L61))</f>
        <v>24.117</v>
      </c>
      <c r="N61" s="28" t="n">
        <f aca="false">L61-M61</f>
        <v>0</v>
      </c>
      <c r="O61" s="25" t="n">
        <f aca="false">IF(N61&gt;=-0.0000001,A61,O60)</f>
        <v>45901</v>
      </c>
      <c r="P61" s="29" t="n">
        <f aca="false">IF(AND(N61&gt;=-0.0000001,N60&lt;0),1,0)</f>
        <v>1</v>
      </c>
      <c r="Q61" s="30" t="n">
        <f aca="false">IF(P61=1,A61-O60,"")</f>
        <v>4</v>
      </c>
    </row>
    <row r="62" customFormat="false" ht="15" hidden="false" customHeight="false" outlineLevel="0" collapsed="false">
      <c r="A62" s="25" t="n">
        <v>45902</v>
      </c>
      <c r="B62" s="26" t="s">
        <v>80</v>
      </c>
      <c r="C62" s="27" t="n">
        <v>195885</v>
      </c>
      <c r="D62" s="28" t="n">
        <f aca="false">C62/$T$1*100</f>
        <v>39.177</v>
      </c>
      <c r="E62" s="28" t="n">
        <f aca="false">E61+D62</f>
        <v>69.831</v>
      </c>
      <c r="F62" s="28" t="n">
        <f aca="false">MAX(0,MAX($E$2:E62))</f>
        <v>69.831</v>
      </c>
      <c r="G62" s="28" t="n">
        <f aca="false">E62-F62</f>
        <v>0</v>
      </c>
      <c r="H62" s="25" t="n">
        <f aca="false">IF(G62&gt;=-0.0000001,A62,H61)</f>
        <v>45902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195885</v>
      </c>
      <c r="L62" s="28" t="n">
        <f aca="false">L61+K62/$T$1*100</f>
        <v>63.294</v>
      </c>
      <c r="M62" s="28" t="n">
        <f aca="false">MAX(0,MAX($L$2:L62))</f>
        <v>63.294</v>
      </c>
      <c r="N62" s="28" t="n">
        <f aca="false">L62-M62</f>
        <v>0</v>
      </c>
      <c r="O62" s="25" t="n">
        <f aca="false">IF(N62&gt;=-0.0000001,A62,O61)</f>
        <v>45902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45903</v>
      </c>
      <c r="B63" s="26" t="s">
        <v>81</v>
      </c>
      <c r="C63" s="27" t="n">
        <v>-28462.5</v>
      </c>
      <c r="D63" s="28" t="n">
        <f aca="false">C63/$T$1*100</f>
        <v>-5.6925</v>
      </c>
      <c r="E63" s="28" t="n">
        <f aca="false">E62+D63</f>
        <v>64.1385</v>
      </c>
      <c r="F63" s="28" t="n">
        <f aca="false">MAX(0,MAX($E$2:E63))</f>
        <v>69.831</v>
      </c>
      <c r="G63" s="28" t="n">
        <f aca="false">E63-F63</f>
        <v>-5.6925</v>
      </c>
      <c r="H63" s="25" t="n">
        <f aca="false">IF(G63&gt;=-0.0000001,A63,H62)</f>
        <v>45902</v>
      </c>
      <c r="I63" s="29" t="n">
        <f aca="false">IF(AND(G63&gt;=-0.0000001,G62&lt;0),1,0)</f>
        <v>0</v>
      </c>
      <c r="J63" s="30" t="str">
        <f aca="false">IF(I63=1,A63-H62,"")</f>
        <v/>
      </c>
      <c r="K63" s="27" t="n">
        <f aca="false">IF(B63="Wednesday",0,C63)</f>
        <v>0</v>
      </c>
      <c r="L63" s="28" t="n">
        <f aca="false">L62+K63/$T$1*100</f>
        <v>63.294</v>
      </c>
      <c r="M63" s="28" t="n">
        <f aca="false">MAX(0,MAX($L$2:L63))</f>
        <v>63.294</v>
      </c>
      <c r="N63" s="28" t="n">
        <f aca="false">L63-M63</f>
        <v>0</v>
      </c>
      <c r="O63" s="25" t="n">
        <f aca="false">IF(N63&gt;=-0.0000001,A63,O62)</f>
        <v>45903</v>
      </c>
      <c r="P63" s="29" t="n">
        <f aca="false">IF(AND(N63&gt;=-0.0000001,N62&lt;0),1,0)</f>
        <v>0</v>
      </c>
      <c r="Q63" s="30" t="str">
        <f aca="false">IF(P63=1,A63-O62,"")</f>
        <v/>
      </c>
    </row>
    <row r="64" customFormat="false" ht="15" hidden="false" customHeight="false" outlineLevel="0" collapsed="false">
      <c r="A64" s="25" t="n">
        <v>45904</v>
      </c>
      <c r="B64" s="26" t="s">
        <v>82</v>
      </c>
      <c r="C64" s="27" t="n">
        <v>35137.5</v>
      </c>
      <c r="D64" s="28" t="n">
        <f aca="false">C64/$T$1*100</f>
        <v>7.0275</v>
      </c>
      <c r="E64" s="28" t="n">
        <f aca="false">E63+D64</f>
        <v>71.166</v>
      </c>
      <c r="F64" s="28" t="n">
        <f aca="false">MAX(0,MAX($E$2:E64))</f>
        <v>71.166</v>
      </c>
      <c r="G64" s="28" t="n">
        <f aca="false">E64-F64</f>
        <v>0</v>
      </c>
      <c r="H64" s="25" t="n">
        <f aca="false">IF(G64&gt;=-0.0000001,A64,H63)</f>
        <v>45904</v>
      </c>
      <c r="I64" s="29" t="n">
        <f aca="false">IF(AND(G64&gt;=-0.0000001,G63&lt;0),1,0)</f>
        <v>1</v>
      </c>
      <c r="J64" s="30" t="n">
        <f aca="false">IF(I64=1,A64-H63,"")</f>
        <v>2</v>
      </c>
      <c r="K64" s="27" t="n">
        <f aca="false">IF(B64="Wednesday",0,C64)</f>
        <v>35137.5</v>
      </c>
      <c r="L64" s="28" t="n">
        <f aca="false">L63+K64/$T$1*100</f>
        <v>70.3215</v>
      </c>
      <c r="M64" s="28" t="n">
        <f aca="false">MAX(0,MAX($L$2:L64))</f>
        <v>70.3215</v>
      </c>
      <c r="N64" s="28" t="n">
        <f aca="false">L64-M64</f>
        <v>0</v>
      </c>
      <c r="O64" s="25" t="n">
        <f aca="false">IF(N64&gt;=-0.0000001,A64,O63)</f>
        <v>45904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45905</v>
      </c>
      <c r="B65" s="26" t="s">
        <v>83</v>
      </c>
      <c r="C65" s="27" t="n">
        <v>-1796.25</v>
      </c>
      <c r="D65" s="28" t="n">
        <f aca="false">C65/$T$1*100</f>
        <v>-0.35925</v>
      </c>
      <c r="E65" s="28" t="n">
        <f aca="false">E64+D65</f>
        <v>70.80675</v>
      </c>
      <c r="F65" s="28" t="n">
        <f aca="false">MAX(0,MAX($E$2:E65))</f>
        <v>71.166</v>
      </c>
      <c r="G65" s="28" t="n">
        <f aca="false">E65-F65</f>
        <v>-0.359250000000003</v>
      </c>
      <c r="H65" s="25" t="n">
        <f aca="false">IF(G65&gt;=-0.0000001,A65,H64)</f>
        <v>45904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-1796.25</v>
      </c>
      <c r="L65" s="28" t="n">
        <f aca="false">L64+K65/$T$1*100</f>
        <v>69.96225</v>
      </c>
      <c r="M65" s="28" t="n">
        <f aca="false">MAX(0,MAX($L$2:L65))</f>
        <v>70.3215</v>
      </c>
      <c r="N65" s="28" t="n">
        <f aca="false">L65-M65</f>
        <v>-0.359250000000003</v>
      </c>
      <c r="O65" s="25" t="n">
        <f aca="false">IF(N65&gt;=-0.0000001,A65,O64)</f>
        <v>45904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45908</v>
      </c>
      <c r="B66" s="26" t="s">
        <v>79</v>
      </c>
      <c r="C66" s="27" t="n">
        <v>-438.75</v>
      </c>
      <c r="D66" s="28" t="n">
        <f aca="false">C66/$T$1*100</f>
        <v>-0.08775</v>
      </c>
      <c r="E66" s="28" t="n">
        <f aca="false">E65+D66</f>
        <v>70.719</v>
      </c>
      <c r="F66" s="28" t="n">
        <f aca="false">MAX(0,MAX($E$2:E66))</f>
        <v>71.166</v>
      </c>
      <c r="G66" s="28" t="n">
        <f aca="false">E66-F66</f>
        <v>-0.447000000000003</v>
      </c>
      <c r="H66" s="25" t="n">
        <f aca="false">IF(G66&gt;=-0.0000001,A66,H65)</f>
        <v>45904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-438.75</v>
      </c>
      <c r="L66" s="28" t="n">
        <f aca="false">L65+K66/$T$1*100</f>
        <v>69.8745</v>
      </c>
      <c r="M66" s="28" t="n">
        <f aca="false">MAX(0,MAX($L$2:L66))</f>
        <v>70.3215</v>
      </c>
      <c r="N66" s="28" t="n">
        <f aca="false">L66-M66</f>
        <v>-0.447000000000003</v>
      </c>
      <c r="O66" s="25" t="n">
        <f aca="false">IF(N66&gt;=-0.0000001,A66,O65)</f>
        <v>45904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45909</v>
      </c>
      <c r="B67" s="26" t="s">
        <v>80</v>
      </c>
      <c r="C67" s="27" t="n">
        <v>-29250</v>
      </c>
      <c r="D67" s="28" t="n">
        <f aca="false">C67/$T$1*100</f>
        <v>-5.85</v>
      </c>
      <c r="E67" s="28" t="n">
        <f aca="false">E66+D67</f>
        <v>64.869</v>
      </c>
      <c r="F67" s="28" t="n">
        <f aca="false">MAX(0,MAX($E$2:E67))</f>
        <v>71.166</v>
      </c>
      <c r="G67" s="28" t="n">
        <f aca="false">E67-F67</f>
        <v>-6.297</v>
      </c>
      <c r="H67" s="25" t="n">
        <f aca="false">IF(G67&gt;=-0.0000001,A67,H66)</f>
        <v>45904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-29250</v>
      </c>
      <c r="L67" s="28" t="n">
        <f aca="false">L66+K67/$T$1*100</f>
        <v>64.0245</v>
      </c>
      <c r="M67" s="28" t="n">
        <f aca="false">MAX(0,MAX($L$2:L67))</f>
        <v>70.3215</v>
      </c>
      <c r="N67" s="28" t="n">
        <f aca="false">L67-M67</f>
        <v>-6.297</v>
      </c>
      <c r="O67" s="25" t="n">
        <f aca="false">IF(N67&gt;=-0.0000001,A67,O66)</f>
        <v>45904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45910</v>
      </c>
      <c r="B68" s="26" t="s">
        <v>81</v>
      </c>
      <c r="C68" s="27" t="n">
        <v>-16222.5</v>
      </c>
      <c r="D68" s="28" t="n">
        <f aca="false">C68/$T$1*100</f>
        <v>-3.2445</v>
      </c>
      <c r="E68" s="28" t="n">
        <f aca="false">E67+D68</f>
        <v>61.6245</v>
      </c>
      <c r="F68" s="28" t="n">
        <f aca="false">MAX(0,MAX($E$2:E68))</f>
        <v>71.166</v>
      </c>
      <c r="G68" s="28" t="n">
        <f aca="false">E68-F68</f>
        <v>-9.5415</v>
      </c>
      <c r="H68" s="25" t="n">
        <f aca="false">IF(G68&gt;=-0.0000001,A68,H67)</f>
        <v>45904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0</v>
      </c>
      <c r="L68" s="28" t="n">
        <f aca="false">L67+K68/$T$1*100</f>
        <v>64.0245</v>
      </c>
      <c r="M68" s="28" t="n">
        <f aca="false">MAX(0,MAX($L$2:L68))</f>
        <v>70.3215</v>
      </c>
      <c r="N68" s="28" t="n">
        <f aca="false">L68-M68</f>
        <v>-6.297</v>
      </c>
      <c r="O68" s="25" t="n">
        <f aca="false">IF(N68&gt;=-0.0000001,A68,O67)</f>
        <v>45904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45911</v>
      </c>
      <c r="B69" s="26" t="s">
        <v>82</v>
      </c>
      <c r="C69" s="27" t="n">
        <v>-13200</v>
      </c>
      <c r="D69" s="28" t="n">
        <f aca="false">C69/$T$1*100</f>
        <v>-2.64</v>
      </c>
      <c r="E69" s="28" t="n">
        <f aca="false">E68+D69</f>
        <v>58.9845</v>
      </c>
      <c r="F69" s="28" t="n">
        <f aca="false">MAX(0,MAX($E$2:E69))</f>
        <v>71.166</v>
      </c>
      <c r="G69" s="28" t="n">
        <f aca="false">E69-F69</f>
        <v>-12.1815</v>
      </c>
      <c r="H69" s="25" t="n">
        <f aca="false">IF(G69&gt;=-0.0000001,A69,H68)</f>
        <v>45904</v>
      </c>
      <c r="I69" s="29" t="n">
        <f aca="false">IF(AND(G69&gt;=-0.0000001,G68&lt;0),1,0)</f>
        <v>0</v>
      </c>
      <c r="J69" s="30" t="str">
        <f aca="false">IF(I69=1,A69-H68,"")</f>
        <v/>
      </c>
      <c r="K69" s="27" t="n">
        <f aca="false">IF(B69="Wednesday",0,C69)</f>
        <v>-13200</v>
      </c>
      <c r="L69" s="28" t="n">
        <f aca="false">L68+K69/$T$1*100</f>
        <v>61.3845</v>
      </c>
      <c r="M69" s="28" t="n">
        <f aca="false">MAX(0,MAX($L$2:L69))</f>
        <v>70.3215</v>
      </c>
      <c r="N69" s="28" t="n">
        <f aca="false">L69-M69</f>
        <v>-8.937</v>
      </c>
      <c r="O69" s="25" t="n">
        <f aca="false">IF(N69&gt;=-0.0000001,A69,O68)</f>
        <v>45904</v>
      </c>
      <c r="P69" s="29" t="n">
        <f aca="false">IF(AND(N69&gt;=-0.0000001,N68&lt;0),1,0)</f>
        <v>0</v>
      </c>
      <c r="Q69" s="30" t="str">
        <f aca="false">IF(P69=1,A69-O68,"")</f>
        <v/>
      </c>
    </row>
    <row r="70" customFormat="false" ht="15" hidden="false" customHeight="false" outlineLevel="0" collapsed="false">
      <c r="A70" s="25" t="n">
        <v>45912</v>
      </c>
      <c r="B70" s="26" t="s">
        <v>83</v>
      </c>
      <c r="C70" s="27" t="n">
        <v>2681.25</v>
      </c>
      <c r="D70" s="28" t="n">
        <f aca="false">C70/$T$1*100</f>
        <v>0.53625</v>
      </c>
      <c r="E70" s="28" t="n">
        <f aca="false">E69+D70</f>
        <v>59.52075</v>
      </c>
      <c r="F70" s="28" t="n">
        <f aca="false">MAX(0,MAX($E$2:E70))</f>
        <v>71.166</v>
      </c>
      <c r="G70" s="28" t="n">
        <f aca="false">E70-F70</f>
        <v>-11.64525</v>
      </c>
      <c r="H70" s="25" t="n">
        <f aca="false">IF(G70&gt;=-0.0000001,A70,H69)</f>
        <v>45904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2681.25</v>
      </c>
      <c r="L70" s="28" t="n">
        <f aca="false">L69+K70/$T$1*100</f>
        <v>61.92075</v>
      </c>
      <c r="M70" s="28" t="n">
        <f aca="false">MAX(0,MAX($L$2:L70))</f>
        <v>70.3215</v>
      </c>
      <c r="N70" s="28" t="n">
        <f aca="false">L70-M70</f>
        <v>-8.40075</v>
      </c>
      <c r="O70" s="25" t="n">
        <f aca="false">IF(N70&gt;=-0.0000001,A70,O69)</f>
        <v>45904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45915</v>
      </c>
      <c r="B71" s="26" t="s">
        <v>79</v>
      </c>
      <c r="C71" s="27" t="n">
        <v>-17786.25</v>
      </c>
      <c r="D71" s="28" t="n">
        <f aca="false">C71/$T$1*100</f>
        <v>-3.55725</v>
      </c>
      <c r="E71" s="28" t="n">
        <f aca="false">E70+D71</f>
        <v>55.9635</v>
      </c>
      <c r="F71" s="28" t="n">
        <f aca="false">MAX(0,MAX($E$2:E71))</f>
        <v>71.166</v>
      </c>
      <c r="G71" s="28" t="n">
        <f aca="false">E71-F71</f>
        <v>-15.2025</v>
      </c>
      <c r="H71" s="25" t="n">
        <f aca="false">IF(G71&gt;=-0.0000001,A71,H70)</f>
        <v>45904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-17786.25</v>
      </c>
      <c r="L71" s="28" t="n">
        <f aca="false">L70+K71/$T$1*100</f>
        <v>58.3635</v>
      </c>
      <c r="M71" s="28" t="n">
        <f aca="false">MAX(0,MAX($L$2:L71))</f>
        <v>70.3215</v>
      </c>
      <c r="N71" s="28" t="n">
        <f aca="false">L71-M71</f>
        <v>-11.958</v>
      </c>
      <c r="O71" s="25" t="n">
        <f aca="false">IF(N71&gt;=-0.0000001,A71,O70)</f>
        <v>45904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45916</v>
      </c>
      <c r="B72" s="26" t="s">
        <v>80</v>
      </c>
      <c r="C72" s="27" t="n">
        <v>-58612.5</v>
      </c>
      <c r="D72" s="28" t="n">
        <f aca="false">C72/$T$1*100</f>
        <v>-11.7225</v>
      </c>
      <c r="E72" s="28" t="n">
        <f aca="false">E71+D72</f>
        <v>44.241</v>
      </c>
      <c r="F72" s="28" t="n">
        <f aca="false">MAX(0,MAX($E$2:E72))</f>
        <v>71.166</v>
      </c>
      <c r="G72" s="28" t="n">
        <f aca="false">E72-F72</f>
        <v>-26.925</v>
      </c>
      <c r="H72" s="25" t="n">
        <f aca="false">IF(G72&gt;=-0.0000001,A72,H71)</f>
        <v>45904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-58612.5</v>
      </c>
      <c r="L72" s="28" t="n">
        <f aca="false">L71+K72/$T$1*100</f>
        <v>46.641</v>
      </c>
      <c r="M72" s="28" t="n">
        <f aca="false">MAX(0,MAX($L$2:L72))</f>
        <v>70.3215</v>
      </c>
      <c r="N72" s="28" t="n">
        <f aca="false">L72-M72</f>
        <v>-23.6805</v>
      </c>
      <c r="O72" s="25" t="n">
        <f aca="false">IF(N72&gt;=-0.0000001,A72,O71)</f>
        <v>45904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45917</v>
      </c>
      <c r="B73" s="26" t="s">
        <v>81</v>
      </c>
      <c r="C73" s="27" t="n">
        <v>4927.5</v>
      </c>
      <c r="D73" s="28" t="n">
        <f aca="false">C73/$T$1*100</f>
        <v>0.9855</v>
      </c>
      <c r="E73" s="28" t="n">
        <f aca="false">E72+D73</f>
        <v>45.2265</v>
      </c>
      <c r="F73" s="28" t="n">
        <f aca="false">MAX(0,MAX($E$2:E73))</f>
        <v>71.166</v>
      </c>
      <c r="G73" s="28" t="n">
        <f aca="false">E73-F73</f>
        <v>-25.9395</v>
      </c>
      <c r="H73" s="25" t="n">
        <f aca="false">IF(G73&gt;=-0.0000001,A73,H72)</f>
        <v>45904</v>
      </c>
      <c r="I73" s="29" t="n">
        <f aca="false">IF(AND(G73&gt;=-0.0000001,G72&lt;0),1,0)</f>
        <v>0</v>
      </c>
      <c r="J73" s="30" t="str">
        <f aca="false">IF(I73=1,A73-H72,"")</f>
        <v/>
      </c>
      <c r="K73" s="27" t="n">
        <f aca="false">IF(B73="Wednesday",0,C73)</f>
        <v>0</v>
      </c>
      <c r="L73" s="28" t="n">
        <f aca="false">L72+K73/$T$1*100</f>
        <v>46.641</v>
      </c>
      <c r="M73" s="28" t="n">
        <f aca="false">MAX(0,MAX($L$2:L73))</f>
        <v>70.3215</v>
      </c>
      <c r="N73" s="28" t="n">
        <f aca="false">L73-M73</f>
        <v>-23.6805</v>
      </c>
      <c r="O73" s="25" t="n">
        <f aca="false">IF(N73&gt;=-0.0000001,A73,O72)</f>
        <v>45904</v>
      </c>
      <c r="P73" s="29" t="n">
        <f aca="false">IF(AND(N73&gt;=-0.0000001,N72&lt;0),1,0)</f>
        <v>0</v>
      </c>
      <c r="Q73" s="30" t="str">
        <f aca="false">IF(P73=1,A73-O72,"")</f>
        <v/>
      </c>
    </row>
    <row r="74" customFormat="false" ht="15" hidden="false" customHeight="false" outlineLevel="0" collapsed="false">
      <c r="A74" s="25" t="n">
        <v>45918</v>
      </c>
      <c r="B74" s="26" t="s">
        <v>82</v>
      </c>
      <c r="C74" s="27" t="n">
        <v>-4380</v>
      </c>
      <c r="D74" s="28" t="n">
        <f aca="false">C74/$T$1*100</f>
        <v>-0.876</v>
      </c>
      <c r="E74" s="28" t="n">
        <f aca="false">E73+D74</f>
        <v>44.3505</v>
      </c>
      <c r="F74" s="28" t="n">
        <f aca="false">MAX(0,MAX($E$2:E74))</f>
        <v>71.166</v>
      </c>
      <c r="G74" s="28" t="n">
        <f aca="false">E74-F74</f>
        <v>-26.8155</v>
      </c>
      <c r="H74" s="25" t="n">
        <f aca="false">IF(G74&gt;=-0.0000001,A74,H73)</f>
        <v>45904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-4380</v>
      </c>
      <c r="L74" s="28" t="n">
        <f aca="false">L73+K74/$T$1*100</f>
        <v>45.765</v>
      </c>
      <c r="M74" s="28" t="n">
        <f aca="false">MAX(0,MAX($L$2:L74))</f>
        <v>70.3215</v>
      </c>
      <c r="N74" s="28" t="n">
        <f aca="false">L74-M74</f>
        <v>-24.5565</v>
      </c>
      <c r="O74" s="25" t="n">
        <f aca="false">IF(N74&gt;=-0.0000001,A74,O73)</f>
        <v>45904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45919</v>
      </c>
      <c r="B75" s="26" t="s">
        <v>83</v>
      </c>
      <c r="C75" s="27" t="n">
        <v>-22200</v>
      </c>
      <c r="D75" s="28" t="n">
        <f aca="false">C75/$T$1*100</f>
        <v>-4.44</v>
      </c>
      <c r="E75" s="28" t="n">
        <f aca="false">E74+D75</f>
        <v>39.9105</v>
      </c>
      <c r="F75" s="28" t="n">
        <f aca="false">MAX(0,MAX($E$2:E75))</f>
        <v>71.166</v>
      </c>
      <c r="G75" s="28" t="n">
        <f aca="false">E75-F75</f>
        <v>-31.2555</v>
      </c>
      <c r="H75" s="25" t="n">
        <f aca="false">IF(G75&gt;=-0.0000001,A75,H74)</f>
        <v>45904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-22200</v>
      </c>
      <c r="L75" s="28" t="n">
        <f aca="false">L74+K75/$T$1*100</f>
        <v>41.325</v>
      </c>
      <c r="M75" s="28" t="n">
        <f aca="false">MAX(0,MAX($L$2:L75))</f>
        <v>70.3215</v>
      </c>
      <c r="N75" s="28" t="n">
        <f aca="false">L75-M75</f>
        <v>-28.9965</v>
      </c>
      <c r="O75" s="25" t="n">
        <f aca="false">IF(N75&gt;=-0.0000001,A75,O74)</f>
        <v>45904</v>
      </c>
      <c r="P75" s="29" t="n">
        <f aca="false">IF(AND(N75&gt;=-0.0000001,N74&lt;0),1,0)</f>
        <v>0</v>
      </c>
      <c r="Q75" s="30" t="str">
        <f aca="false">IF(P75=1,A75-O74,"")</f>
        <v/>
      </c>
    </row>
    <row r="76" customFormat="false" ht="15" hidden="false" customHeight="false" outlineLevel="0" collapsed="false">
      <c r="A76" s="25" t="n">
        <v>45922</v>
      </c>
      <c r="B76" s="26" t="s">
        <v>79</v>
      </c>
      <c r="C76" s="27" t="n">
        <v>-30090</v>
      </c>
      <c r="D76" s="28" t="n">
        <f aca="false">C76/$T$1*100</f>
        <v>-6.018</v>
      </c>
      <c r="E76" s="28" t="n">
        <f aca="false">E75+D76</f>
        <v>33.8925</v>
      </c>
      <c r="F76" s="28" t="n">
        <f aca="false">MAX(0,MAX($E$2:E76))</f>
        <v>71.166</v>
      </c>
      <c r="G76" s="28" t="n">
        <f aca="false">E76-F76</f>
        <v>-37.2735</v>
      </c>
      <c r="H76" s="25" t="n">
        <f aca="false">IF(G76&gt;=-0.0000001,A76,H75)</f>
        <v>45904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-30090</v>
      </c>
      <c r="L76" s="28" t="n">
        <f aca="false">L75+K76/$T$1*100</f>
        <v>35.307</v>
      </c>
      <c r="M76" s="28" t="n">
        <f aca="false">MAX(0,MAX($L$2:L76))</f>
        <v>70.3215</v>
      </c>
      <c r="N76" s="28" t="n">
        <f aca="false">L76-M76</f>
        <v>-35.0145</v>
      </c>
      <c r="O76" s="25" t="n">
        <f aca="false">IF(N76&gt;=-0.0000001,A76,O75)</f>
        <v>45904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45923</v>
      </c>
      <c r="B77" s="26" t="s">
        <v>80</v>
      </c>
      <c r="C77" s="27" t="n">
        <v>-60037.5</v>
      </c>
      <c r="D77" s="28" t="n">
        <f aca="false">C77/$T$1*100</f>
        <v>-12.0075</v>
      </c>
      <c r="E77" s="28" t="n">
        <f aca="false">E76+D77</f>
        <v>21.885</v>
      </c>
      <c r="F77" s="28" t="n">
        <f aca="false">MAX(0,MAX($E$2:E77))</f>
        <v>71.166</v>
      </c>
      <c r="G77" s="28" t="n">
        <f aca="false">E77-F77</f>
        <v>-49.281</v>
      </c>
      <c r="H77" s="25" t="n">
        <f aca="false">IF(G77&gt;=-0.0000001,A77,H76)</f>
        <v>45904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-60037.5</v>
      </c>
      <c r="L77" s="28" t="n">
        <f aca="false">L76+K77/$T$1*100</f>
        <v>23.2995</v>
      </c>
      <c r="M77" s="28" t="n">
        <f aca="false">MAX(0,MAX($L$2:L77))</f>
        <v>70.3215</v>
      </c>
      <c r="N77" s="28" t="n">
        <f aca="false">L77-M77</f>
        <v>-47.022</v>
      </c>
      <c r="O77" s="25" t="n">
        <f aca="false">IF(N77&gt;=-0.0000001,A77,O76)</f>
        <v>45904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45924</v>
      </c>
      <c r="B78" s="26" t="s">
        <v>81</v>
      </c>
      <c r="C78" s="27" t="n">
        <v>-13781.25</v>
      </c>
      <c r="D78" s="28" t="n">
        <f aca="false">C78/$T$1*100</f>
        <v>-2.75625</v>
      </c>
      <c r="E78" s="28" t="n">
        <f aca="false">E77+D78</f>
        <v>19.12875</v>
      </c>
      <c r="F78" s="28" t="n">
        <f aca="false">MAX(0,MAX($E$2:E78))</f>
        <v>71.166</v>
      </c>
      <c r="G78" s="28" t="n">
        <f aca="false">E78-F78</f>
        <v>-52.03725</v>
      </c>
      <c r="H78" s="25" t="n">
        <f aca="false">IF(G78&gt;=-0.0000001,A78,H77)</f>
        <v>45904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0</v>
      </c>
      <c r="L78" s="28" t="n">
        <f aca="false">L77+K78/$T$1*100</f>
        <v>23.2995</v>
      </c>
      <c r="M78" s="28" t="n">
        <f aca="false">MAX(0,MAX($L$2:L78))</f>
        <v>70.3215</v>
      </c>
      <c r="N78" s="28" t="n">
        <f aca="false">L78-M78</f>
        <v>-47.022</v>
      </c>
      <c r="O78" s="25" t="n">
        <f aca="false">IF(N78&gt;=-0.0000001,A78,O77)</f>
        <v>45904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45925</v>
      </c>
      <c r="B79" s="26" t="s">
        <v>82</v>
      </c>
      <c r="C79" s="27" t="n">
        <v>45315</v>
      </c>
      <c r="D79" s="28" t="n">
        <f aca="false">C79/$T$1*100</f>
        <v>9.063</v>
      </c>
      <c r="E79" s="28" t="n">
        <f aca="false">E78+D79</f>
        <v>28.19175</v>
      </c>
      <c r="F79" s="28" t="n">
        <f aca="false">MAX(0,MAX($E$2:E79))</f>
        <v>71.166</v>
      </c>
      <c r="G79" s="28" t="n">
        <f aca="false">E79-F79</f>
        <v>-42.97425</v>
      </c>
      <c r="H79" s="25" t="n">
        <f aca="false">IF(G79&gt;=-0.0000001,A79,H78)</f>
        <v>45904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45315</v>
      </c>
      <c r="L79" s="28" t="n">
        <f aca="false">L78+K79/$T$1*100</f>
        <v>32.3625</v>
      </c>
      <c r="M79" s="28" t="n">
        <f aca="false">MAX(0,MAX($L$2:L79))</f>
        <v>70.3215</v>
      </c>
      <c r="N79" s="28" t="n">
        <f aca="false">L79-M79</f>
        <v>-37.959</v>
      </c>
      <c r="O79" s="25" t="n">
        <f aca="false">IF(N79&gt;=-0.0000001,A79,O78)</f>
        <v>45904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45926</v>
      </c>
      <c r="B80" s="26" t="s">
        <v>83</v>
      </c>
      <c r="C80" s="27" t="n">
        <v>117618.75</v>
      </c>
      <c r="D80" s="28" t="n">
        <f aca="false">C80/$T$1*100</f>
        <v>23.52375</v>
      </c>
      <c r="E80" s="28" t="n">
        <f aca="false">E79+D80</f>
        <v>51.7155</v>
      </c>
      <c r="F80" s="28" t="n">
        <f aca="false">MAX(0,MAX($E$2:E80))</f>
        <v>71.166</v>
      </c>
      <c r="G80" s="28" t="n">
        <f aca="false">E80-F80</f>
        <v>-19.4505</v>
      </c>
      <c r="H80" s="25" t="n">
        <f aca="false">IF(G80&gt;=-0.0000001,A80,H79)</f>
        <v>45904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117618.75</v>
      </c>
      <c r="L80" s="28" t="n">
        <f aca="false">L79+K80/$T$1*100</f>
        <v>55.88625</v>
      </c>
      <c r="M80" s="28" t="n">
        <f aca="false">MAX(0,MAX($L$2:L80))</f>
        <v>70.3215</v>
      </c>
      <c r="N80" s="28" t="n">
        <f aca="false">L80-M80</f>
        <v>-14.43525</v>
      </c>
      <c r="O80" s="25" t="n">
        <f aca="false">IF(N80&gt;=-0.0000001,A80,O79)</f>
        <v>45904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45929</v>
      </c>
      <c r="B81" s="26" t="s">
        <v>79</v>
      </c>
      <c r="C81" s="27" t="n">
        <v>81270</v>
      </c>
      <c r="D81" s="28" t="n">
        <f aca="false">C81/$T$1*100</f>
        <v>16.254</v>
      </c>
      <c r="E81" s="28" t="n">
        <f aca="false">E80+D81</f>
        <v>67.9695</v>
      </c>
      <c r="F81" s="28" t="n">
        <f aca="false">MAX(0,MAX($E$2:E81))</f>
        <v>71.166</v>
      </c>
      <c r="G81" s="28" t="n">
        <f aca="false">E81-F81</f>
        <v>-3.19649999999999</v>
      </c>
      <c r="H81" s="25" t="n">
        <f aca="false">IF(G81&gt;=-0.0000001,A81,H80)</f>
        <v>45904</v>
      </c>
      <c r="I81" s="29" t="n">
        <f aca="false">IF(AND(G81&gt;=-0.0000001,G80&lt;0),1,0)</f>
        <v>0</v>
      </c>
      <c r="J81" s="30" t="str">
        <f aca="false">IF(I81=1,A81-H80,"")</f>
        <v/>
      </c>
      <c r="K81" s="27" t="n">
        <f aca="false">IF(B81="Wednesday",0,C81)</f>
        <v>81270</v>
      </c>
      <c r="L81" s="28" t="n">
        <f aca="false">L80+K81/$T$1*100</f>
        <v>72.14025</v>
      </c>
      <c r="M81" s="28" t="n">
        <f aca="false">MAX(0,MAX($L$2:L81))</f>
        <v>72.14025</v>
      </c>
      <c r="N81" s="28" t="n">
        <f aca="false">L81-M81</f>
        <v>0</v>
      </c>
      <c r="O81" s="25" t="n">
        <f aca="false">IF(N81&gt;=-0.0000001,A81,O80)</f>
        <v>45929</v>
      </c>
      <c r="P81" s="29" t="n">
        <f aca="false">IF(AND(N81&gt;=-0.0000001,N80&lt;0),1,0)</f>
        <v>1</v>
      </c>
      <c r="Q81" s="30" t="n">
        <f aca="false">IF(P81=1,A81-O80,"")</f>
        <v>25</v>
      </c>
    </row>
    <row r="82" customFormat="false" ht="15" hidden="false" customHeight="false" outlineLevel="0" collapsed="false">
      <c r="A82" s="25" t="n">
        <v>45930</v>
      </c>
      <c r="B82" s="26" t="s">
        <v>80</v>
      </c>
      <c r="C82" s="27" t="n">
        <v>-30847.5</v>
      </c>
      <c r="D82" s="28" t="n">
        <f aca="false">C82/$T$1*100</f>
        <v>-6.1695</v>
      </c>
      <c r="E82" s="28" t="n">
        <f aca="false">E81+D82</f>
        <v>61.8</v>
      </c>
      <c r="F82" s="28" t="n">
        <f aca="false">MAX(0,MAX($E$2:E82))</f>
        <v>71.166</v>
      </c>
      <c r="G82" s="28" t="n">
        <f aca="false">E82-F82</f>
        <v>-9.36599999999999</v>
      </c>
      <c r="H82" s="25" t="n">
        <f aca="false">IF(G82&gt;=-0.0000001,A82,H81)</f>
        <v>45904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-30847.5</v>
      </c>
      <c r="L82" s="28" t="n">
        <f aca="false">L81+K82/$T$1*100</f>
        <v>65.97075</v>
      </c>
      <c r="M82" s="28" t="n">
        <f aca="false">MAX(0,MAX($L$2:L82))</f>
        <v>72.14025</v>
      </c>
      <c r="N82" s="28" t="n">
        <f aca="false">L82-M82</f>
        <v>-6.1695</v>
      </c>
      <c r="O82" s="25" t="n">
        <f aca="false">IF(N82&gt;=-0.0000001,A82,O81)</f>
        <v>45929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45931</v>
      </c>
      <c r="B83" s="26" t="s">
        <v>81</v>
      </c>
      <c r="C83" s="27" t="n">
        <v>-27555</v>
      </c>
      <c r="D83" s="28" t="n">
        <f aca="false">C83/$T$1*100</f>
        <v>-5.511</v>
      </c>
      <c r="E83" s="28" t="n">
        <f aca="false">E82+D83</f>
        <v>56.289</v>
      </c>
      <c r="F83" s="28" t="n">
        <f aca="false">MAX(0,MAX($E$2:E83))</f>
        <v>71.166</v>
      </c>
      <c r="G83" s="28" t="n">
        <f aca="false">E83-F83</f>
        <v>-14.877</v>
      </c>
      <c r="H83" s="25" t="n">
        <f aca="false">IF(G83&gt;=-0.0000001,A83,H82)</f>
        <v>45904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0</v>
      </c>
      <c r="L83" s="28" t="n">
        <f aca="false">L82+K83/$T$1*100</f>
        <v>65.97075</v>
      </c>
      <c r="M83" s="28" t="n">
        <f aca="false">MAX(0,MAX($L$2:L83))</f>
        <v>72.14025</v>
      </c>
      <c r="N83" s="28" t="n">
        <f aca="false">L83-M83</f>
        <v>-6.1695</v>
      </c>
      <c r="O83" s="25" t="n">
        <f aca="false">IF(N83&gt;=-0.0000001,A83,O82)</f>
        <v>45929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45933</v>
      </c>
      <c r="B84" s="26" t="s">
        <v>83</v>
      </c>
      <c r="C84" s="27" t="n">
        <v>-29362.5</v>
      </c>
      <c r="D84" s="28" t="n">
        <f aca="false">C84/$T$1*100</f>
        <v>-5.8725</v>
      </c>
      <c r="E84" s="28" t="n">
        <f aca="false">E83+D84</f>
        <v>50.4165</v>
      </c>
      <c r="F84" s="28" t="n">
        <f aca="false">MAX(0,MAX($E$2:E84))</f>
        <v>71.166</v>
      </c>
      <c r="G84" s="28" t="n">
        <f aca="false">E84-F84</f>
        <v>-20.7495</v>
      </c>
      <c r="H84" s="25" t="n">
        <f aca="false">IF(G84&gt;=-0.0000001,A84,H83)</f>
        <v>45904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-29362.5</v>
      </c>
      <c r="L84" s="28" t="n">
        <f aca="false">L83+K84/$T$1*100</f>
        <v>60.09825</v>
      </c>
      <c r="M84" s="28" t="n">
        <f aca="false">MAX(0,MAX($L$2:L84))</f>
        <v>72.14025</v>
      </c>
      <c r="N84" s="28" t="n">
        <f aca="false">L84-M84</f>
        <v>-12.042</v>
      </c>
      <c r="O84" s="25" t="n">
        <f aca="false">IF(N84&gt;=-0.0000001,A84,O83)</f>
        <v>45929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45936</v>
      </c>
      <c r="B85" s="26" t="s">
        <v>79</v>
      </c>
      <c r="C85" s="27" t="n">
        <v>-48277.5</v>
      </c>
      <c r="D85" s="28" t="n">
        <f aca="false">C85/$T$1*100</f>
        <v>-9.6555</v>
      </c>
      <c r="E85" s="28" t="n">
        <f aca="false">E84+D85</f>
        <v>40.761</v>
      </c>
      <c r="F85" s="28" t="n">
        <f aca="false">MAX(0,MAX($E$2:E85))</f>
        <v>71.166</v>
      </c>
      <c r="G85" s="28" t="n">
        <f aca="false">E85-F85</f>
        <v>-30.405</v>
      </c>
      <c r="H85" s="25" t="n">
        <f aca="false">IF(G85&gt;=-0.0000001,A85,H84)</f>
        <v>45904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-48277.5</v>
      </c>
      <c r="L85" s="28" t="n">
        <f aca="false">L84+K85/$T$1*100</f>
        <v>50.44275</v>
      </c>
      <c r="M85" s="28" t="n">
        <f aca="false">MAX(0,MAX($L$2:L85))</f>
        <v>72.14025</v>
      </c>
      <c r="N85" s="28" t="n">
        <f aca="false">L85-M85</f>
        <v>-21.6975</v>
      </c>
      <c r="O85" s="25" t="n">
        <f aca="false">IF(N85&gt;=-0.0000001,A85,O84)</f>
        <v>45929</v>
      </c>
      <c r="P85" s="29" t="n">
        <f aca="false">IF(AND(N85&gt;=-0.0000001,N84&lt;0),1,0)</f>
        <v>0</v>
      </c>
      <c r="Q85" s="30" t="str">
        <f aca="false">IF(P85=1,A85-O84,"")</f>
        <v/>
      </c>
    </row>
    <row r="86" customFormat="false" ht="15" hidden="false" customHeight="false" outlineLevel="0" collapsed="false">
      <c r="A86" s="25" t="n">
        <v>45937</v>
      </c>
      <c r="B86" s="26" t="s">
        <v>80</v>
      </c>
      <c r="C86" s="27" t="n">
        <v>-2475</v>
      </c>
      <c r="D86" s="28" t="n">
        <f aca="false">C86/$T$1*100</f>
        <v>-0.495</v>
      </c>
      <c r="E86" s="28" t="n">
        <f aca="false">E85+D86</f>
        <v>40.266</v>
      </c>
      <c r="F86" s="28" t="n">
        <f aca="false">MAX(0,MAX($E$2:E86))</f>
        <v>71.166</v>
      </c>
      <c r="G86" s="28" t="n">
        <f aca="false">E86-F86</f>
        <v>-30.9</v>
      </c>
      <c r="H86" s="25" t="n">
        <f aca="false">IF(G86&gt;=-0.0000001,A86,H85)</f>
        <v>45904</v>
      </c>
      <c r="I86" s="29" t="n">
        <f aca="false">IF(AND(G86&gt;=-0.0000001,G85&lt;0),1,0)</f>
        <v>0</v>
      </c>
      <c r="J86" s="30" t="str">
        <f aca="false">IF(I86=1,A86-H85,"")</f>
        <v/>
      </c>
      <c r="K86" s="27" t="n">
        <f aca="false">IF(B86="Wednesday",0,C86)</f>
        <v>-2475</v>
      </c>
      <c r="L86" s="28" t="n">
        <f aca="false">L85+K86/$T$1*100</f>
        <v>49.94775</v>
      </c>
      <c r="M86" s="28" t="n">
        <f aca="false">MAX(0,MAX($L$2:L86))</f>
        <v>72.14025</v>
      </c>
      <c r="N86" s="28" t="n">
        <f aca="false">L86-M86</f>
        <v>-22.1925</v>
      </c>
      <c r="O86" s="25" t="n">
        <f aca="false">IF(N86&gt;=-0.0000001,A86,O85)</f>
        <v>45929</v>
      </c>
      <c r="P86" s="29" t="n">
        <f aca="false">IF(AND(N86&gt;=-0.0000001,N85&lt;0),1,0)</f>
        <v>0</v>
      </c>
      <c r="Q86" s="30" t="str">
        <f aca="false">IF(P86=1,A86-O85,"")</f>
        <v/>
      </c>
    </row>
    <row r="87" customFormat="false" ht="15" hidden="false" customHeight="false" outlineLevel="0" collapsed="false">
      <c r="A87" s="25" t="n">
        <v>45938</v>
      </c>
      <c r="B87" s="26" t="s">
        <v>81</v>
      </c>
      <c r="C87" s="27" t="n">
        <v>-17370</v>
      </c>
      <c r="D87" s="28" t="n">
        <f aca="false">C87/$T$1*100</f>
        <v>-3.474</v>
      </c>
      <c r="E87" s="28" t="n">
        <f aca="false">E86+D87</f>
        <v>36.792</v>
      </c>
      <c r="F87" s="28" t="n">
        <f aca="false">MAX(0,MAX($E$2:E87))</f>
        <v>71.166</v>
      </c>
      <c r="G87" s="28" t="n">
        <f aca="false">E87-F87</f>
        <v>-34.374</v>
      </c>
      <c r="H87" s="25" t="n">
        <f aca="false">IF(G87&gt;=-0.0000001,A87,H86)</f>
        <v>45904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0</v>
      </c>
      <c r="L87" s="28" t="n">
        <f aca="false">L86+K87/$T$1*100</f>
        <v>49.94775</v>
      </c>
      <c r="M87" s="28" t="n">
        <f aca="false">MAX(0,MAX($L$2:L87))</f>
        <v>72.14025</v>
      </c>
      <c r="N87" s="28" t="n">
        <f aca="false">L87-M87</f>
        <v>-22.1925</v>
      </c>
      <c r="O87" s="25" t="n">
        <f aca="false">IF(N87&gt;=-0.0000001,A87,O86)</f>
        <v>45929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45939</v>
      </c>
      <c r="B88" s="26" t="s">
        <v>82</v>
      </c>
      <c r="C88" s="27" t="n">
        <v>32261.25</v>
      </c>
      <c r="D88" s="28" t="n">
        <f aca="false">C88/$T$1*100</f>
        <v>6.45225</v>
      </c>
      <c r="E88" s="28" t="n">
        <f aca="false">E87+D88</f>
        <v>43.24425</v>
      </c>
      <c r="F88" s="28" t="n">
        <f aca="false">MAX(0,MAX($E$2:E88))</f>
        <v>71.166</v>
      </c>
      <c r="G88" s="28" t="n">
        <f aca="false">E88-F88</f>
        <v>-27.92175</v>
      </c>
      <c r="H88" s="25" t="n">
        <f aca="false">IF(G88&gt;=-0.0000001,A88,H87)</f>
        <v>45904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32261.25</v>
      </c>
      <c r="L88" s="28" t="n">
        <f aca="false">L87+K88/$T$1*100</f>
        <v>56.4</v>
      </c>
      <c r="M88" s="28" t="n">
        <f aca="false">MAX(0,MAX($L$2:L88))</f>
        <v>72.14025</v>
      </c>
      <c r="N88" s="28" t="n">
        <f aca="false">L88-M88</f>
        <v>-15.74025</v>
      </c>
      <c r="O88" s="25" t="n">
        <f aca="false">IF(N88&gt;=-0.0000001,A88,O87)</f>
        <v>45929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45940</v>
      </c>
      <c r="B89" s="26" t="s">
        <v>83</v>
      </c>
      <c r="C89" s="27" t="n">
        <v>-10200</v>
      </c>
      <c r="D89" s="28" t="n">
        <f aca="false">C89/$T$1*100</f>
        <v>-2.04</v>
      </c>
      <c r="E89" s="28" t="n">
        <f aca="false">E88+D89</f>
        <v>41.20425</v>
      </c>
      <c r="F89" s="28" t="n">
        <f aca="false">MAX(0,MAX($E$2:E89))</f>
        <v>71.166</v>
      </c>
      <c r="G89" s="28" t="n">
        <f aca="false">E89-F89</f>
        <v>-29.96175</v>
      </c>
      <c r="H89" s="25" t="n">
        <f aca="false">IF(G89&gt;=-0.0000001,A89,H88)</f>
        <v>45904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-10200</v>
      </c>
      <c r="L89" s="28" t="n">
        <f aca="false">L88+K89/$T$1*100</f>
        <v>54.36</v>
      </c>
      <c r="M89" s="28" t="n">
        <f aca="false">MAX(0,MAX($L$2:L89))</f>
        <v>72.14025</v>
      </c>
      <c r="N89" s="28" t="n">
        <f aca="false">L89-M89</f>
        <v>-17.78025</v>
      </c>
      <c r="O89" s="25" t="n">
        <f aca="false">IF(N89&gt;=-0.0000001,A89,O88)</f>
        <v>45929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45943</v>
      </c>
      <c r="B90" s="26" t="s">
        <v>79</v>
      </c>
      <c r="C90" s="27" t="n">
        <v>19687.5</v>
      </c>
      <c r="D90" s="28" t="n">
        <f aca="false">C90/$T$1*100</f>
        <v>3.9375</v>
      </c>
      <c r="E90" s="28" t="n">
        <f aca="false">E89+D90</f>
        <v>45.14175</v>
      </c>
      <c r="F90" s="28" t="n">
        <f aca="false">MAX(0,MAX($E$2:E90))</f>
        <v>71.166</v>
      </c>
      <c r="G90" s="28" t="n">
        <f aca="false">E90-F90</f>
        <v>-26.02425</v>
      </c>
      <c r="H90" s="25" t="n">
        <f aca="false">IF(G90&gt;=-0.0000001,A90,H89)</f>
        <v>45904</v>
      </c>
      <c r="I90" s="29" t="n">
        <f aca="false">IF(AND(G90&gt;=-0.0000001,G89&lt;0),1,0)</f>
        <v>0</v>
      </c>
      <c r="J90" s="30" t="str">
        <f aca="false">IF(I90=1,A90-H89,"")</f>
        <v/>
      </c>
      <c r="K90" s="27" t="n">
        <f aca="false">IF(B90="Wednesday",0,C90)</f>
        <v>19687.5</v>
      </c>
      <c r="L90" s="28" t="n">
        <f aca="false">L89+K90/$T$1*100</f>
        <v>58.2975</v>
      </c>
      <c r="M90" s="28" t="n">
        <f aca="false">MAX(0,MAX($L$2:L90))</f>
        <v>72.14025</v>
      </c>
      <c r="N90" s="28" t="n">
        <f aca="false">L90-M90</f>
        <v>-13.84275</v>
      </c>
      <c r="O90" s="25" t="n">
        <f aca="false">IF(N90&gt;=-0.0000001,A90,O89)</f>
        <v>45929</v>
      </c>
      <c r="P90" s="29" t="n">
        <f aca="false">IF(AND(N90&gt;=-0.0000001,N89&lt;0),1,0)</f>
        <v>0</v>
      </c>
      <c r="Q90" s="30" t="str">
        <f aca="false">IF(P90=1,A90-O89,"")</f>
        <v/>
      </c>
    </row>
    <row r="91" customFormat="false" ht="15" hidden="false" customHeight="false" outlineLevel="0" collapsed="false">
      <c r="A91" s="25" t="n">
        <v>45944</v>
      </c>
      <c r="B91" s="26" t="s">
        <v>80</v>
      </c>
      <c r="C91" s="27" t="n">
        <v>-31458.75</v>
      </c>
      <c r="D91" s="28" t="n">
        <f aca="false">C91/$T$1*100</f>
        <v>-6.29175</v>
      </c>
      <c r="E91" s="28" t="n">
        <f aca="false">E90+D91</f>
        <v>38.85</v>
      </c>
      <c r="F91" s="28" t="n">
        <f aca="false">MAX(0,MAX($E$2:E91))</f>
        <v>71.166</v>
      </c>
      <c r="G91" s="28" t="n">
        <f aca="false">E91-F91</f>
        <v>-32.316</v>
      </c>
      <c r="H91" s="25" t="n">
        <f aca="false">IF(G91&gt;=-0.0000001,A91,H90)</f>
        <v>45904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-31458.75</v>
      </c>
      <c r="L91" s="28" t="n">
        <f aca="false">L90+K91/$T$1*100</f>
        <v>52.00575</v>
      </c>
      <c r="M91" s="28" t="n">
        <f aca="false">MAX(0,MAX($L$2:L91))</f>
        <v>72.14025</v>
      </c>
      <c r="N91" s="28" t="n">
        <f aca="false">L91-M91</f>
        <v>-20.1345</v>
      </c>
      <c r="O91" s="25" t="n">
        <f aca="false">IF(N91&gt;=-0.0000001,A91,O90)</f>
        <v>45929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45945</v>
      </c>
      <c r="B92" s="26" t="s">
        <v>81</v>
      </c>
      <c r="C92" s="27" t="n">
        <v>-3780</v>
      </c>
      <c r="D92" s="28" t="n">
        <f aca="false">C92/$T$1*100</f>
        <v>-0.756</v>
      </c>
      <c r="E92" s="28" t="n">
        <f aca="false">E91+D92</f>
        <v>38.094</v>
      </c>
      <c r="F92" s="28" t="n">
        <f aca="false">MAX(0,MAX($E$2:E92))</f>
        <v>71.166</v>
      </c>
      <c r="G92" s="28" t="n">
        <f aca="false">E92-F92</f>
        <v>-33.072</v>
      </c>
      <c r="H92" s="25" t="n">
        <f aca="false">IF(G92&gt;=-0.0000001,A92,H91)</f>
        <v>45904</v>
      </c>
      <c r="I92" s="29" t="n">
        <f aca="false">IF(AND(G92&gt;=-0.0000001,G91&lt;0),1,0)</f>
        <v>0</v>
      </c>
      <c r="J92" s="30" t="str">
        <f aca="false">IF(I92=1,A92-H91,"")</f>
        <v/>
      </c>
      <c r="K92" s="27" t="n">
        <f aca="false">IF(B92="Wednesday",0,C92)</f>
        <v>0</v>
      </c>
      <c r="L92" s="28" t="n">
        <f aca="false">L91+K92/$T$1*100</f>
        <v>52.00575</v>
      </c>
      <c r="M92" s="28" t="n">
        <f aca="false">MAX(0,MAX($L$2:L92))</f>
        <v>72.14025</v>
      </c>
      <c r="N92" s="28" t="n">
        <f aca="false">L92-M92</f>
        <v>-20.1345</v>
      </c>
      <c r="O92" s="25" t="n">
        <f aca="false">IF(N92&gt;=-0.0000001,A92,O91)</f>
        <v>45929</v>
      </c>
      <c r="P92" s="29" t="n">
        <f aca="false">IF(AND(N92&gt;=-0.0000001,N91&lt;0),1,0)</f>
        <v>0</v>
      </c>
      <c r="Q92" s="30" t="str">
        <f aca="false">IF(P92=1,A92-O91,"")</f>
        <v/>
      </c>
    </row>
    <row r="93" customFormat="false" ht="15" hidden="false" customHeight="false" outlineLevel="0" collapsed="false">
      <c r="A93" s="25" t="n">
        <v>45946</v>
      </c>
      <c r="B93" s="26" t="s">
        <v>82</v>
      </c>
      <c r="C93" s="27" t="n">
        <v>65250</v>
      </c>
      <c r="D93" s="28" t="n">
        <f aca="false">C93/$T$1*100</f>
        <v>13.05</v>
      </c>
      <c r="E93" s="28" t="n">
        <f aca="false">E92+D93</f>
        <v>51.144</v>
      </c>
      <c r="F93" s="28" t="n">
        <f aca="false">MAX(0,MAX($E$2:E93))</f>
        <v>71.166</v>
      </c>
      <c r="G93" s="28" t="n">
        <f aca="false">E93-F93</f>
        <v>-20.022</v>
      </c>
      <c r="H93" s="25" t="n">
        <f aca="false">IF(G93&gt;=-0.0000001,A93,H92)</f>
        <v>45904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65250</v>
      </c>
      <c r="L93" s="28" t="n">
        <f aca="false">L92+K93/$T$1*100</f>
        <v>65.05575</v>
      </c>
      <c r="M93" s="28" t="n">
        <f aca="false">MAX(0,MAX($L$2:L93))</f>
        <v>72.14025</v>
      </c>
      <c r="N93" s="28" t="n">
        <f aca="false">L93-M93</f>
        <v>-7.08450000000001</v>
      </c>
      <c r="O93" s="25" t="n">
        <f aca="false">IF(N93&gt;=-0.0000001,A93,O92)</f>
        <v>45929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45947</v>
      </c>
      <c r="B94" s="26" t="s">
        <v>83</v>
      </c>
      <c r="C94" s="27" t="n">
        <v>-795</v>
      </c>
      <c r="D94" s="28" t="n">
        <f aca="false">C94/$T$1*100</f>
        <v>-0.159</v>
      </c>
      <c r="E94" s="28" t="n">
        <f aca="false">E93+D94</f>
        <v>50.985</v>
      </c>
      <c r="F94" s="28" t="n">
        <f aca="false">MAX(0,MAX($E$2:E94))</f>
        <v>71.166</v>
      </c>
      <c r="G94" s="28" t="n">
        <f aca="false">E94-F94</f>
        <v>-20.181</v>
      </c>
      <c r="H94" s="25" t="n">
        <f aca="false">IF(G94&gt;=-0.0000001,A94,H93)</f>
        <v>45904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-795</v>
      </c>
      <c r="L94" s="28" t="n">
        <f aca="false">L93+K94/$T$1*100</f>
        <v>64.89675</v>
      </c>
      <c r="M94" s="28" t="n">
        <f aca="false">MAX(0,MAX($L$2:L94))</f>
        <v>72.14025</v>
      </c>
      <c r="N94" s="28" t="n">
        <f aca="false">L94-M94</f>
        <v>-7.24350000000001</v>
      </c>
      <c r="O94" s="25" t="n">
        <f aca="false">IF(N94&gt;=-0.0000001,A94,O93)</f>
        <v>45929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45950</v>
      </c>
      <c r="B95" s="26" t="s">
        <v>79</v>
      </c>
      <c r="C95" s="27" t="n">
        <v>64698.75</v>
      </c>
      <c r="D95" s="28" t="n">
        <f aca="false">C95/$T$1*100</f>
        <v>12.93975</v>
      </c>
      <c r="E95" s="28" t="n">
        <f aca="false">E94+D95</f>
        <v>63.92475</v>
      </c>
      <c r="F95" s="28" t="n">
        <f aca="false">MAX(0,MAX($E$2:E95))</f>
        <v>71.166</v>
      </c>
      <c r="G95" s="28" t="n">
        <f aca="false">E95-F95</f>
        <v>-7.24124999999998</v>
      </c>
      <c r="H95" s="25" t="n">
        <f aca="false">IF(G95&gt;=-0.0000001,A95,H94)</f>
        <v>45904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64698.75</v>
      </c>
      <c r="L95" s="28" t="n">
        <f aca="false">L94+K95/$T$1*100</f>
        <v>77.8365</v>
      </c>
      <c r="M95" s="28" t="n">
        <f aca="false">MAX(0,MAX($L$2:L95))</f>
        <v>77.8365</v>
      </c>
      <c r="N95" s="28" t="n">
        <f aca="false">L95-M95</f>
        <v>0</v>
      </c>
      <c r="O95" s="25" t="n">
        <f aca="false">IF(N95&gt;=-0.0000001,A95,O94)</f>
        <v>45950</v>
      </c>
      <c r="P95" s="29" t="n">
        <f aca="false">IF(AND(N95&gt;=-0.0000001,N94&lt;0),1,0)</f>
        <v>1</v>
      </c>
      <c r="Q95" s="30" t="n">
        <f aca="false">IF(P95=1,A95-O94,"")</f>
        <v>21</v>
      </c>
    </row>
    <row r="96" customFormat="false" ht="15" hidden="false" customHeight="false" outlineLevel="0" collapsed="false">
      <c r="A96" s="25" t="n">
        <v>45953</v>
      </c>
      <c r="B96" s="26" t="s">
        <v>82</v>
      </c>
      <c r="C96" s="27" t="n">
        <v>-29205</v>
      </c>
      <c r="D96" s="28" t="n">
        <f aca="false">C96/$T$1*100</f>
        <v>-5.841</v>
      </c>
      <c r="E96" s="28" t="n">
        <f aca="false">E95+D96</f>
        <v>58.08375</v>
      </c>
      <c r="F96" s="28" t="n">
        <f aca="false">MAX(0,MAX($E$2:E96))</f>
        <v>71.166</v>
      </c>
      <c r="G96" s="28" t="n">
        <f aca="false">E96-F96</f>
        <v>-13.08225</v>
      </c>
      <c r="H96" s="25" t="n">
        <f aca="false">IF(G96&gt;=-0.0000001,A96,H95)</f>
        <v>45904</v>
      </c>
      <c r="I96" s="29" t="n">
        <f aca="false">IF(AND(G96&gt;=-0.0000001,G95&lt;0),1,0)</f>
        <v>0</v>
      </c>
      <c r="J96" s="30" t="str">
        <f aca="false">IF(I96=1,A96-H95,"")</f>
        <v/>
      </c>
      <c r="K96" s="27" t="n">
        <f aca="false">IF(B96="Wednesday",0,C96)</f>
        <v>-29205</v>
      </c>
      <c r="L96" s="28" t="n">
        <f aca="false">L95+K96/$T$1*100</f>
        <v>71.9955</v>
      </c>
      <c r="M96" s="28" t="n">
        <f aca="false">MAX(0,MAX($L$2:L96))</f>
        <v>77.8365</v>
      </c>
      <c r="N96" s="28" t="n">
        <f aca="false">L96-M96</f>
        <v>-5.84099999999999</v>
      </c>
      <c r="O96" s="25" t="n">
        <f aca="false">IF(N96&gt;=-0.0000001,A96,O95)</f>
        <v>45950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45954</v>
      </c>
      <c r="B97" s="26" t="s">
        <v>83</v>
      </c>
      <c r="C97" s="27" t="n">
        <v>26422.5</v>
      </c>
      <c r="D97" s="28" t="n">
        <f aca="false">C97/$T$1*100</f>
        <v>5.2845</v>
      </c>
      <c r="E97" s="28" t="n">
        <f aca="false">E96+D97</f>
        <v>63.36825</v>
      </c>
      <c r="F97" s="28" t="n">
        <f aca="false">MAX(0,MAX($E$2:E97))</f>
        <v>71.166</v>
      </c>
      <c r="G97" s="28" t="n">
        <f aca="false">E97-F97</f>
        <v>-7.79774999999998</v>
      </c>
      <c r="H97" s="25" t="n">
        <f aca="false">IF(G97&gt;=-0.0000001,A97,H96)</f>
        <v>45904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26422.5</v>
      </c>
      <c r="L97" s="28" t="n">
        <f aca="false">L96+K97/$T$1*100</f>
        <v>77.28</v>
      </c>
      <c r="M97" s="28" t="n">
        <f aca="false">MAX(0,MAX($L$2:L97))</f>
        <v>77.8365</v>
      </c>
      <c r="N97" s="28" t="n">
        <f aca="false">L97-M97</f>
        <v>-0.5565</v>
      </c>
      <c r="O97" s="25" t="n">
        <f aca="false">IF(N97&gt;=-0.0000001,A97,O96)</f>
        <v>45950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45957</v>
      </c>
      <c r="B98" s="26" t="s">
        <v>79</v>
      </c>
      <c r="C98" s="27" t="n">
        <v>-16751.25</v>
      </c>
      <c r="D98" s="28" t="n">
        <f aca="false">C98/$T$1*100</f>
        <v>-3.35025</v>
      </c>
      <c r="E98" s="28" t="n">
        <f aca="false">E97+D98</f>
        <v>60.018</v>
      </c>
      <c r="F98" s="28" t="n">
        <f aca="false">MAX(0,MAX($E$2:E98))</f>
        <v>71.166</v>
      </c>
      <c r="G98" s="28" t="n">
        <f aca="false">E98-F98</f>
        <v>-11.148</v>
      </c>
      <c r="H98" s="25" t="n">
        <f aca="false">IF(G98&gt;=-0.0000001,A98,H97)</f>
        <v>45904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-16751.25</v>
      </c>
      <c r="L98" s="28" t="n">
        <f aca="false">L97+K98/$T$1*100</f>
        <v>73.92975</v>
      </c>
      <c r="M98" s="28" t="n">
        <f aca="false">MAX(0,MAX($L$2:L98))</f>
        <v>77.8365</v>
      </c>
      <c r="N98" s="28" t="n">
        <f aca="false">L98-M98</f>
        <v>-3.90675</v>
      </c>
      <c r="O98" s="25" t="n">
        <f aca="false">IF(N98&gt;=-0.0000001,A98,O97)</f>
        <v>45950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45958</v>
      </c>
      <c r="B99" s="26" t="s">
        <v>80</v>
      </c>
      <c r="C99" s="27" t="n">
        <v>-27071.25</v>
      </c>
      <c r="D99" s="28" t="n">
        <f aca="false">C99/$T$1*100</f>
        <v>-5.41425</v>
      </c>
      <c r="E99" s="28" t="n">
        <f aca="false">E98+D99</f>
        <v>54.60375</v>
      </c>
      <c r="F99" s="28" t="n">
        <f aca="false">MAX(0,MAX($E$2:E99))</f>
        <v>71.166</v>
      </c>
      <c r="G99" s="28" t="n">
        <f aca="false">E99-F99</f>
        <v>-16.56225</v>
      </c>
      <c r="H99" s="25" t="n">
        <f aca="false">IF(G99&gt;=-0.0000001,A99,H98)</f>
        <v>45904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-27071.25</v>
      </c>
      <c r="L99" s="28" t="n">
        <f aca="false">L98+K99/$T$1*100</f>
        <v>68.5155</v>
      </c>
      <c r="M99" s="28" t="n">
        <f aca="false">MAX(0,MAX($L$2:L99))</f>
        <v>77.8365</v>
      </c>
      <c r="N99" s="28" t="n">
        <f aca="false">L99-M99</f>
        <v>-9.321</v>
      </c>
      <c r="O99" s="25" t="n">
        <f aca="false">IF(N99&gt;=-0.0000001,A99,O98)</f>
        <v>45950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45959</v>
      </c>
      <c r="B100" s="26" t="s">
        <v>81</v>
      </c>
      <c r="C100" s="27" t="n">
        <v>-262.5</v>
      </c>
      <c r="D100" s="28" t="n">
        <f aca="false">C100/$T$1*100</f>
        <v>-0.0525</v>
      </c>
      <c r="E100" s="28" t="n">
        <f aca="false">E99+D100</f>
        <v>54.55125</v>
      </c>
      <c r="F100" s="28" t="n">
        <f aca="false">MAX(0,MAX($E$2:E100))</f>
        <v>71.166</v>
      </c>
      <c r="G100" s="28" t="n">
        <f aca="false">E100-F100</f>
        <v>-16.61475</v>
      </c>
      <c r="H100" s="25" t="n">
        <f aca="false">IF(G100&gt;=-0.0000001,A100,H99)</f>
        <v>45904</v>
      </c>
      <c r="I100" s="29" t="n">
        <f aca="false">IF(AND(G100&gt;=-0.0000001,G99&lt;0),1,0)</f>
        <v>0</v>
      </c>
      <c r="J100" s="30" t="str">
        <f aca="false">IF(I100=1,A100-H99,"")</f>
        <v/>
      </c>
      <c r="K100" s="27" t="n">
        <f aca="false">IF(B100="Wednesday",0,C100)</f>
        <v>0</v>
      </c>
      <c r="L100" s="28" t="n">
        <f aca="false">L99+K100/$T$1*100</f>
        <v>68.5155</v>
      </c>
      <c r="M100" s="28" t="n">
        <f aca="false">MAX(0,MAX($L$2:L100))</f>
        <v>77.8365</v>
      </c>
      <c r="N100" s="28" t="n">
        <f aca="false">L100-M100</f>
        <v>-9.321</v>
      </c>
      <c r="O100" s="25" t="n">
        <f aca="false">IF(N100&gt;=-0.0000001,A100,O99)</f>
        <v>45950</v>
      </c>
      <c r="P100" s="29" t="n">
        <f aca="false">IF(AND(N100&gt;=-0.0000001,N99&lt;0),1,0)</f>
        <v>0</v>
      </c>
      <c r="Q100" s="30" t="str">
        <f aca="false">IF(P100=1,A100-O99,"")</f>
        <v/>
      </c>
    </row>
    <row r="101" customFormat="false" ht="15" hidden="false" customHeight="false" outlineLevel="0" collapsed="false">
      <c r="A101" s="25" t="n">
        <v>45960</v>
      </c>
      <c r="B101" s="26" t="s">
        <v>82</v>
      </c>
      <c r="C101" s="27" t="n">
        <v>-12258.75</v>
      </c>
      <c r="D101" s="28" t="n">
        <f aca="false">C101/$T$1*100</f>
        <v>-2.45175</v>
      </c>
      <c r="E101" s="28" t="n">
        <f aca="false">E100+D101</f>
        <v>52.0995</v>
      </c>
      <c r="F101" s="28" t="n">
        <f aca="false">MAX(0,MAX($E$2:E101))</f>
        <v>71.166</v>
      </c>
      <c r="G101" s="28" t="n">
        <f aca="false">E101-F101</f>
        <v>-19.0665</v>
      </c>
      <c r="H101" s="25" t="n">
        <f aca="false">IF(G101&gt;=-0.0000001,A101,H100)</f>
        <v>45904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-12258.75</v>
      </c>
      <c r="L101" s="28" t="n">
        <f aca="false">L100+K101/$T$1*100</f>
        <v>66.06375</v>
      </c>
      <c r="M101" s="28" t="n">
        <f aca="false">MAX(0,MAX($L$2:L101))</f>
        <v>77.8365</v>
      </c>
      <c r="N101" s="28" t="n">
        <f aca="false">L101-M101</f>
        <v>-11.77275</v>
      </c>
      <c r="O101" s="25" t="n">
        <f aca="false">IF(N101&gt;=-0.0000001,A101,O100)</f>
        <v>45950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45961</v>
      </c>
      <c r="B102" s="26" t="s">
        <v>83</v>
      </c>
      <c r="C102" s="27" t="n">
        <v>21825</v>
      </c>
      <c r="D102" s="28" t="n">
        <f aca="false">C102/$T$1*100</f>
        <v>4.365</v>
      </c>
      <c r="E102" s="28" t="n">
        <f aca="false">E101+D102</f>
        <v>56.4645</v>
      </c>
      <c r="F102" s="28" t="n">
        <f aca="false">MAX(0,MAX($E$2:E102))</f>
        <v>71.166</v>
      </c>
      <c r="G102" s="28" t="n">
        <f aca="false">E102-F102</f>
        <v>-14.7015</v>
      </c>
      <c r="H102" s="25" t="n">
        <f aca="false">IF(G102&gt;=-0.0000001,A102,H101)</f>
        <v>45904</v>
      </c>
      <c r="I102" s="29" t="n">
        <f aca="false">IF(AND(G102&gt;=-0.0000001,G101&lt;0),1,0)</f>
        <v>0</v>
      </c>
      <c r="J102" s="30" t="str">
        <f aca="false">IF(I102=1,A102-H101,"")</f>
        <v/>
      </c>
      <c r="K102" s="27" t="n">
        <f aca="false">IF(B102="Wednesday",0,C102)</f>
        <v>21825</v>
      </c>
      <c r="L102" s="28" t="n">
        <f aca="false">L101+K102/$T$1*100</f>
        <v>70.42875</v>
      </c>
      <c r="M102" s="28" t="n">
        <f aca="false">MAX(0,MAX($L$2:L102))</f>
        <v>77.8365</v>
      </c>
      <c r="N102" s="28" t="n">
        <f aca="false">L102-M102</f>
        <v>-7.40775000000001</v>
      </c>
      <c r="O102" s="25" t="n">
        <f aca="false">IF(N102&gt;=-0.0000001,A102,O101)</f>
        <v>45950</v>
      </c>
      <c r="P102" s="29" t="n">
        <f aca="false">IF(AND(N102&gt;=-0.0000001,N101&lt;0),1,0)</f>
        <v>0</v>
      </c>
      <c r="Q102" s="30" t="str">
        <f aca="false">IF(P102=1,A102-O101,"")</f>
        <v/>
      </c>
    </row>
    <row r="103" customFormat="false" ht="15" hidden="false" customHeight="false" outlineLevel="0" collapsed="false">
      <c r="A103" s="25" t="n">
        <v>45964</v>
      </c>
      <c r="B103" s="26" t="s">
        <v>79</v>
      </c>
      <c r="C103" s="27" t="n">
        <v>-10762.5</v>
      </c>
      <c r="D103" s="28" t="n">
        <f aca="false">C103/$T$1*100</f>
        <v>-2.1525</v>
      </c>
      <c r="E103" s="28" t="n">
        <f aca="false">E102+D103</f>
        <v>54.312</v>
      </c>
      <c r="F103" s="28" t="n">
        <f aca="false">MAX(0,MAX($E$2:E103))</f>
        <v>71.166</v>
      </c>
      <c r="G103" s="28" t="n">
        <f aca="false">E103-F103</f>
        <v>-16.854</v>
      </c>
      <c r="H103" s="25" t="n">
        <f aca="false">IF(G103&gt;=-0.0000001,A103,H102)</f>
        <v>45904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-10762.5</v>
      </c>
      <c r="L103" s="28" t="n">
        <f aca="false">L102+K103/$T$1*100</f>
        <v>68.27625</v>
      </c>
      <c r="M103" s="28" t="n">
        <f aca="false">MAX(0,MAX($L$2:L103))</f>
        <v>77.8365</v>
      </c>
      <c r="N103" s="28" t="n">
        <f aca="false">L103-M103</f>
        <v>-9.56025000000001</v>
      </c>
      <c r="O103" s="25" t="n">
        <f aca="false">IF(N103&gt;=-0.0000001,A103,O102)</f>
        <v>45950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45965</v>
      </c>
      <c r="B104" s="26" t="s">
        <v>80</v>
      </c>
      <c r="C104" s="27" t="n">
        <v>-60240</v>
      </c>
      <c r="D104" s="28" t="n">
        <f aca="false">C104/$T$1*100</f>
        <v>-12.048</v>
      </c>
      <c r="E104" s="28" t="n">
        <f aca="false">E103+D104</f>
        <v>42.264</v>
      </c>
      <c r="F104" s="28" t="n">
        <f aca="false">MAX(0,MAX($E$2:E104))</f>
        <v>71.166</v>
      </c>
      <c r="G104" s="28" t="n">
        <f aca="false">E104-F104</f>
        <v>-28.902</v>
      </c>
      <c r="H104" s="25" t="n">
        <f aca="false">IF(G104&gt;=-0.0000001,A104,H103)</f>
        <v>45904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-60240</v>
      </c>
      <c r="L104" s="28" t="n">
        <f aca="false">L103+K104/$T$1*100</f>
        <v>56.22825</v>
      </c>
      <c r="M104" s="28" t="n">
        <f aca="false">MAX(0,MAX($L$2:L104))</f>
        <v>77.8365</v>
      </c>
      <c r="N104" s="28" t="n">
        <f aca="false">L104-M104</f>
        <v>-21.60825</v>
      </c>
      <c r="O104" s="25" t="n">
        <f aca="false">IF(N104&gt;=-0.0000001,A104,O103)</f>
        <v>45950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45967</v>
      </c>
      <c r="B105" s="26" t="s">
        <v>82</v>
      </c>
      <c r="C105" s="27" t="n">
        <v>4316.25</v>
      </c>
      <c r="D105" s="28" t="n">
        <f aca="false">C105/$T$1*100</f>
        <v>0.86325</v>
      </c>
      <c r="E105" s="28" t="n">
        <f aca="false">E104+D105</f>
        <v>43.12725</v>
      </c>
      <c r="F105" s="28" t="n">
        <f aca="false">MAX(0,MAX($E$2:E105))</f>
        <v>71.166</v>
      </c>
      <c r="G105" s="28" t="n">
        <f aca="false">E105-F105</f>
        <v>-28.03875</v>
      </c>
      <c r="H105" s="25" t="n">
        <f aca="false">IF(G105&gt;=-0.0000001,A105,H104)</f>
        <v>45904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4316.25</v>
      </c>
      <c r="L105" s="28" t="n">
        <f aca="false">L104+K105/$T$1*100</f>
        <v>57.0915</v>
      </c>
      <c r="M105" s="28" t="n">
        <f aca="false">MAX(0,MAX($L$2:L105))</f>
        <v>77.8365</v>
      </c>
      <c r="N105" s="28" t="n">
        <f aca="false">L105-M105</f>
        <v>-20.745</v>
      </c>
      <c r="O105" s="25" t="n">
        <f aca="false">IF(N105&gt;=-0.0000001,A105,O104)</f>
        <v>45950</v>
      </c>
      <c r="P105" s="29" t="n">
        <f aca="false">IF(AND(N105&gt;=-0.0000001,N104&lt;0),1,0)</f>
        <v>0</v>
      </c>
      <c r="Q105" s="30" t="str">
        <f aca="false">IF(P105=1,A105-O104,"")</f>
        <v/>
      </c>
    </row>
    <row r="106" customFormat="false" ht="15" hidden="false" customHeight="false" outlineLevel="0" collapsed="false">
      <c r="A106" s="25" t="n">
        <v>45968</v>
      </c>
      <c r="B106" s="26" t="s">
        <v>83</v>
      </c>
      <c r="C106" s="27" t="n">
        <v>-16278.75</v>
      </c>
      <c r="D106" s="28" t="n">
        <f aca="false">C106/$T$1*100</f>
        <v>-3.25575</v>
      </c>
      <c r="E106" s="28" t="n">
        <f aca="false">E105+D106</f>
        <v>39.8715</v>
      </c>
      <c r="F106" s="28" t="n">
        <f aca="false">MAX(0,MAX($E$2:E106))</f>
        <v>71.166</v>
      </c>
      <c r="G106" s="28" t="n">
        <f aca="false">E106-F106</f>
        <v>-31.2945</v>
      </c>
      <c r="H106" s="25" t="n">
        <f aca="false">IF(G106&gt;=-0.0000001,A106,H105)</f>
        <v>45904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-16278.75</v>
      </c>
      <c r="L106" s="28" t="n">
        <f aca="false">L105+K106/$T$1*100</f>
        <v>53.83575</v>
      </c>
      <c r="M106" s="28" t="n">
        <f aca="false">MAX(0,MAX($L$2:L106))</f>
        <v>77.8365</v>
      </c>
      <c r="N106" s="28" t="n">
        <f aca="false">L106-M106</f>
        <v>-24.00075</v>
      </c>
      <c r="O106" s="25" t="n">
        <f aca="false">IF(N106&gt;=-0.0000001,A106,O105)</f>
        <v>45950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45971</v>
      </c>
      <c r="B107" s="26" t="s">
        <v>79</v>
      </c>
      <c r="C107" s="27" t="n">
        <v>-10188.75</v>
      </c>
      <c r="D107" s="28" t="n">
        <f aca="false">C107/$T$1*100</f>
        <v>-2.03775</v>
      </c>
      <c r="E107" s="28" t="n">
        <f aca="false">E106+D107</f>
        <v>37.83375</v>
      </c>
      <c r="F107" s="28" t="n">
        <f aca="false">MAX(0,MAX($E$2:E107))</f>
        <v>71.166</v>
      </c>
      <c r="G107" s="28" t="n">
        <f aca="false">E107-F107</f>
        <v>-33.33225</v>
      </c>
      <c r="H107" s="25" t="n">
        <f aca="false">IF(G107&gt;=-0.0000001,A107,H106)</f>
        <v>45904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-10188.75</v>
      </c>
      <c r="L107" s="28" t="n">
        <f aca="false">L106+K107/$T$1*100</f>
        <v>51.798</v>
      </c>
      <c r="M107" s="28" t="n">
        <f aca="false">MAX(0,MAX($L$2:L107))</f>
        <v>77.8365</v>
      </c>
      <c r="N107" s="28" t="n">
        <f aca="false">L107-M107</f>
        <v>-26.0385</v>
      </c>
      <c r="O107" s="25" t="n">
        <f aca="false">IF(N107&gt;=-0.0000001,A107,O106)</f>
        <v>45950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45972</v>
      </c>
      <c r="B108" s="26" t="s">
        <v>80</v>
      </c>
      <c r="C108" s="27" t="n">
        <v>355878.75</v>
      </c>
      <c r="D108" s="28" t="n">
        <f aca="false">C108/$T$1*100</f>
        <v>71.17575</v>
      </c>
      <c r="E108" s="28" t="n">
        <f aca="false">E107+D108</f>
        <v>109.0095</v>
      </c>
      <c r="F108" s="28" t="n">
        <f aca="false">MAX(0,MAX($E$2:E108))</f>
        <v>109.0095</v>
      </c>
      <c r="G108" s="28" t="n">
        <f aca="false">E108-F108</f>
        <v>0</v>
      </c>
      <c r="H108" s="25" t="n">
        <f aca="false">IF(G108&gt;=-0.0000001,A108,H107)</f>
        <v>45972</v>
      </c>
      <c r="I108" s="29" t="n">
        <f aca="false">IF(AND(G108&gt;=-0.0000001,G107&lt;0),1,0)</f>
        <v>1</v>
      </c>
      <c r="J108" s="30" t="n">
        <f aca="false">IF(I108=1,A108-H107,"")</f>
        <v>68</v>
      </c>
      <c r="K108" s="27" t="n">
        <f aca="false">IF(B108="Wednesday",0,C108)</f>
        <v>355878.75</v>
      </c>
      <c r="L108" s="28" t="n">
        <f aca="false">L107+K108/$T$1*100</f>
        <v>122.97375</v>
      </c>
      <c r="M108" s="28" t="n">
        <f aca="false">MAX(0,MAX($L$2:L108))</f>
        <v>122.97375</v>
      </c>
      <c r="N108" s="28" t="n">
        <f aca="false">L108-M108</f>
        <v>0</v>
      </c>
      <c r="O108" s="25" t="n">
        <f aca="false">IF(N108&gt;=-0.0000001,A108,O107)</f>
        <v>45972</v>
      </c>
      <c r="P108" s="29" t="n">
        <f aca="false">IF(AND(N108&gt;=-0.0000001,N107&lt;0),1,0)</f>
        <v>1</v>
      </c>
      <c r="Q108" s="30" t="n">
        <f aca="false">IF(P108=1,A108-O107,"")</f>
        <v>22</v>
      </c>
    </row>
    <row r="109" customFormat="false" ht="15" hidden="false" customHeight="false" outlineLevel="0" collapsed="false">
      <c r="A109" s="25" t="n">
        <v>45973</v>
      </c>
      <c r="B109" s="26" t="s">
        <v>81</v>
      </c>
      <c r="C109" s="27" t="n">
        <v>4477.5</v>
      </c>
      <c r="D109" s="28" t="n">
        <f aca="false">C109/$T$1*100</f>
        <v>0.8955</v>
      </c>
      <c r="E109" s="28" t="n">
        <f aca="false">E108+D109</f>
        <v>109.905</v>
      </c>
      <c r="F109" s="28" t="n">
        <f aca="false">MAX(0,MAX($E$2:E109))</f>
        <v>109.905</v>
      </c>
      <c r="G109" s="28" t="n">
        <f aca="false">E109-F109</f>
        <v>0</v>
      </c>
      <c r="H109" s="25" t="n">
        <f aca="false">IF(G109&gt;=-0.0000001,A109,H108)</f>
        <v>45973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0</v>
      </c>
      <c r="L109" s="28" t="n">
        <f aca="false">L108+K109/$T$1*100</f>
        <v>122.97375</v>
      </c>
      <c r="M109" s="28" t="n">
        <f aca="false">MAX(0,MAX($L$2:L109))</f>
        <v>122.97375</v>
      </c>
      <c r="N109" s="28" t="n">
        <f aca="false">L109-M109</f>
        <v>0</v>
      </c>
      <c r="O109" s="25" t="n">
        <f aca="false">IF(N109&gt;=-0.0000001,A109,O108)</f>
        <v>45973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45974</v>
      </c>
      <c r="B110" s="26" t="s">
        <v>82</v>
      </c>
      <c r="C110" s="27" t="n">
        <v>24030</v>
      </c>
      <c r="D110" s="28" t="n">
        <f aca="false">C110/$T$1*100</f>
        <v>4.806</v>
      </c>
      <c r="E110" s="28" t="n">
        <f aca="false">E109+D110</f>
        <v>114.711</v>
      </c>
      <c r="F110" s="28" t="n">
        <f aca="false">MAX(0,MAX($E$2:E110))</f>
        <v>114.711</v>
      </c>
      <c r="G110" s="28" t="n">
        <f aca="false">E110-F110</f>
        <v>0</v>
      </c>
      <c r="H110" s="25" t="n">
        <f aca="false">IF(G110&gt;=-0.0000001,A110,H109)</f>
        <v>45974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24030</v>
      </c>
      <c r="L110" s="28" t="n">
        <f aca="false">L109+K110/$T$1*100</f>
        <v>127.77975</v>
      </c>
      <c r="M110" s="28" t="n">
        <f aca="false">MAX(0,MAX($L$2:L110))</f>
        <v>127.77975</v>
      </c>
      <c r="N110" s="28" t="n">
        <f aca="false">L110-M110</f>
        <v>0</v>
      </c>
      <c r="O110" s="25" t="n">
        <f aca="false">IF(N110&gt;=-0.0000001,A110,O109)</f>
        <v>45974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45975</v>
      </c>
      <c r="B111" s="26" t="s">
        <v>83</v>
      </c>
      <c r="C111" s="27" t="n">
        <v>577.5</v>
      </c>
      <c r="D111" s="28" t="n">
        <f aca="false">C111/$T$1*100</f>
        <v>0.1155</v>
      </c>
      <c r="E111" s="28" t="n">
        <f aca="false">E110+D111</f>
        <v>114.8265</v>
      </c>
      <c r="F111" s="28" t="n">
        <f aca="false">MAX(0,MAX($E$2:E111))</f>
        <v>114.8265</v>
      </c>
      <c r="G111" s="28" t="n">
        <f aca="false">E111-F111</f>
        <v>0</v>
      </c>
      <c r="H111" s="25" t="n">
        <f aca="false">IF(G111&gt;=-0.0000001,A111,H110)</f>
        <v>45975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577.5</v>
      </c>
      <c r="L111" s="28" t="n">
        <f aca="false">L110+K111/$T$1*100</f>
        <v>127.89525</v>
      </c>
      <c r="M111" s="28" t="n">
        <f aca="false">MAX(0,MAX($L$2:L111))</f>
        <v>127.89525</v>
      </c>
      <c r="N111" s="28" t="n">
        <f aca="false">L111-M111</f>
        <v>0</v>
      </c>
      <c r="O111" s="25" t="n">
        <f aca="false">IF(N111&gt;=-0.0000001,A111,O110)</f>
        <v>45975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45978</v>
      </c>
      <c r="B112" s="26" t="s">
        <v>79</v>
      </c>
      <c r="C112" s="27" t="n">
        <v>-2328.75</v>
      </c>
      <c r="D112" s="28" t="n">
        <f aca="false">C112/$T$1*100</f>
        <v>-0.46575</v>
      </c>
      <c r="E112" s="28" t="n">
        <f aca="false">E111+D112</f>
        <v>114.36075</v>
      </c>
      <c r="F112" s="28" t="n">
        <f aca="false">MAX(0,MAX($E$2:E112))</f>
        <v>114.8265</v>
      </c>
      <c r="G112" s="28" t="n">
        <f aca="false">E112-F112</f>
        <v>-0.46575</v>
      </c>
      <c r="H112" s="25" t="n">
        <f aca="false">IF(G112&gt;=-0.0000001,A112,H111)</f>
        <v>45975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-2328.75</v>
      </c>
      <c r="L112" s="28" t="n">
        <f aca="false">L111+K112/$T$1*100</f>
        <v>127.4295</v>
      </c>
      <c r="M112" s="28" t="n">
        <f aca="false">MAX(0,MAX($L$2:L112))</f>
        <v>127.89525</v>
      </c>
      <c r="N112" s="28" t="n">
        <f aca="false">L112-M112</f>
        <v>-0.46575</v>
      </c>
      <c r="O112" s="25" t="n">
        <f aca="false">IF(N112&gt;=-0.0000001,A112,O111)</f>
        <v>45975</v>
      </c>
      <c r="P112" s="29" t="n">
        <f aca="false">IF(AND(N112&gt;=-0.0000001,N111&lt;0),1,0)</f>
        <v>0</v>
      </c>
      <c r="Q112" s="30" t="str">
        <f aca="false">IF(P112=1,A112-O111,"")</f>
        <v/>
      </c>
    </row>
    <row r="113" customFormat="false" ht="15" hidden="false" customHeight="false" outlineLevel="0" collapsed="false">
      <c r="A113" s="25" t="n">
        <v>45979</v>
      </c>
      <c r="B113" s="26" t="s">
        <v>80</v>
      </c>
      <c r="C113" s="27" t="n">
        <v>-153.75</v>
      </c>
      <c r="D113" s="28" t="n">
        <f aca="false">C113/$T$1*100</f>
        <v>-0.03075</v>
      </c>
      <c r="E113" s="28" t="n">
        <f aca="false">E112+D113</f>
        <v>114.33</v>
      </c>
      <c r="F113" s="28" t="n">
        <f aca="false">MAX(0,MAX($E$2:E113))</f>
        <v>114.8265</v>
      </c>
      <c r="G113" s="28" t="n">
        <f aca="false">E113-F113</f>
        <v>-0.496499999999998</v>
      </c>
      <c r="H113" s="25" t="n">
        <f aca="false">IF(G113&gt;=-0.0000001,A113,H112)</f>
        <v>45975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-153.75</v>
      </c>
      <c r="L113" s="28" t="n">
        <f aca="false">L112+K113/$T$1*100</f>
        <v>127.39875</v>
      </c>
      <c r="M113" s="28" t="n">
        <f aca="false">MAX(0,MAX($L$2:L113))</f>
        <v>127.89525</v>
      </c>
      <c r="N113" s="28" t="n">
        <f aca="false">L113-M113</f>
        <v>-0.496499999999998</v>
      </c>
      <c r="O113" s="25" t="n">
        <f aca="false">IF(N113&gt;=-0.0000001,A113,O112)</f>
        <v>45975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45980</v>
      </c>
      <c r="B114" s="26" t="s">
        <v>81</v>
      </c>
      <c r="C114" s="27" t="n">
        <v>-4860</v>
      </c>
      <c r="D114" s="28" t="n">
        <f aca="false">C114/$T$1*100</f>
        <v>-0.972</v>
      </c>
      <c r="E114" s="28" t="n">
        <f aca="false">E113+D114</f>
        <v>113.358</v>
      </c>
      <c r="F114" s="28" t="n">
        <f aca="false">MAX(0,MAX($E$2:E114))</f>
        <v>114.8265</v>
      </c>
      <c r="G114" s="28" t="n">
        <f aca="false">E114-F114</f>
        <v>-1.46849999999999</v>
      </c>
      <c r="H114" s="25" t="n">
        <f aca="false">IF(G114&gt;=-0.0000001,A114,H113)</f>
        <v>45975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0</v>
      </c>
      <c r="L114" s="28" t="n">
        <f aca="false">L113+K114/$T$1*100</f>
        <v>127.39875</v>
      </c>
      <c r="M114" s="28" t="n">
        <f aca="false">MAX(0,MAX($L$2:L114))</f>
        <v>127.89525</v>
      </c>
      <c r="N114" s="28" t="n">
        <f aca="false">L114-M114</f>
        <v>-0.496499999999998</v>
      </c>
      <c r="O114" s="25" t="n">
        <f aca="false">IF(N114&gt;=-0.0000001,A114,O113)</f>
        <v>45975</v>
      </c>
      <c r="P114" s="29" t="n">
        <f aca="false">IF(AND(N114&gt;=-0.0000001,N113&lt;0),1,0)</f>
        <v>0</v>
      </c>
      <c r="Q114" s="30" t="str">
        <f aca="false">IF(P114=1,A114-O113,"")</f>
        <v/>
      </c>
    </row>
    <row r="115" customFormat="false" ht="15" hidden="false" customHeight="false" outlineLevel="0" collapsed="false">
      <c r="A115" s="25" t="n">
        <v>45981</v>
      </c>
      <c r="B115" s="26" t="s">
        <v>82</v>
      </c>
      <c r="C115" s="27" t="n">
        <v>18821.25</v>
      </c>
      <c r="D115" s="28" t="n">
        <f aca="false">C115/$T$1*100</f>
        <v>3.76425</v>
      </c>
      <c r="E115" s="28" t="n">
        <f aca="false">E114+D115</f>
        <v>117.12225</v>
      </c>
      <c r="F115" s="28" t="n">
        <f aca="false">MAX(0,MAX($E$2:E115))</f>
        <v>117.12225</v>
      </c>
      <c r="G115" s="28" t="n">
        <f aca="false">E115-F115</f>
        <v>0</v>
      </c>
      <c r="H115" s="25" t="n">
        <f aca="false">IF(G115&gt;=-0.0000001,A115,H114)</f>
        <v>45981</v>
      </c>
      <c r="I115" s="29" t="n">
        <f aca="false">IF(AND(G115&gt;=-0.0000001,G114&lt;0),1,0)</f>
        <v>1</v>
      </c>
      <c r="J115" s="30" t="n">
        <f aca="false">IF(I115=1,A115-H114,"")</f>
        <v>6</v>
      </c>
      <c r="K115" s="27" t="n">
        <f aca="false">IF(B115="Wednesday",0,C115)</f>
        <v>18821.25</v>
      </c>
      <c r="L115" s="28" t="n">
        <f aca="false">L114+K115/$T$1*100</f>
        <v>131.163</v>
      </c>
      <c r="M115" s="28" t="n">
        <f aca="false">MAX(0,MAX($L$2:L115))</f>
        <v>131.163</v>
      </c>
      <c r="N115" s="28" t="n">
        <f aca="false">L115-M115</f>
        <v>0</v>
      </c>
      <c r="O115" s="25" t="n">
        <f aca="false">IF(N115&gt;=-0.0000001,A115,O114)</f>
        <v>45981</v>
      </c>
      <c r="P115" s="29" t="n">
        <f aca="false">IF(AND(N115&gt;=-0.0000001,N114&lt;0),1,0)</f>
        <v>1</v>
      </c>
      <c r="Q115" s="30" t="n">
        <f aca="false">IF(P115=1,A115-O114,"")</f>
        <v>6</v>
      </c>
    </row>
    <row r="116" customFormat="false" ht="15" hidden="false" customHeight="false" outlineLevel="0" collapsed="false">
      <c r="A116" s="25" t="n">
        <v>45982</v>
      </c>
      <c r="B116" s="26" t="s">
        <v>83</v>
      </c>
      <c r="C116" s="27" t="n">
        <v>-41216.25</v>
      </c>
      <c r="D116" s="28" t="n">
        <f aca="false">C116/$T$1*100</f>
        <v>-8.24325</v>
      </c>
      <c r="E116" s="28" t="n">
        <f aca="false">E115+D116</f>
        <v>108.879</v>
      </c>
      <c r="F116" s="28" t="n">
        <f aca="false">MAX(0,MAX($E$2:E116))</f>
        <v>117.12225</v>
      </c>
      <c r="G116" s="28" t="n">
        <f aca="false">E116-F116</f>
        <v>-8.24325</v>
      </c>
      <c r="H116" s="25" t="n">
        <f aca="false">IF(G116&gt;=-0.0000001,A116,H115)</f>
        <v>45981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-41216.25</v>
      </c>
      <c r="L116" s="28" t="n">
        <f aca="false">L115+K116/$T$1*100</f>
        <v>122.91975</v>
      </c>
      <c r="M116" s="28" t="n">
        <f aca="false">MAX(0,MAX($L$2:L116))</f>
        <v>131.163</v>
      </c>
      <c r="N116" s="28" t="n">
        <f aca="false">L116-M116</f>
        <v>-8.24325</v>
      </c>
      <c r="O116" s="25" t="n">
        <f aca="false">IF(N116&gt;=-0.0000001,A116,O115)</f>
        <v>45981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45985</v>
      </c>
      <c r="B117" s="26" t="s">
        <v>79</v>
      </c>
      <c r="C117" s="27" t="n">
        <v>58012.5</v>
      </c>
      <c r="D117" s="28" t="n">
        <f aca="false">C117/$T$1*100</f>
        <v>11.6025</v>
      </c>
      <c r="E117" s="28" t="n">
        <f aca="false">E116+D117</f>
        <v>120.4815</v>
      </c>
      <c r="F117" s="28" t="n">
        <f aca="false">MAX(0,MAX($E$2:E117))</f>
        <v>120.4815</v>
      </c>
      <c r="G117" s="28" t="n">
        <f aca="false">E117-F117</f>
        <v>0</v>
      </c>
      <c r="H117" s="25" t="n">
        <f aca="false">IF(G117&gt;=-0.0000001,A117,H116)</f>
        <v>45985</v>
      </c>
      <c r="I117" s="29" t="n">
        <f aca="false">IF(AND(G117&gt;=-0.0000001,G116&lt;0),1,0)</f>
        <v>1</v>
      </c>
      <c r="J117" s="30" t="n">
        <f aca="false">IF(I117=1,A117-H116,"")</f>
        <v>4</v>
      </c>
      <c r="K117" s="27" t="n">
        <f aca="false">IF(B117="Wednesday",0,C117)</f>
        <v>58012.5</v>
      </c>
      <c r="L117" s="28" t="n">
        <f aca="false">L116+K117/$T$1*100</f>
        <v>134.52225</v>
      </c>
      <c r="M117" s="28" t="n">
        <f aca="false">MAX(0,MAX($L$2:L117))</f>
        <v>134.52225</v>
      </c>
      <c r="N117" s="28" t="n">
        <f aca="false">L117-M117</f>
        <v>0</v>
      </c>
      <c r="O117" s="25" t="n">
        <f aca="false">IF(N117&gt;=-0.0000001,A117,O116)</f>
        <v>45985</v>
      </c>
      <c r="P117" s="29" t="n">
        <f aca="false">IF(AND(N117&gt;=-0.0000001,N116&lt;0),1,0)</f>
        <v>1</v>
      </c>
      <c r="Q117" s="30" t="n">
        <f aca="false">IF(P117=1,A117-O116,"")</f>
        <v>4</v>
      </c>
    </row>
    <row r="118" customFormat="false" ht="15" hidden="false" customHeight="false" outlineLevel="0" collapsed="false">
      <c r="A118" s="25" t="n">
        <v>45986</v>
      </c>
      <c r="B118" s="26" t="s">
        <v>80</v>
      </c>
      <c r="C118" s="27" t="n">
        <v>-30675</v>
      </c>
      <c r="D118" s="28" t="n">
        <f aca="false">C118/$T$1*100</f>
        <v>-6.135</v>
      </c>
      <c r="E118" s="28" t="n">
        <f aca="false">E117+D118</f>
        <v>114.3465</v>
      </c>
      <c r="F118" s="28" t="n">
        <f aca="false">MAX(0,MAX($E$2:E118))</f>
        <v>120.4815</v>
      </c>
      <c r="G118" s="28" t="n">
        <f aca="false">E118-F118</f>
        <v>-6.13500000000001</v>
      </c>
      <c r="H118" s="25" t="n">
        <f aca="false">IF(G118&gt;=-0.0000001,A118,H117)</f>
        <v>45985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-30675</v>
      </c>
      <c r="L118" s="28" t="n">
        <f aca="false">L117+K118/$T$1*100</f>
        <v>128.38725</v>
      </c>
      <c r="M118" s="28" t="n">
        <f aca="false">MAX(0,MAX($L$2:L118))</f>
        <v>134.52225</v>
      </c>
      <c r="N118" s="28" t="n">
        <f aca="false">L118-M118</f>
        <v>-6.13499999999999</v>
      </c>
      <c r="O118" s="25" t="n">
        <f aca="false">IF(N118&gt;=-0.0000001,A118,O117)</f>
        <v>45985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45987</v>
      </c>
      <c r="B119" s="26" t="s">
        <v>81</v>
      </c>
      <c r="C119" s="27" t="n">
        <v>1916.25</v>
      </c>
      <c r="D119" s="28" t="n">
        <f aca="false">C119/$T$1*100</f>
        <v>0.38325</v>
      </c>
      <c r="E119" s="28" t="n">
        <f aca="false">E118+D119</f>
        <v>114.72975</v>
      </c>
      <c r="F119" s="28" t="n">
        <f aca="false">MAX(0,MAX($E$2:E119))</f>
        <v>120.4815</v>
      </c>
      <c r="G119" s="28" t="n">
        <f aca="false">E119-F119</f>
        <v>-5.75175</v>
      </c>
      <c r="H119" s="25" t="n">
        <f aca="false">IF(G119&gt;=-0.0000001,A119,H118)</f>
        <v>45985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0</v>
      </c>
      <c r="L119" s="28" t="n">
        <f aca="false">L118+K119/$T$1*100</f>
        <v>128.38725</v>
      </c>
      <c r="M119" s="28" t="n">
        <f aca="false">MAX(0,MAX($L$2:L119))</f>
        <v>134.52225</v>
      </c>
      <c r="N119" s="28" t="n">
        <f aca="false">L119-M119</f>
        <v>-6.13499999999999</v>
      </c>
      <c r="O119" s="25" t="n">
        <f aca="false">IF(N119&gt;=-0.0000001,A119,O118)</f>
        <v>45985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45988</v>
      </c>
      <c r="B120" s="26" t="s">
        <v>82</v>
      </c>
      <c r="C120" s="27" t="n">
        <v>-26430</v>
      </c>
      <c r="D120" s="28" t="n">
        <f aca="false">C120/$T$1*100</f>
        <v>-5.286</v>
      </c>
      <c r="E120" s="28" t="n">
        <f aca="false">E119+D120</f>
        <v>109.44375</v>
      </c>
      <c r="F120" s="28" t="n">
        <f aca="false">MAX(0,MAX($E$2:E120))</f>
        <v>120.4815</v>
      </c>
      <c r="G120" s="28" t="n">
        <f aca="false">E120-F120</f>
        <v>-11.03775</v>
      </c>
      <c r="H120" s="25" t="n">
        <f aca="false">IF(G120&gt;=-0.0000001,A120,H119)</f>
        <v>45985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-26430</v>
      </c>
      <c r="L120" s="28" t="n">
        <f aca="false">L119+K120/$T$1*100</f>
        <v>123.10125</v>
      </c>
      <c r="M120" s="28" t="n">
        <f aca="false">MAX(0,MAX($L$2:L120))</f>
        <v>134.52225</v>
      </c>
      <c r="N120" s="28" t="n">
        <f aca="false">L120-M120</f>
        <v>-11.421</v>
      </c>
      <c r="O120" s="25" t="n">
        <f aca="false">IF(N120&gt;=-0.0000001,A120,O119)</f>
        <v>45985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45989</v>
      </c>
      <c r="B121" s="26" t="s">
        <v>83</v>
      </c>
      <c r="C121" s="27" t="n">
        <v>5775</v>
      </c>
      <c r="D121" s="28" t="n">
        <f aca="false">C121/$T$1*100</f>
        <v>1.155</v>
      </c>
      <c r="E121" s="28" t="n">
        <f aca="false">E120+D121</f>
        <v>110.59875</v>
      </c>
      <c r="F121" s="28" t="n">
        <f aca="false">MAX(0,MAX($E$2:E121))</f>
        <v>120.4815</v>
      </c>
      <c r="G121" s="28" t="n">
        <f aca="false">E121-F121</f>
        <v>-9.88275</v>
      </c>
      <c r="H121" s="25" t="n">
        <f aca="false">IF(G121&gt;=-0.0000001,A121,H120)</f>
        <v>45985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5775</v>
      </c>
      <c r="L121" s="28" t="n">
        <f aca="false">L120+K121/$T$1*100</f>
        <v>124.25625</v>
      </c>
      <c r="M121" s="28" t="n">
        <f aca="false">MAX(0,MAX($L$2:L121))</f>
        <v>134.52225</v>
      </c>
      <c r="N121" s="28" t="n">
        <f aca="false">L121-M121</f>
        <v>-10.266</v>
      </c>
      <c r="O121" s="25" t="n">
        <f aca="false">IF(N121&gt;=-0.0000001,A121,O120)</f>
        <v>45985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45992</v>
      </c>
      <c r="B122" s="26" t="s">
        <v>79</v>
      </c>
      <c r="C122" s="27" t="n">
        <v>9457.5</v>
      </c>
      <c r="D122" s="28" t="n">
        <f aca="false">C122/$T$1*100</f>
        <v>1.8915</v>
      </c>
      <c r="E122" s="28" t="n">
        <f aca="false">E121+D122</f>
        <v>112.49025</v>
      </c>
      <c r="F122" s="28" t="n">
        <f aca="false">MAX(0,MAX($E$2:E122))</f>
        <v>120.4815</v>
      </c>
      <c r="G122" s="28" t="n">
        <f aca="false">E122-F122</f>
        <v>-7.99125000000001</v>
      </c>
      <c r="H122" s="25" t="n">
        <f aca="false">IF(G122&gt;=-0.0000001,A122,H121)</f>
        <v>45985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9457.5</v>
      </c>
      <c r="L122" s="28" t="n">
        <f aca="false">L121+K122/$T$1*100</f>
        <v>126.14775</v>
      </c>
      <c r="M122" s="28" t="n">
        <f aca="false">MAX(0,MAX($L$2:L122))</f>
        <v>134.52225</v>
      </c>
      <c r="N122" s="28" t="n">
        <f aca="false">L122-M122</f>
        <v>-8.3745</v>
      </c>
      <c r="O122" s="25" t="n">
        <f aca="false">IF(N122&gt;=-0.0000001,A122,O121)</f>
        <v>45985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45993</v>
      </c>
      <c r="B123" s="26" t="s">
        <v>80</v>
      </c>
      <c r="C123" s="27" t="n">
        <v>-29906.25</v>
      </c>
      <c r="D123" s="28" t="n">
        <f aca="false">C123/$T$1*100</f>
        <v>-5.98125</v>
      </c>
      <c r="E123" s="28" t="n">
        <f aca="false">E122+D123</f>
        <v>106.509</v>
      </c>
      <c r="F123" s="28" t="n">
        <f aca="false">MAX(0,MAX($E$2:E123))</f>
        <v>120.4815</v>
      </c>
      <c r="G123" s="28" t="n">
        <f aca="false">E123-F123</f>
        <v>-13.9725</v>
      </c>
      <c r="H123" s="25" t="n">
        <f aca="false">IF(G123&gt;=-0.0000001,A123,H122)</f>
        <v>45985</v>
      </c>
      <c r="I123" s="29" t="n">
        <f aca="false">IF(AND(G123&gt;=-0.0000001,G122&lt;0),1,0)</f>
        <v>0</v>
      </c>
      <c r="J123" s="30" t="str">
        <f aca="false">IF(I123=1,A123-H122,"")</f>
        <v/>
      </c>
      <c r="K123" s="27" t="n">
        <f aca="false">IF(B123="Wednesday",0,C123)</f>
        <v>-29906.25</v>
      </c>
      <c r="L123" s="28" t="n">
        <f aca="false">L122+K123/$T$1*100</f>
        <v>120.1665</v>
      </c>
      <c r="M123" s="28" t="n">
        <f aca="false">MAX(0,MAX($L$2:L123))</f>
        <v>134.52225</v>
      </c>
      <c r="N123" s="28" t="n">
        <f aca="false">L123-M123</f>
        <v>-14.35575</v>
      </c>
      <c r="O123" s="25" t="n">
        <f aca="false">IF(N123&gt;=-0.0000001,A123,O122)</f>
        <v>45985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45994</v>
      </c>
      <c r="B124" s="26" t="s">
        <v>81</v>
      </c>
      <c r="C124" s="27" t="n">
        <v>9855</v>
      </c>
      <c r="D124" s="28" t="n">
        <f aca="false">C124/$T$1*100</f>
        <v>1.971</v>
      </c>
      <c r="E124" s="28" t="n">
        <f aca="false">E123+D124</f>
        <v>108.48</v>
      </c>
      <c r="F124" s="28" t="n">
        <f aca="false">MAX(0,MAX($E$2:E124))</f>
        <v>120.4815</v>
      </c>
      <c r="G124" s="28" t="n">
        <f aca="false">E124-F124</f>
        <v>-12.0015</v>
      </c>
      <c r="H124" s="25" t="n">
        <f aca="false">IF(G124&gt;=-0.0000001,A124,H123)</f>
        <v>45985</v>
      </c>
      <c r="I124" s="29" t="n">
        <f aca="false">IF(AND(G124&gt;=-0.0000001,G123&lt;0),1,0)</f>
        <v>0</v>
      </c>
      <c r="J124" s="30" t="str">
        <f aca="false">IF(I124=1,A124-H123,"")</f>
        <v/>
      </c>
      <c r="K124" s="27" t="n">
        <f aca="false">IF(B124="Wednesday",0,C124)</f>
        <v>0</v>
      </c>
      <c r="L124" s="28" t="n">
        <f aca="false">L123+K124/$T$1*100</f>
        <v>120.1665</v>
      </c>
      <c r="M124" s="28" t="n">
        <f aca="false">MAX(0,MAX($L$2:L124))</f>
        <v>134.52225</v>
      </c>
      <c r="N124" s="28" t="n">
        <f aca="false">L124-M124</f>
        <v>-14.35575</v>
      </c>
      <c r="O124" s="25" t="n">
        <f aca="false">IF(N124&gt;=-0.0000001,A124,O123)</f>
        <v>45985</v>
      </c>
      <c r="P124" s="29" t="n">
        <f aca="false">IF(AND(N124&gt;=-0.0000001,N123&lt;0),1,0)</f>
        <v>0</v>
      </c>
      <c r="Q124" s="30" t="str">
        <f aca="false">IF(P124=1,A124-O123,"")</f>
        <v/>
      </c>
    </row>
    <row r="125" customFormat="false" ht="15" hidden="false" customHeight="false" outlineLevel="0" collapsed="false">
      <c r="A125" s="25" t="n">
        <v>45995</v>
      </c>
      <c r="B125" s="26" t="s">
        <v>82</v>
      </c>
      <c r="C125" s="27" t="n">
        <v>-47370</v>
      </c>
      <c r="D125" s="28" t="n">
        <f aca="false">C125/$T$1*100</f>
        <v>-9.474</v>
      </c>
      <c r="E125" s="28" t="n">
        <f aca="false">E124+D125</f>
        <v>99.006</v>
      </c>
      <c r="F125" s="28" t="n">
        <f aca="false">MAX(0,MAX($E$2:E125))</f>
        <v>120.4815</v>
      </c>
      <c r="G125" s="28" t="n">
        <f aca="false">E125-F125</f>
        <v>-21.4755</v>
      </c>
      <c r="H125" s="25" t="n">
        <f aca="false">IF(G125&gt;=-0.0000001,A125,H124)</f>
        <v>45985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-47370</v>
      </c>
      <c r="L125" s="28" t="n">
        <f aca="false">L124+K125/$T$1*100</f>
        <v>110.6925</v>
      </c>
      <c r="M125" s="28" t="n">
        <f aca="false">MAX(0,MAX($L$2:L125))</f>
        <v>134.52225</v>
      </c>
      <c r="N125" s="28" t="n">
        <f aca="false">L125-M125</f>
        <v>-23.82975</v>
      </c>
      <c r="O125" s="25" t="n">
        <f aca="false">IF(N125&gt;=-0.0000001,A125,O124)</f>
        <v>45985</v>
      </c>
      <c r="P125" s="29" t="n">
        <f aca="false">IF(AND(N125&gt;=-0.0000001,N124&lt;0),1,0)</f>
        <v>0</v>
      </c>
      <c r="Q125" s="30" t="str">
        <f aca="false">IF(P125=1,A125-O124,"")</f>
        <v/>
      </c>
    </row>
    <row r="126" customFormat="false" ht="15" hidden="false" customHeight="false" outlineLevel="0" collapsed="false">
      <c r="A126" s="25" t="n">
        <v>45996</v>
      </c>
      <c r="B126" s="26" t="s">
        <v>83</v>
      </c>
      <c r="C126" s="27" t="n">
        <v>-60705</v>
      </c>
      <c r="D126" s="28" t="n">
        <f aca="false">C126/$T$1*100</f>
        <v>-12.141</v>
      </c>
      <c r="E126" s="28" t="n">
        <f aca="false">E125+D126</f>
        <v>86.865</v>
      </c>
      <c r="F126" s="28" t="n">
        <f aca="false">MAX(0,MAX($E$2:E126))</f>
        <v>120.4815</v>
      </c>
      <c r="G126" s="28" t="n">
        <f aca="false">E126-F126</f>
        <v>-33.6165</v>
      </c>
      <c r="H126" s="25" t="n">
        <f aca="false">IF(G126&gt;=-0.0000001,A126,H125)</f>
        <v>45985</v>
      </c>
      <c r="I126" s="29" t="n">
        <f aca="false">IF(AND(G126&gt;=-0.0000001,G125&lt;0),1,0)</f>
        <v>0</v>
      </c>
      <c r="J126" s="30" t="str">
        <f aca="false">IF(I126=1,A126-H125,"")</f>
        <v/>
      </c>
      <c r="K126" s="27" t="n">
        <f aca="false">IF(B126="Wednesday",0,C126)</f>
        <v>-60705</v>
      </c>
      <c r="L126" s="28" t="n">
        <f aca="false">L125+K126/$T$1*100</f>
        <v>98.5515</v>
      </c>
      <c r="M126" s="28" t="n">
        <f aca="false">MAX(0,MAX($L$2:L126))</f>
        <v>134.52225</v>
      </c>
      <c r="N126" s="28" t="n">
        <f aca="false">L126-M126</f>
        <v>-35.97075</v>
      </c>
      <c r="O126" s="25" t="n">
        <f aca="false">IF(N126&gt;=-0.0000001,A126,O125)</f>
        <v>45985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45999</v>
      </c>
      <c r="B127" s="26" t="s">
        <v>79</v>
      </c>
      <c r="C127" s="27" t="n">
        <v>104025</v>
      </c>
      <c r="D127" s="28" t="n">
        <f aca="false">C127/$T$1*100</f>
        <v>20.805</v>
      </c>
      <c r="E127" s="28" t="n">
        <f aca="false">E126+D127</f>
        <v>107.67</v>
      </c>
      <c r="F127" s="28" t="n">
        <f aca="false">MAX(0,MAX($E$2:E127))</f>
        <v>120.4815</v>
      </c>
      <c r="G127" s="28" t="n">
        <f aca="false">E127-F127</f>
        <v>-12.8115</v>
      </c>
      <c r="H127" s="25" t="n">
        <f aca="false">IF(G127&gt;=-0.0000001,A127,H126)</f>
        <v>45985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104025</v>
      </c>
      <c r="L127" s="28" t="n">
        <f aca="false">L126+K127/$T$1*100</f>
        <v>119.3565</v>
      </c>
      <c r="M127" s="28" t="n">
        <f aca="false">MAX(0,MAX($L$2:L127))</f>
        <v>134.52225</v>
      </c>
      <c r="N127" s="28" t="n">
        <f aca="false">L127-M127</f>
        <v>-15.16575</v>
      </c>
      <c r="O127" s="25" t="n">
        <f aca="false">IF(N127&gt;=-0.0000001,A127,O126)</f>
        <v>45985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46000</v>
      </c>
      <c r="B128" s="26" t="s">
        <v>80</v>
      </c>
      <c r="C128" s="27" t="n">
        <v>-978.75</v>
      </c>
      <c r="D128" s="28" t="n">
        <f aca="false">C128/$T$1*100</f>
        <v>-0.19575</v>
      </c>
      <c r="E128" s="28" t="n">
        <f aca="false">E127+D128</f>
        <v>107.47425</v>
      </c>
      <c r="F128" s="28" t="n">
        <f aca="false">MAX(0,MAX($E$2:E128))</f>
        <v>120.4815</v>
      </c>
      <c r="G128" s="28" t="n">
        <f aca="false">E128-F128</f>
        <v>-13.00725</v>
      </c>
      <c r="H128" s="25" t="n">
        <f aca="false">IF(G128&gt;=-0.0000001,A128,H127)</f>
        <v>45985</v>
      </c>
      <c r="I128" s="29" t="n">
        <f aca="false">IF(AND(G128&gt;=-0.0000001,G127&lt;0),1,0)</f>
        <v>0</v>
      </c>
      <c r="J128" s="30" t="str">
        <f aca="false">IF(I128=1,A128-H127,"")</f>
        <v/>
      </c>
      <c r="K128" s="27" t="n">
        <f aca="false">IF(B128="Wednesday",0,C128)</f>
        <v>-978.75</v>
      </c>
      <c r="L128" s="28" t="n">
        <f aca="false">L127+K128/$T$1*100</f>
        <v>119.16075</v>
      </c>
      <c r="M128" s="28" t="n">
        <f aca="false">MAX(0,MAX($L$2:L128))</f>
        <v>134.52225</v>
      </c>
      <c r="N128" s="28" t="n">
        <f aca="false">L128-M128</f>
        <v>-15.3615</v>
      </c>
      <c r="O128" s="25" t="n">
        <f aca="false">IF(N128&gt;=-0.0000001,A128,O127)</f>
        <v>45985</v>
      </c>
      <c r="P128" s="29" t="n">
        <f aca="false">IF(AND(N128&gt;=-0.0000001,N127&lt;0),1,0)</f>
        <v>0</v>
      </c>
      <c r="Q128" s="30" t="str">
        <f aca="false">IF(P128=1,A128-O127,"")</f>
        <v/>
      </c>
    </row>
    <row r="129" customFormat="false" ht="15" hidden="false" customHeight="false" outlineLevel="0" collapsed="false">
      <c r="A129" s="25" t="n">
        <v>46001</v>
      </c>
      <c r="B129" s="26" t="s">
        <v>81</v>
      </c>
      <c r="C129" s="27" t="n">
        <v>-21465</v>
      </c>
      <c r="D129" s="28" t="n">
        <f aca="false">C129/$T$1*100</f>
        <v>-4.293</v>
      </c>
      <c r="E129" s="28" t="n">
        <f aca="false">E128+D129</f>
        <v>103.18125</v>
      </c>
      <c r="F129" s="28" t="n">
        <f aca="false">MAX(0,MAX($E$2:E129))</f>
        <v>120.4815</v>
      </c>
      <c r="G129" s="28" t="n">
        <f aca="false">E129-F129</f>
        <v>-17.30025</v>
      </c>
      <c r="H129" s="25" t="n">
        <f aca="false">IF(G129&gt;=-0.0000001,A129,H128)</f>
        <v>45985</v>
      </c>
      <c r="I129" s="29" t="n">
        <f aca="false">IF(AND(G129&gt;=-0.0000001,G128&lt;0),1,0)</f>
        <v>0</v>
      </c>
      <c r="J129" s="30" t="str">
        <f aca="false">IF(I129=1,A129-H128,"")</f>
        <v/>
      </c>
      <c r="K129" s="27" t="n">
        <f aca="false">IF(B129="Wednesday",0,C129)</f>
        <v>0</v>
      </c>
      <c r="L129" s="28" t="n">
        <f aca="false">L128+K129/$T$1*100</f>
        <v>119.16075</v>
      </c>
      <c r="M129" s="28" t="n">
        <f aca="false">MAX(0,MAX($L$2:L129))</f>
        <v>134.52225</v>
      </c>
      <c r="N129" s="28" t="n">
        <f aca="false">L129-M129</f>
        <v>-15.3615</v>
      </c>
      <c r="O129" s="25" t="n">
        <f aca="false">IF(N129&gt;=-0.0000001,A129,O128)</f>
        <v>45985</v>
      </c>
      <c r="P129" s="29" t="n">
        <f aca="false">IF(AND(N129&gt;=-0.0000001,N128&lt;0),1,0)</f>
        <v>0</v>
      </c>
      <c r="Q129" s="30" t="str">
        <f aca="false">IF(P129=1,A129-O128,"")</f>
        <v/>
      </c>
    </row>
    <row r="130" customFormat="false" ht="15" hidden="false" customHeight="false" outlineLevel="0" collapsed="false">
      <c r="A130" s="25" t="n">
        <v>46002</v>
      </c>
      <c r="B130" s="26" t="s">
        <v>82</v>
      </c>
      <c r="C130" s="27" t="n">
        <v>10316.25</v>
      </c>
      <c r="D130" s="28" t="n">
        <f aca="false">C130/$T$1*100</f>
        <v>2.06325</v>
      </c>
      <c r="E130" s="28" t="n">
        <f aca="false">E129+D130</f>
        <v>105.2445</v>
      </c>
      <c r="F130" s="28" t="n">
        <f aca="false">MAX(0,MAX($E$2:E130))</f>
        <v>120.4815</v>
      </c>
      <c r="G130" s="28" t="n">
        <f aca="false">E130-F130</f>
        <v>-15.237</v>
      </c>
      <c r="H130" s="25" t="n">
        <f aca="false">IF(G130&gt;=-0.0000001,A130,H129)</f>
        <v>45985</v>
      </c>
      <c r="I130" s="29" t="n">
        <f aca="false">IF(AND(G130&gt;=-0.0000001,G129&lt;0),1,0)</f>
        <v>0</v>
      </c>
      <c r="J130" s="30" t="str">
        <f aca="false">IF(I130=1,A130-H129,"")</f>
        <v/>
      </c>
      <c r="K130" s="27" t="n">
        <f aca="false">IF(B130="Wednesday",0,C130)</f>
        <v>10316.25</v>
      </c>
      <c r="L130" s="28" t="n">
        <f aca="false">L129+K130/$T$1*100</f>
        <v>121.224</v>
      </c>
      <c r="M130" s="28" t="n">
        <f aca="false">MAX(0,MAX($L$2:L130))</f>
        <v>134.52225</v>
      </c>
      <c r="N130" s="28" t="n">
        <f aca="false">L130-M130</f>
        <v>-13.29825</v>
      </c>
      <c r="O130" s="25" t="n">
        <f aca="false">IF(N130&gt;=-0.0000001,A130,O129)</f>
        <v>45985</v>
      </c>
      <c r="P130" s="29" t="n">
        <f aca="false">IF(AND(N130&gt;=-0.0000001,N129&lt;0),1,0)</f>
        <v>0</v>
      </c>
      <c r="Q130" s="30" t="str">
        <f aca="false">IF(P130=1,A130-O129,"")</f>
        <v/>
      </c>
    </row>
    <row r="131" customFormat="false" ht="15" hidden="false" customHeight="false" outlineLevel="0" collapsed="false">
      <c r="A131" s="25" t="n">
        <v>46003</v>
      </c>
      <c r="B131" s="26" t="s">
        <v>83</v>
      </c>
      <c r="C131" s="27" t="n">
        <v>2790</v>
      </c>
      <c r="D131" s="28" t="n">
        <f aca="false">C131/$T$1*100</f>
        <v>0.558</v>
      </c>
      <c r="E131" s="28" t="n">
        <f aca="false">E130+D131</f>
        <v>105.8025</v>
      </c>
      <c r="F131" s="28" t="n">
        <f aca="false">MAX(0,MAX($E$2:E131))</f>
        <v>120.4815</v>
      </c>
      <c r="G131" s="28" t="n">
        <f aca="false">E131-F131</f>
        <v>-14.679</v>
      </c>
      <c r="H131" s="25" t="n">
        <f aca="false">IF(G131&gt;=-0.0000001,A131,H130)</f>
        <v>45985</v>
      </c>
      <c r="I131" s="29" t="n">
        <f aca="false">IF(AND(G131&gt;=-0.0000001,G130&lt;0),1,0)</f>
        <v>0</v>
      </c>
      <c r="J131" s="30" t="str">
        <f aca="false">IF(I131=1,A131-H130,"")</f>
        <v/>
      </c>
      <c r="K131" s="27" t="n">
        <f aca="false">IF(B131="Wednesday",0,C131)</f>
        <v>2790</v>
      </c>
      <c r="L131" s="28" t="n">
        <f aca="false">L130+K131/$T$1*100</f>
        <v>121.782</v>
      </c>
      <c r="M131" s="28" t="n">
        <f aca="false">MAX(0,MAX($L$2:L131))</f>
        <v>134.52225</v>
      </c>
      <c r="N131" s="28" t="n">
        <f aca="false">L131-M131</f>
        <v>-12.74025</v>
      </c>
      <c r="O131" s="25" t="n">
        <f aca="false">IF(N131&gt;=-0.0000001,A131,O130)</f>
        <v>45985</v>
      </c>
      <c r="P131" s="29" t="n">
        <f aca="false">IF(AND(N131&gt;=-0.0000001,N130&lt;0),1,0)</f>
        <v>0</v>
      </c>
      <c r="Q131" s="30" t="str">
        <f aca="false">IF(P131=1,A131-O130,"")</f>
        <v/>
      </c>
    </row>
    <row r="132" customFormat="false" ht="15" hidden="false" customHeight="false" outlineLevel="0" collapsed="false">
      <c r="A132" s="25" t="n">
        <v>46006</v>
      </c>
      <c r="B132" s="26" t="s">
        <v>79</v>
      </c>
      <c r="C132" s="27" t="n">
        <v>-35133.75</v>
      </c>
      <c r="D132" s="28" t="n">
        <f aca="false">C132/$T$1*100</f>
        <v>-7.02675</v>
      </c>
      <c r="E132" s="28" t="n">
        <f aca="false">E131+D132</f>
        <v>98.77575</v>
      </c>
      <c r="F132" s="28" t="n">
        <f aca="false">MAX(0,MAX($E$2:E132))</f>
        <v>120.4815</v>
      </c>
      <c r="G132" s="28" t="n">
        <f aca="false">E132-F132</f>
        <v>-21.70575</v>
      </c>
      <c r="H132" s="25" t="n">
        <f aca="false">IF(G132&gt;=-0.0000001,A132,H131)</f>
        <v>45985</v>
      </c>
      <c r="I132" s="29" t="n">
        <f aca="false">IF(AND(G132&gt;=-0.0000001,G131&lt;0),1,0)</f>
        <v>0</v>
      </c>
      <c r="J132" s="30" t="str">
        <f aca="false">IF(I132=1,A132-H131,"")</f>
        <v/>
      </c>
      <c r="K132" s="27" t="n">
        <f aca="false">IF(B132="Wednesday",0,C132)</f>
        <v>-35133.75</v>
      </c>
      <c r="L132" s="28" t="n">
        <f aca="false">L131+K132/$T$1*100</f>
        <v>114.75525</v>
      </c>
      <c r="M132" s="28" t="n">
        <f aca="false">MAX(0,MAX($L$2:L132))</f>
        <v>134.52225</v>
      </c>
      <c r="N132" s="28" t="n">
        <f aca="false">L132-M132</f>
        <v>-19.767</v>
      </c>
      <c r="O132" s="25" t="n">
        <f aca="false">IF(N132&gt;=-0.0000001,A132,O131)</f>
        <v>45985</v>
      </c>
      <c r="P132" s="29" t="n">
        <f aca="false">IF(AND(N132&gt;=-0.0000001,N131&lt;0),1,0)</f>
        <v>0</v>
      </c>
      <c r="Q132" s="30" t="str">
        <f aca="false">IF(P132=1,A132-O131,"")</f>
        <v/>
      </c>
    </row>
    <row r="133" customFormat="false" ht="15" hidden="false" customHeight="false" outlineLevel="0" collapsed="false">
      <c r="A133" s="25" t="n">
        <v>46007</v>
      </c>
      <c r="B133" s="26" t="s">
        <v>80</v>
      </c>
      <c r="C133" s="27" t="n">
        <v>-31185</v>
      </c>
      <c r="D133" s="28" t="n">
        <f aca="false">C133/$T$1*100</f>
        <v>-6.237</v>
      </c>
      <c r="E133" s="28" t="n">
        <f aca="false">E132+D133</f>
        <v>92.53875</v>
      </c>
      <c r="F133" s="28" t="n">
        <f aca="false">MAX(0,MAX($E$2:E133))</f>
        <v>120.4815</v>
      </c>
      <c r="G133" s="28" t="n">
        <f aca="false">E133-F133</f>
        <v>-27.94275</v>
      </c>
      <c r="H133" s="25" t="n">
        <f aca="false">IF(G133&gt;=-0.0000001,A133,H132)</f>
        <v>45985</v>
      </c>
      <c r="I133" s="29" t="n">
        <f aca="false">IF(AND(G133&gt;=-0.0000001,G132&lt;0),1,0)</f>
        <v>0</v>
      </c>
      <c r="J133" s="30" t="str">
        <f aca="false">IF(I133=1,A133-H132,"")</f>
        <v/>
      </c>
      <c r="K133" s="27" t="n">
        <f aca="false">IF(B133="Wednesday",0,C133)</f>
        <v>-31185</v>
      </c>
      <c r="L133" s="28" t="n">
        <f aca="false">L132+K133/$T$1*100</f>
        <v>108.51825</v>
      </c>
      <c r="M133" s="28" t="n">
        <f aca="false">MAX(0,MAX($L$2:L133))</f>
        <v>134.52225</v>
      </c>
      <c r="N133" s="28" t="n">
        <f aca="false">L133-M133</f>
        <v>-26.004</v>
      </c>
      <c r="O133" s="25" t="n">
        <f aca="false">IF(N133&gt;=-0.0000001,A133,O132)</f>
        <v>45985</v>
      </c>
      <c r="P133" s="29" t="n">
        <f aca="false">IF(AND(N133&gt;=-0.0000001,N132&lt;0),1,0)</f>
        <v>0</v>
      </c>
      <c r="Q133" s="30" t="str">
        <f aca="false">IF(P133=1,A133-O132,"")</f>
        <v/>
      </c>
    </row>
    <row r="134" customFormat="false" ht="15" hidden="false" customHeight="false" outlineLevel="0" collapsed="false">
      <c r="A134" s="25" t="n">
        <v>46008</v>
      </c>
      <c r="B134" s="26" t="s">
        <v>81</v>
      </c>
      <c r="C134" s="27" t="n">
        <v>9213.75</v>
      </c>
      <c r="D134" s="28" t="n">
        <f aca="false">C134/$T$1*100</f>
        <v>1.84275</v>
      </c>
      <c r="E134" s="28" t="n">
        <f aca="false">E133+D134</f>
        <v>94.3815</v>
      </c>
      <c r="F134" s="28" t="n">
        <f aca="false">MAX(0,MAX($E$2:E134))</f>
        <v>120.4815</v>
      </c>
      <c r="G134" s="28" t="n">
        <f aca="false">E134-F134</f>
        <v>-26.1</v>
      </c>
      <c r="H134" s="25" t="n">
        <f aca="false">IF(G134&gt;=-0.0000001,A134,H133)</f>
        <v>45985</v>
      </c>
      <c r="I134" s="29" t="n">
        <f aca="false">IF(AND(G134&gt;=-0.0000001,G133&lt;0),1,0)</f>
        <v>0</v>
      </c>
      <c r="J134" s="30" t="str">
        <f aca="false">IF(I134=1,A134-H133,"")</f>
        <v/>
      </c>
      <c r="K134" s="27" t="n">
        <f aca="false">IF(B134="Wednesday",0,C134)</f>
        <v>0</v>
      </c>
      <c r="L134" s="28" t="n">
        <f aca="false">L133+K134/$T$1*100</f>
        <v>108.51825</v>
      </c>
      <c r="M134" s="28" t="n">
        <f aca="false">MAX(0,MAX($L$2:L134))</f>
        <v>134.52225</v>
      </c>
      <c r="N134" s="28" t="n">
        <f aca="false">L134-M134</f>
        <v>-26.004</v>
      </c>
      <c r="O134" s="25" t="n">
        <f aca="false">IF(N134&gt;=-0.0000001,A134,O133)</f>
        <v>45985</v>
      </c>
      <c r="P134" s="29" t="n">
        <f aca="false">IF(AND(N134&gt;=-0.0000001,N133&lt;0),1,0)</f>
        <v>0</v>
      </c>
      <c r="Q134" s="30" t="str">
        <f aca="false">IF(P134=1,A134-O133,"")</f>
        <v/>
      </c>
    </row>
    <row r="135" customFormat="false" ht="15" hidden="false" customHeight="false" outlineLevel="0" collapsed="false">
      <c r="A135" s="25" t="n">
        <v>46009</v>
      </c>
      <c r="B135" s="26" t="s">
        <v>82</v>
      </c>
      <c r="C135" s="27" t="n">
        <v>-135</v>
      </c>
      <c r="D135" s="28" t="n">
        <f aca="false">C135/$T$1*100</f>
        <v>-0.027</v>
      </c>
      <c r="E135" s="28" t="n">
        <f aca="false">E134+D135</f>
        <v>94.3545</v>
      </c>
      <c r="F135" s="28" t="n">
        <f aca="false">MAX(0,MAX($E$2:E135))</f>
        <v>120.4815</v>
      </c>
      <c r="G135" s="28" t="n">
        <f aca="false">E135-F135</f>
        <v>-26.127</v>
      </c>
      <c r="H135" s="25" t="n">
        <f aca="false">IF(G135&gt;=-0.0000001,A135,H134)</f>
        <v>45985</v>
      </c>
      <c r="I135" s="29" t="n">
        <f aca="false">IF(AND(G135&gt;=-0.0000001,G134&lt;0),1,0)</f>
        <v>0</v>
      </c>
      <c r="J135" s="30" t="str">
        <f aca="false">IF(I135=1,A135-H134,"")</f>
        <v/>
      </c>
      <c r="K135" s="27" t="n">
        <f aca="false">IF(B135="Wednesday",0,C135)</f>
        <v>-135</v>
      </c>
      <c r="L135" s="28" t="n">
        <f aca="false">L134+K135/$T$1*100</f>
        <v>108.49125</v>
      </c>
      <c r="M135" s="28" t="n">
        <f aca="false">MAX(0,MAX($L$2:L135))</f>
        <v>134.52225</v>
      </c>
      <c r="N135" s="28" t="n">
        <f aca="false">L135-M135</f>
        <v>-26.031</v>
      </c>
      <c r="O135" s="25" t="n">
        <f aca="false">IF(N135&gt;=-0.0000001,A135,O134)</f>
        <v>45985</v>
      </c>
      <c r="P135" s="29" t="n">
        <f aca="false">IF(AND(N135&gt;=-0.0000001,N134&lt;0),1,0)</f>
        <v>0</v>
      </c>
      <c r="Q135" s="30" t="str">
        <f aca="false">IF(P135=1,A135-O134,"")</f>
        <v/>
      </c>
    </row>
    <row r="136" customFormat="false" ht="15" hidden="false" customHeight="false" outlineLevel="0" collapsed="false">
      <c r="A136" s="25" t="n">
        <v>46010</v>
      </c>
      <c r="B136" s="26" t="s">
        <v>83</v>
      </c>
      <c r="C136" s="27" t="n">
        <v>-7350</v>
      </c>
      <c r="D136" s="28" t="n">
        <f aca="false">C136/$T$1*100</f>
        <v>-1.47</v>
      </c>
      <c r="E136" s="28" t="n">
        <f aca="false">E135+D136</f>
        <v>92.8845</v>
      </c>
      <c r="F136" s="28" t="n">
        <f aca="false">MAX(0,MAX($E$2:E136))</f>
        <v>120.4815</v>
      </c>
      <c r="G136" s="28" t="n">
        <f aca="false">E136-F136</f>
        <v>-27.597</v>
      </c>
      <c r="H136" s="25" t="n">
        <f aca="false">IF(G136&gt;=-0.0000001,A136,H135)</f>
        <v>45985</v>
      </c>
      <c r="I136" s="29" t="n">
        <f aca="false">IF(AND(G136&gt;=-0.0000001,G135&lt;0),1,0)</f>
        <v>0</v>
      </c>
      <c r="J136" s="30" t="str">
        <f aca="false">IF(I136=1,A136-H135,"")</f>
        <v/>
      </c>
      <c r="K136" s="27" t="n">
        <f aca="false">IF(B136="Wednesday",0,C136)</f>
        <v>-7350</v>
      </c>
      <c r="L136" s="28" t="n">
        <f aca="false">L135+K136/$T$1*100</f>
        <v>107.02125</v>
      </c>
      <c r="M136" s="28" t="n">
        <f aca="false">MAX(0,MAX($L$2:L136))</f>
        <v>134.52225</v>
      </c>
      <c r="N136" s="28" t="n">
        <f aca="false">L136-M136</f>
        <v>-27.501</v>
      </c>
      <c r="O136" s="25" t="n">
        <f aca="false">IF(N136&gt;=-0.0000001,A136,O135)</f>
        <v>45985</v>
      </c>
      <c r="P136" s="29" t="n">
        <f aca="false">IF(AND(N136&gt;=-0.0000001,N135&lt;0),1,0)</f>
        <v>0</v>
      </c>
      <c r="Q136" s="30" t="str">
        <f aca="false">IF(P136=1,A136-O135,"")</f>
        <v/>
      </c>
    </row>
    <row r="137" customFormat="false" ht="15" hidden="false" customHeight="false" outlineLevel="0" collapsed="false">
      <c r="A137" s="25" t="n">
        <v>46013</v>
      </c>
      <c r="B137" s="26" t="s">
        <v>79</v>
      </c>
      <c r="C137" s="27" t="n">
        <v>6697.5</v>
      </c>
      <c r="D137" s="28" t="n">
        <f aca="false">C137/$T$1*100</f>
        <v>1.3395</v>
      </c>
      <c r="E137" s="28" t="n">
        <f aca="false">E136+D137</f>
        <v>94.224</v>
      </c>
      <c r="F137" s="28" t="n">
        <f aca="false">MAX(0,MAX($E$2:E137))</f>
        <v>120.4815</v>
      </c>
      <c r="G137" s="28" t="n">
        <f aca="false">E137-F137</f>
        <v>-26.2575</v>
      </c>
      <c r="H137" s="25" t="n">
        <f aca="false">IF(G137&gt;=-0.0000001,A137,H136)</f>
        <v>45985</v>
      </c>
      <c r="I137" s="29" t="n">
        <f aca="false">IF(AND(G137&gt;=-0.0000001,G136&lt;0),1,0)</f>
        <v>0</v>
      </c>
      <c r="J137" s="30" t="str">
        <f aca="false">IF(I137=1,A137-H136,"")</f>
        <v/>
      </c>
      <c r="K137" s="27" t="n">
        <f aca="false">IF(B137="Wednesday",0,C137)</f>
        <v>6697.5</v>
      </c>
      <c r="L137" s="28" t="n">
        <f aca="false">L136+K137/$T$1*100</f>
        <v>108.36075</v>
      </c>
      <c r="M137" s="28" t="n">
        <f aca="false">MAX(0,MAX($L$2:L137))</f>
        <v>134.52225</v>
      </c>
      <c r="N137" s="28" t="n">
        <f aca="false">L137-M137</f>
        <v>-26.1615</v>
      </c>
      <c r="O137" s="25" t="n">
        <f aca="false">IF(N137&gt;=-0.0000001,A137,O136)</f>
        <v>45985</v>
      </c>
      <c r="P137" s="29" t="n">
        <f aca="false">IF(AND(N137&gt;=-0.0000001,N136&lt;0),1,0)</f>
        <v>0</v>
      </c>
      <c r="Q137" s="30" t="str">
        <f aca="false">IF(P137=1,A137-O136,"")</f>
        <v/>
      </c>
    </row>
    <row r="138" customFormat="false" ht="15" hidden="false" customHeight="false" outlineLevel="0" collapsed="false">
      <c r="A138" s="25" t="n">
        <v>46014</v>
      </c>
      <c r="B138" s="26" t="s">
        <v>80</v>
      </c>
      <c r="C138" s="27" t="n">
        <v>-825</v>
      </c>
      <c r="D138" s="28" t="n">
        <f aca="false">C138/$T$1*100</f>
        <v>-0.165</v>
      </c>
      <c r="E138" s="28" t="n">
        <f aca="false">E137+D138</f>
        <v>94.059</v>
      </c>
      <c r="F138" s="28" t="n">
        <f aca="false">MAX(0,MAX($E$2:E138))</f>
        <v>120.4815</v>
      </c>
      <c r="G138" s="28" t="n">
        <f aca="false">E138-F138</f>
        <v>-26.4225</v>
      </c>
      <c r="H138" s="25" t="n">
        <f aca="false">IF(G138&gt;=-0.0000001,A138,H137)</f>
        <v>45985</v>
      </c>
      <c r="I138" s="29" t="n">
        <f aca="false">IF(AND(G138&gt;=-0.0000001,G137&lt;0),1,0)</f>
        <v>0</v>
      </c>
      <c r="J138" s="30" t="str">
        <f aca="false">IF(I138=1,A138-H137,"")</f>
        <v/>
      </c>
      <c r="K138" s="27" t="n">
        <f aca="false">IF(B138="Wednesday",0,C138)</f>
        <v>-825</v>
      </c>
      <c r="L138" s="28" t="n">
        <f aca="false">L137+K138/$T$1*100</f>
        <v>108.19575</v>
      </c>
      <c r="M138" s="28" t="n">
        <f aca="false">MAX(0,MAX($L$2:L138))</f>
        <v>134.52225</v>
      </c>
      <c r="N138" s="28" t="n">
        <f aca="false">L138-M138</f>
        <v>-26.3265</v>
      </c>
      <c r="O138" s="25" t="n">
        <f aca="false">IF(N138&gt;=-0.0000001,A138,O137)</f>
        <v>45985</v>
      </c>
      <c r="P138" s="29" t="n">
        <f aca="false">IF(AND(N138&gt;=-0.0000001,N137&lt;0),1,0)</f>
        <v>0</v>
      </c>
      <c r="Q138" s="30" t="str">
        <f aca="false">IF(P138=1,A138-O137,"")</f>
        <v/>
      </c>
    </row>
    <row r="139" customFormat="false" ht="15" hidden="false" customHeight="false" outlineLevel="0" collapsed="false">
      <c r="A139" s="25" t="n">
        <v>46015</v>
      </c>
      <c r="B139" s="26" t="s">
        <v>81</v>
      </c>
      <c r="C139" s="27" t="n">
        <v>-22005</v>
      </c>
      <c r="D139" s="28" t="n">
        <f aca="false">C139/$T$1*100</f>
        <v>-4.401</v>
      </c>
      <c r="E139" s="28" t="n">
        <f aca="false">E138+D139</f>
        <v>89.658</v>
      </c>
      <c r="F139" s="28" t="n">
        <f aca="false">MAX(0,MAX($E$2:E139))</f>
        <v>120.4815</v>
      </c>
      <c r="G139" s="28" t="n">
        <f aca="false">E139-F139</f>
        <v>-30.8235</v>
      </c>
      <c r="H139" s="25" t="n">
        <f aca="false">IF(G139&gt;=-0.0000001,A139,H138)</f>
        <v>45985</v>
      </c>
      <c r="I139" s="29" t="n">
        <f aca="false">IF(AND(G139&gt;=-0.0000001,G138&lt;0),1,0)</f>
        <v>0</v>
      </c>
      <c r="J139" s="30" t="str">
        <f aca="false">IF(I139=1,A139-H138,"")</f>
        <v/>
      </c>
      <c r="K139" s="27" t="n">
        <f aca="false">IF(B139="Wednesday",0,C139)</f>
        <v>0</v>
      </c>
      <c r="L139" s="28" t="n">
        <f aca="false">L138+K139/$T$1*100</f>
        <v>108.19575</v>
      </c>
      <c r="M139" s="28" t="n">
        <f aca="false">MAX(0,MAX($L$2:L139))</f>
        <v>134.52225</v>
      </c>
      <c r="N139" s="28" t="n">
        <f aca="false">L139-M139</f>
        <v>-26.3265</v>
      </c>
      <c r="O139" s="25" t="n">
        <f aca="false">IF(N139&gt;=-0.0000001,A139,O138)</f>
        <v>45985</v>
      </c>
      <c r="P139" s="29" t="n">
        <f aca="false">IF(AND(N139&gt;=-0.0000001,N138&lt;0),1,0)</f>
        <v>0</v>
      </c>
      <c r="Q139" s="30" t="str">
        <f aca="false">IF(P139=1,A139-O138,"")</f>
        <v/>
      </c>
    </row>
    <row r="140" customFormat="false" ht="15" hidden="false" customHeight="false" outlineLevel="0" collapsed="false">
      <c r="A140" s="25" t="n">
        <v>46017</v>
      </c>
      <c r="B140" s="26" t="s">
        <v>83</v>
      </c>
      <c r="C140" s="27" t="n">
        <v>-14040</v>
      </c>
      <c r="D140" s="28" t="n">
        <f aca="false">C140/$T$1*100</f>
        <v>-2.808</v>
      </c>
      <c r="E140" s="28" t="n">
        <f aca="false">E139+D140</f>
        <v>86.85</v>
      </c>
      <c r="F140" s="28" t="n">
        <f aca="false">MAX(0,MAX($E$2:E140))</f>
        <v>120.4815</v>
      </c>
      <c r="G140" s="28" t="n">
        <f aca="false">E140-F140</f>
        <v>-33.6315</v>
      </c>
      <c r="H140" s="25" t="n">
        <f aca="false">IF(G140&gt;=-0.0000001,A140,H139)</f>
        <v>45985</v>
      </c>
      <c r="I140" s="29" t="n">
        <f aca="false">IF(AND(G140&gt;=-0.0000001,G139&lt;0),1,0)</f>
        <v>0</v>
      </c>
      <c r="J140" s="30" t="str">
        <f aca="false">IF(I140=1,A140-H139,"")</f>
        <v/>
      </c>
      <c r="K140" s="27" t="n">
        <f aca="false">IF(B140="Wednesday",0,C140)</f>
        <v>-14040</v>
      </c>
      <c r="L140" s="28" t="n">
        <f aca="false">L139+K140/$T$1*100</f>
        <v>105.38775</v>
      </c>
      <c r="M140" s="28" t="n">
        <f aca="false">MAX(0,MAX($L$2:L140))</f>
        <v>134.52225</v>
      </c>
      <c r="N140" s="28" t="n">
        <f aca="false">L140-M140</f>
        <v>-29.1345</v>
      </c>
      <c r="O140" s="25" t="n">
        <f aca="false">IF(N140&gt;=-0.0000001,A140,O139)</f>
        <v>45985</v>
      </c>
      <c r="P140" s="29" t="n">
        <f aca="false">IF(AND(N140&gt;=-0.0000001,N139&lt;0),1,0)</f>
        <v>0</v>
      </c>
      <c r="Q140" s="30" t="str">
        <f aca="false">IF(P140=1,A140-O139,"")</f>
        <v/>
      </c>
    </row>
    <row r="141" customFormat="false" ht="15" hidden="false" customHeight="false" outlineLevel="0" collapsed="false">
      <c r="A141" s="25" t="n">
        <v>46020</v>
      </c>
      <c r="B141" s="26" t="s">
        <v>79</v>
      </c>
      <c r="C141" s="27" t="n">
        <v>61151.25</v>
      </c>
      <c r="D141" s="28" t="n">
        <f aca="false">C141/$T$1*100</f>
        <v>12.23025</v>
      </c>
      <c r="E141" s="28" t="n">
        <f aca="false">E140+D141</f>
        <v>99.08025</v>
      </c>
      <c r="F141" s="28" t="n">
        <f aca="false">MAX(0,MAX($E$2:E141))</f>
        <v>120.4815</v>
      </c>
      <c r="G141" s="28" t="n">
        <f aca="false">E141-F141</f>
        <v>-21.40125</v>
      </c>
      <c r="H141" s="25" t="n">
        <f aca="false">IF(G141&gt;=-0.0000001,A141,H140)</f>
        <v>45985</v>
      </c>
      <c r="I141" s="29" t="n">
        <f aca="false">IF(AND(G141&gt;=-0.0000001,G140&lt;0),1,0)</f>
        <v>0</v>
      </c>
      <c r="J141" s="30" t="str">
        <f aca="false">IF(I141=1,A141-H140,"")</f>
        <v/>
      </c>
      <c r="K141" s="27" t="n">
        <f aca="false">IF(B141="Wednesday",0,C141)</f>
        <v>61151.25</v>
      </c>
      <c r="L141" s="28" t="n">
        <f aca="false">L140+K141/$T$1*100</f>
        <v>117.618</v>
      </c>
      <c r="M141" s="28" t="n">
        <f aca="false">MAX(0,MAX($L$2:L141))</f>
        <v>134.52225</v>
      </c>
      <c r="N141" s="28" t="n">
        <f aca="false">L141-M141</f>
        <v>-16.90425</v>
      </c>
      <c r="O141" s="25" t="n">
        <f aca="false">IF(N141&gt;=-0.0000001,A141,O140)</f>
        <v>45985</v>
      </c>
      <c r="P141" s="29" t="n">
        <f aca="false">IF(AND(N141&gt;=-0.0000001,N140&lt;0),1,0)</f>
        <v>0</v>
      </c>
      <c r="Q141" s="30" t="str">
        <f aca="false">IF(P141=1,A141-O140,"")</f>
        <v/>
      </c>
    </row>
    <row r="142" customFormat="false" ht="15" hidden="false" customHeight="false" outlineLevel="0" collapsed="false">
      <c r="A142" s="25" t="n">
        <v>46021</v>
      </c>
      <c r="B142" s="26" t="s">
        <v>80</v>
      </c>
      <c r="C142" s="27" t="n">
        <v>-1800</v>
      </c>
      <c r="D142" s="28" t="n">
        <f aca="false">C142/$T$1*100</f>
        <v>-0.36</v>
      </c>
      <c r="E142" s="28" t="n">
        <f aca="false">E141+D142</f>
        <v>98.72025</v>
      </c>
      <c r="F142" s="28" t="n">
        <f aca="false">MAX(0,MAX($E$2:E142))</f>
        <v>120.4815</v>
      </c>
      <c r="G142" s="28" t="n">
        <f aca="false">E142-F142</f>
        <v>-21.76125</v>
      </c>
      <c r="H142" s="25" t="n">
        <f aca="false">IF(G142&gt;=-0.0000001,A142,H141)</f>
        <v>45985</v>
      </c>
      <c r="I142" s="29" t="n">
        <f aca="false">IF(AND(G142&gt;=-0.0000001,G141&lt;0),1,0)</f>
        <v>0</v>
      </c>
      <c r="J142" s="30" t="str">
        <f aca="false">IF(I142=1,A142-H141,"")</f>
        <v/>
      </c>
      <c r="K142" s="27" t="n">
        <f aca="false">IF(B142="Wednesday",0,C142)</f>
        <v>-1800</v>
      </c>
      <c r="L142" s="28" t="n">
        <f aca="false">L141+K142/$T$1*100</f>
        <v>117.258</v>
      </c>
      <c r="M142" s="28" t="n">
        <f aca="false">MAX(0,MAX($L$2:L142))</f>
        <v>134.52225</v>
      </c>
      <c r="N142" s="28" t="n">
        <f aca="false">L142-M142</f>
        <v>-17.26425</v>
      </c>
      <c r="O142" s="25" t="n">
        <f aca="false">IF(N142&gt;=-0.0000001,A142,O141)</f>
        <v>45985</v>
      </c>
      <c r="P142" s="29" t="n">
        <f aca="false">IF(AND(N142&gt;=-0.0000001,N141&lt;0),1,0)</f>
        <v>0</v>
      </c>
      <c r="Q142" s="30" t="str">
        <f aca="false">IF(P142=1,A142-O141,"")</f>
        <v/>
      </c>
    </row>
    <row r="143" customFormat="false" ht="15" hidden="false" customHeight="false" outlineLevel="0" collapsed="false">
      <c r="A143" s="25" t="n">
        <v>46022</v>
      </c>
      <c r="B143" s="26" t="s">
        <v>81</v>
      </c>
      <c r="C143" s="27" t="n">
        <v>-30056</v>
      </c>
      <c r="D143" s="28" t="n">
        <f aca="false">C143/$T$1*100</f>
        <v>-6.0112</v>
      </c>
      <c r="E143" s="28" t="n">
        <f aca="false">E142+D143</f>
        <v>92.70905</v>
      </c>
      <c r="F143" s="28" t="n">
        <f aca="false">MAX(0,MAX($E$2:E143))</f>
        <v>120.4815</v>
      </c>
      <c r="G143" s="28" t="n">
        <f aca="false">E143-F143</f>
        <v>-27.77245</v>
      </c>
      <c r="H143" s="25" t="n">
        <f aca="false">IF(G143&gt;=-0.0000001,A143,H142)</f>
        <v>45985</v>
      </c>
      <c r="I143" s="29" t="n">
        <f aca="false">IF(AND(G143&gt;=-0.0000001,G142&lt;0),1,0)</f>
        <v>0</v>
      </c>
      <c r="J143" s="30" t="str">
        <f aca="false">IF(I143=1,A143-H142,"")</f>
        <v/>
      </c>
      <c r="K143" s="27" t="n">
        <f aca="false">IF(B143="Wednesday",0,C143)</f>
        <v>0</v>
      </c>
      <c r="L143" s="28" t="n">
        <f aca="false">L142+K143/$T$1*100</f>
        <v>117.258</v>
      </c>
      <c r="M143" s="28" t="n">
        <f aca="false">MAX(0,MAX($L$2:L143))</f>
        <v>134.52225</v>
      </c>
      <c r="N143" s="28" t="n">
        <f aca="false">L143-M143</f>
        <v>-17.26425</v>
      </c>
      <c r="O143" s="25" t="n">
        <f aca="false">IF(N143&gt;=-0.0000001,A143,O142)</f>
        <v>45985</v>
      </c>
      <c r="P143" s="29" t="n">
        <f aca="false">IF(AND(N143&gt;=-0.0000001,N142&lt;0),1,0)</f>
        <v>0</v>
      </c>
      <c r="Q143" s="30" t="str">
        <f aca="false">IF(P143=1,A143-O142,"")</f>
        <v/>
      </c>
    </row>
    <row r="144" customFormat="false" ht="15" hidden="false" customHeight="false" outlineLevel="0" collapsed="false">
      <c r="A144" s="25" t="n">
        <v>46023</v>
      </c>
      <c r="B144" s="26" t="s">
        <v>82</v>
      </c>
      <c r="C144" s="27" t="n">
        <v>-8482.5</v>
      </c>
      <c r="D144" s="28" t="n">
        <f aca="false">C144/$T$1*100</f>
        <v>-1.6965</v>
      </c>
      <c r="E144" s="28" t="n">
        <f aca="false">E143+D144</f>
        <v>91.01255</v>
      </c>
      <c r="F144" s="28" t="n">
        <f aca="false">MAX(0,MAX($E$2:E144))</f>
        <v>120.4815</v>
      </c>
      <c r="G144" s="28" t="n">
        <f aca="false">E144-F144</f>
        <v>-29.46895</v>
      </c>
      <c r="H144" s="25" t="n">
        <f aca="false">IF(G144&gt;=-0.0000001,A144,H143)</f>
        <v>45985</v>
      </c>
      <c r="I144" s="29" t="n">
        <f aca="false">IF(AND(G144&gt;=-0.0000001,G143&lt;0),1,0)</f>
        <v>0</v>
      </c>
      <c r="J144" s="30" t="str">
        <f aca="false">IF(I144=1,A144-H143,"")</f>
        <v/>
      </c>
      <c r="K144" s="27" t="n">
        <f aca="false">IF(B144="Wednesday",0,C144)</f>
        <v>-8482.5</v>
      </c>
      <c r="L144" s="28" t="n">
        <f aca="false">L143+K144/$T$1*100</f>
        <v>115.5615</v>
      </c>
      <c r="M144" s="28" t="n">
        <f aca="false">MAX(0,MAX($L$2:L144))</f>
        <v>134.52225</v>
      </c>
      <c r="N144" s="28" t="n">
        <f aca="false">L144-M144</f>
        <v>-18.96075</v>
      </c>
      <c r="O144" s="25" t="n">
        <f aca="false">IF(N144&gt;=-0.0000001,A144,O143)</f>
        <v>45985</v>
      </c>
      <c r="P144" s="29" t="n">
        <f aca="false">IF(AND(N144&gt;=-0.0000001,N143&lt;0),1,0)</f>
        <v>0</v>
      </c>
      <c r="Q144" s="30" t="str">
        <f aca="false">IF(P144=1,A144-O143,"")</f>
        <v/>
      </c>
    </row>
    <row r="145" customFormat="false" ht="15" hidden="false" customHeight="false" outlineLevel="0" collapsed="false">
      <c r="A145" s="25" t="n">
        <v>46024</v>
      </c>
      <c r="B145" s="26" t="s">
        <v>83</v>
      </c>
      <c r="C145" s="27" t="n">
        <v>487.5</v>
      </c>
      <c r="D145" s="28" t="n">
        <f aca="false">C145/$T$1*100</f>
        <v>0.0975</v>
      </c>
      <c r="E145" s="28" t="n">
        <f aca="false">E144+D145</f>
        <v>91.11005</v>
      </c>
      <c r="F145" s="28" t="n">
        <f aca="false">MAX(0,MAX($E$2:E145))</f>
        <v>120.4815</v>
      </c>
      <c r="G145" s="28" t="n">
        <f aca="false">E145-F145</f>
        <v>-29.37145</v>
      </c>
      <c r="H145" s="25" t="n">
        <f aca="false">IF(G145&gt;=-0.0000001,A145,H144)</f>
        <v>45985</v>
      </c>
      <c r="I145" s="29" t="n">
        <f aca="false">IF(AND(G145&gt;=-0.0000001,G144&lt;0),1,0)</f>
        <v>0</v>
      </c>
      <c r="J145" s="30" t="str">
        <f aca="false">IF(I145=1,A145-H144,"")</f>
        <v/>
      </c>
      <c r="K145" s="27" t="n">
        <f aca="false">IF(B145="Wednesday",0,C145)</f>
        <v>487.5</v>
      </c>
      <c r="L145" s="28" t="n">
        <f aca="false">L144+K145/$T$1*100</f>
        <v>115.659</v>
      </c>
      <c r="M145" s="28" t="n">
        <f aca="false">MAX(0,MAX($L$2:L145))</f>
        <v>134.52225</v>
      </c>
      <c r="N145" s="28" t="n">
        <f aca="false">L145-M145</f>
        <v>-18.86325</v>
      </c>
      <c r="O145" s="25" t="n">
        <f aca="false">IF(N145&gt;=-0.0000001,A145,O144)</f>
        <v>45985</v>
      </c>
      <c r="P145" s="29" t="n">
        <f aca="false">IF(AND(N145&gt;=-0.0000001,N144&lt;0),1,0)</f>
        <v>0</v>
      </c>
      <c r="Q145" s="30" t="str">
        <f aca="false">IF(P145=1,A145-O144,"")</f>
        <v/>
      </c>
    </row>
    <row r="146" customFormat="false" ht="15" hidden="false" customHeight="false" outlineLevel="0" collapsed="false">
      <c r="A146" s="25" t="n">
        <v>46027</v>
      </c>
      <c r="B146" s="26" t="s">
        <v>79</v>
      </c>
      <c r="C146" s="27" t="n">
        <v>-30043</v>
      </c>
      <c r="D146" s="28" t="n">
        <f aca="false">C146/$T$1*100</f>
        <v>-6.0086</v>
      </c>
      <c r="E146" s="28" t="n">
        <f aca="false">E145+D146</f>
        <v>85.10145</v>
      </c>
      <c r="F146" s="28" t="n">
        <f aca="false">MAX(0,MAX($E$2:E146))</f>
        <v>120.4815</v>
      </c>
      <c r="G146" s="28" t="n">
        <f aca="false">E146-F146</f>
        <v>-35.38005</v>
      </c>
      <c r="H146" s="25" t="n">
        <f aca="false">IF(G146&gt;=-0.0000001,A146,H145)</f>
        <v>45985</v>
      </c>
      <c r="I146" s="29" t="n">
        <f aca="false">IF(AND(G146&gt;=-0.0000001,G145&lt;0),1,0)</f>
        <v>0</v>
      </c>
      <c r="J146" s="30" t="str">
        <f aca="false">IF(I146=1,A146-H145,"")</f>
        <v/>
      </c>
      <c r="K146" s="27" t="n">
        <f aca="false">IF(B146="Wednesday",0,C146)</f>
        <v>-30043</v>
      </c>
      <c r="L146" s="28" t="n">
        <f aca="false">L145+K146/$T$1*100</f>
        <v>109.6504</v>
      </c>
      <c r="M146" s="28" t="n">
        <f aca="false">MAX(0,MAX($L$2:L146))</f>
        <v>134.52225</v>
      </c>
      <c r="N146" s="28" t="n">
        <f aca="false">L146-M146</f>
        <v>-24.87185</v>
      </c>
      <c r="O146" s="25" t="n">
        <f aca="false">IF(N146&gt;=-0.0000001,A146,O145)</f>
        <v>45985</v>
      </c>
      <c r="P146" s="29" t="n">
        <f aca="false">IF(AND(N146&gt;=-0.0000001,N145&lt;0),1,0)</f>
        <v>0</v>
      </c>
      <c r="Q146" s="30" t="str">
        <f aca="false">IF(P146=1,A146-O145,"")</f>
        <v/>
      </c>
    </row>
    <row r="147" customFormat="false" ht="15" hidden="false" customHeight="false" outlineLevel="0" collapsed="false">
      <c r="A147" s="25" t="n">
        <v>46029</v>
      </c>
      <c r="B147" s="26" t="s">
        <v>81</v>
      </c>
      <c r="C147" s="27" t="n">
        <v>-8547.5</v>
      </c>
      <c r="D147" s="28" t="n">
        <f aca="false">C147/$T$1*100</f>
        <v>-1.7095</v>
      </c>
      <c r="E147" s="28" t="n">
        <f aca="false">E146+D147</f>
        <v>83.39195</v>
      </c>
      <c r="F147" s="28" t="n">
        <f aca="false">MAX(0,MAX($E$2:E147))</f>
        <v>120.4815</v>
      </c>
      <c r="G147" s="28" t="n">
        <f aca="false">E147-F147</f>
        <v>-37.08955</v>
      </c>
      <c r="H147" s="25" t="n">
        <f aca="false">IF(G147&gt;=-0.0000001,A147,H146)</f>
        <v>45985</v>
      </c>
      <c r="I147" s="29" t="n">
        <f aca="false">IF(AND(G147&gt;=-0.0000001,G146&lt;0),1,0)</f>
        <v>0</v>
      </c>
      <c r="J147" s="30" t="str">
        <f aca="false">IF(I147=1,A147-H146,"")</f>
        <v/>
      </c>
      <c r="K147" s="27" t="n">
        <f aca="false">IF(B147="Wednesday",0,C147)</f>
        <v>0</v>
      </c>
      <c r="L147" s="28" t="n">
        <f aca="false">L146+K147/$T$1*100</f>
        <v>109.6504</v>
      </c>
      <c r="M147" s="28" t="n">
        <f aca="false">MAX(0,MAX($L$2:L147))</f>
        <v>134.52225</v>
      </c>
      <c r="N147" s="28" t="n">
        <f aca="false">L147-M147</f>
        <v>-24.87185</v>
      </c>
      <c r="O147" s="25" t="n">
        <f aca="false">IF(N147&gt;=-0.0000001,A147,O146)</f>
        <v>45985</v>
      </c>
      <c r="P147" s="29" t="n">
        <f aca="false">IF(AND(N147&gt;=-0.0000001,N146&lt;0),1,0)</f>
        <v>0</v>
      </c>
      <c r="Q147" s="30" t="str">
        <f aca="false">IF(P147=1,A147-O146,"")</f>
        <v/>
      </c>
    </row>
    <row r="148" customFormat="false" ht="15" hidden="false" customHeight="false" outlineLevel="0" collapsed="false">
      <c r="A148" s="25" t="n">
        <v>46030</v>
      </c>
      <c r="B148" s="26" t="s">
        <v>82</v>
      </c>
      <c r="C148" s="27" t="n">
        <v>77171.25</v>
      </c>
      <c r="D148" s="28" t="n">
        <f aca="false">C148/$T$1*100</f>
        <v>15.43425</v>
      </c>
      <c r="E148" s="28" t="n">
        <f aca="false">E147+D148</f>
        <v>98.8262</v>
      </c>
      <c r="F148" s="28" t="n">
        <f aca="false">MAX(0,MAX($E$2:E148))</f>
        <v>120.4815</v>
      </c>
      <c r="G148" s="28" t="n">
        <f aca="false">E148-F148</f>
        <v>-21.6553</v>
      </c>
      <c r="H148" s="25" t="n">
        <f aca="false">IF(G148&gt;=-0.0000001,A148,H147)</f>
        <v>45985</v>
      </c>
      <c r="I148" s="29" t="n">
        <f aca="false">IF(AND(G148&gt;=-0.0000001,G147&lt;0),1,0)</f>
        <v>0</v>
      </c>
      <c r="J148" s="30" t="str">
        <f aca="false">IF(I148=1,A148-H147,"")</f>
        <v/>
      </c>
      <c r="K148" s="27" t="n">
        <f aca="false">IF(B148="Wednesday",0,C148)</f>
        <v>77171.25</v>
      </c>
      <c r="L148" s="28" t="n">
        <f aca="false">L147+K148/$T$1*100</f>
        <v>125.08465</v>
      </c>
      <c r="M148" s="28" t="n">
        <f aca="false">MAX(0,MAX($L$2:L148))</f>
        <v>134.52225</v>
      </c>
      <c r="N148" s="28" t="n">
        <f aca="false">L148-M148</f>
        <v>-9.4376</v>
      </c>
      <c r="O148" s="25" t="n">
        <f aca="false">IF(N148&gt;=-0.0000001,A148,O147)</f>
        <v>45985</v>
      </c>
      <c r="P148" s="29" t="n">
        <f aca="false">IF(AND(N148&gt;=-0.0000001,N147&lt;0),1,0)</f>
        <v>0</v>
      </c>
      <c r="Q148" s="30" t="str">
        <f aca="false">IF(P148=1,A148-O147,"")</f>
        <v/>
      </c>
    </row>
    <row r="149" customFormat="false" ht="15" hidden="false" customHeight="false" outlineLevel="0" collapsed="false">
      <c r="A149" s="25" t="n">
        <v>46031</v>
      </c>
      <c r="B149" s="26" t="s">
        <v>83</v>
      </c>
      <c r="C149" s="27" t="n">
        <v>-23039.25</v>
      </c>
      <c r="D149" s="28" t="n">
        <f aca="false">C149/$T$1*100</f>
        <v>-4.60785</v>
      </c>
      <c r="E149" s="28" t="n">
        <f aca="false">E148+D149</f>
        <v>94.21835</v>
      </c>
      <c r="F149" s="28" t="n">
        <f aca="false">MAX(0,MAX($E$2:E149))</f>
        <v>120.4815</v>
      </c>
      <c r="G149" s="28" t="n">
        <f aca="false">E149-F149</f>
        <v>-26.26315</v>
      </c>
      <c r="H149" s="25" t="n">
        <f aca="false">IF(G149&gt;=-0.0000001,A149,H148)</f>
        <v>45985</v>
      </c>
      <c r="I149" s="29" t="n">
        <f aca="false">IF(AND(G149&gt;=-0.0000001,G148&lt;0),1,0)</f>
        <v>0</v>
      </c>
      <c r="J149" s="30" t="str">
        <f aca="false">IF(I149=1,A149-H148,"")</f>
        <v/>
      </c>
      <c r="K149" s="27" t="n">
        <f aca="false">IF(B149="Wednesday",0,C149)</f>
        <v>-23039.25</v>
      </c>
      <c r="L149" s="28" t="n">
        <f aca="false">L148+K149/$T$1*100</f>
        <v>120.4768</v>
      </c>
      <c r="M149" s="28" t="n">
        <f aca="false">MAX(0,MAX($L$2:L149))</f>
        <v>134.52225</v>
      </c>
      <c r="N149" s="28" t="n">
        <f aca="false">L149-M149</f>
        <v>-14.04545</v>
      </c>
      <c r="O149" s="25" t="n">
        <f aca="false">IF(N149&gt;=-0.0000001,A149,O148)</f>
        <v>45985</v>
      </c>
      <c r="P149" s="29" t="n">
        <f aca="false">IF(AND(N149&gt;=-0.0000001,N148&lt;0),1,0)</f>
        <v>0</v>
      </c>
      <c r="Q149" s="30" t="str">
        <f aca="false">IF(P149=1,A149-O148,"")</f>
        <v/>
      </c>
    </row>
    <row r="150" customFormat="false" ht="15" hidden="false" customHeight="false" outlineLevel="0" collapsed="false">
      <c r="A150" s="25" t="n">
        <v>46034</v>
      </c>
      <c r="B150" s="26" t="s">
        <v>79</v>
      </c>
      <c r="C150" s="27" t="n">
        <v>194707.5</v>
      </c>
      <c r="D150" s="28" t="n">
        <f aca="false">C150/$T$1*100</f>
        <v>38.9415</v>
      </c>
      <c r="E150" s="28" t="n">
        <f aca="false">E149+D150</f>
        <v>133.15985</v>
      </c>
      <c r="F150" s="28" t="n">
        <f aca="false">MAX(0,MAX($E$2:E150))</f>
        <v>133.15985</v>
      </c>
      <c r="G150" s="28" t="n">
        <f aca="false">E150-F150</f>
        <v>0</v>
      </c>
      <c r="H150" s="25" t="n">
        <f aca="false">IF(G150&gt;=-0.0000001,A150,H149)</f>
        <v>46034</v>
      </c>
      <c r="I150" s="29" t="n">
        <f aca="false">IF(AND(G150&gt;=-0.0000001,G149&lt;0),1,0)</f>
        <v>1</v>
      </c>
      <c r="J150" s="30" t="n">
        <f aca="false">IF(I150=1,A150-H149,"")</f>
        <v>49</v>
      </c>
      <c r="K150" s="27" t="n">
        <f aca="false">IF(B150="Wednesday",0,C150)</f>
        <v>194707.5</v>
      </c>
      <c r="L150" s="28" t="n">
        <f aca="false">L149+K150/$T$1*100</f>
        <v>159.4183</v>
      </c>
      <c r="M150" s="28" t="n">
        <f aca="false">MAX(0,MAX($L$2:L150))</f>
        <v>159.4183</v>
      </c>
      <c r="N150" s="28" t="n">
        <f aca="false">L150-M150</f>
        <v>0</v>
      </c>
      <c r="O150" s="25" t="n">
        <f aca="false">IF(N150&gt;=-0.0000001,A150,O149)</f>
        <v>46034</v>
      </c>
      <c r="P150" s="29" t="n">
        <f aca="false">IF(AND(N150&gt;=-0.0000001,N149&lt;0),1,0)</f>
        <v>1</v>
      </c>
      <c r="Q150" s="30" t="n">
        <f aca="false">IF(P150=1,A150-O149,"")</f>
        <v>49</v>
      </c>
    </row>
    <row r="151" customFormat="false" ht="15" hidden="false" customHeight="false" outlineLevel="0" collapsed="false">
      <c r="A151" s="25" t="n">
        <v>46035</v>
      </c>
      <c r="B151" s="26" t="s">
        <v>80</v>
      </c>
      <c r="C151" s="27" t="n">
        <v>-2496</v>
      </c>
      <c r="D151" s="28" t="n">
        <f aca="false">C151/$T$1*100</f>
        <v>-0.4992</v>
      </c>
      <c r="E151" s="28" t="n">
        <f aca="false">E150+D151</f>
        <v>132.66065</v>
      </c>
      <c r="F151" s="28" t="n">
        <f aca="false">MAX(0,MAX($E$2:E151))</f>
        <v>133.15985</v>
      </c>
      <c r="G151" s="28" t="n">
        <f aca="false">E151-F151</f>
        <v>-0.499200000000002</v>
      </c>
      <c r="H151" s="25" t="n">
        <f aca="false">IF(G151&gt;=-0.0000001,A151,H150)</f>
        <v>46034</v>
      </c>
      <c r="I151" s="29" t="n">
        <f aca="false">IF(AND(G151&gt;=-0.0000001,G150&lt;0),1,0)</f>
        <v>0</v>
      </c>
      <c r="J151" s="30" t="str">
        <f aca="false">IF(I151=1,A151-H150,"")</f>
        <v/>
      </c>
      <c r="K151" s="27" t="n">
        <f aca="false">IF(B151="Wednesday",0,C151)</f>
        <v>-2496</v>
      </c>
      <c r="L151" s="28" t="n">
        <f aca="false">L150+K151/$T$1*100</f>
        <v>158.9191</v>
      </c>
      <c r="M151" s="28" t="n">
        <f aca="false">MAX(0,MAX($L$2:L151))</f>
        <v>159.4183</v>
      </c>
      <c r="N151" s="28" t="n">
        <f aca="false">L151-M151</f>
        <v>-0.499200000000002</v>
      </c>
      <c r="O151" s="25" t="n">
        <f aca="false">IF(N151&gt;=-0.0000001,A151,O150)</f>
        <v>46034</v>
      </c>
      <c r="P151" s="29" t="n">
        <f aca="false">IF(AND(N151&gt;=-0.0000001,N150&lt;0),1,0)</f>
        <v>0</v>
      </c>
      <c r="Q151" s="30" t="str">
        <f aca="false">IF(P151=1,A151-O150,"")</f>
        <v/>
      </c>
    </row>
    <row r="152" customFormat="false" ht="15" hidden="false" customHeight="false" outlineLevel="0" collapsed="false">
      <c r="A152" s="25" t="n">
        <v>46036</v>
      </c>
      <c r="B152" s="26" t="s">
        <v>81</v>
      </c>
      <c r="C152" s="27" t="n">
        <v>-33774</v>
      </c>
      <c r="D152" s="28" t="n">
        <f aca="false">C152/$T$1*100</f>
        <v>-6.7548</v>
      </c>
      <c r="E152" s="28" t="n">
        <f aca="false">E151+D152</f>
        <v>125.90585</v>
      </c>
      <c r="F152" s="28" t="n">
        <f aca="false">MAX(0,MAX($E$2:E152))</f>
        <v>133.15985</v>
      </c>
      <c r="G152" s="28" t="n">
        <f aca="false">E152-F152</f>
        <v>-7.25400000000001</v>
      </c>
      <c r="H152" s="25" t="n">
        <f aca="false">IF(G152&gt;=-0.0000001,A152,H151)</f>
        <v>46034</v>
      </c>
      <c r="I152" s="29" t="n">
        <f aca="false">IF(AND(G152&gt;=-0.0000001,G151&lt;0),1,0)</f>
        <v>0</v>
      </c>
      <c r="J152" s="30" t="str">
        <f aca="false">IF(I152=1,A152-H151,"")</f>
        <v/>
      </c>
      <c r="K152" s="27" t="n">
        <f aca="false">IF(B152="Wednesday",0,C152)</f>
        <v>0</v>
      </c>
      <c r="L152" s="28" t="n">
        <f aca="false">L151+K152/$T$1*100</f>
        <v>158.9191</v>
      </c>
      <c r="M152" s="28" t="n">
        <f aca="false">MAX(0,MAX($L$2:L152))</f>
        <v>159.4183</v>
      </c>
      <c r="N152" s="28" t="n">
        <f aca="false">L152-M152</f>
        <v>-0.499200000000002</v>
      </c>
      <c r="O152" s="25" t="n">
        <f aca="false">IF(N152&gt;=-0.0000001,A152,O151)</f>
        <v>46034</v>
      </c>
      <c r="P152" s="29" t="n">
        <f aca="false">IF(AND(N152&gt;=-0.0000001,N151&lt;0),1,0)</f>
        <v>0</v>
      </c>
      <c r="Q152" s="30" t="str">
        <f aca="false">IF(P152=1,A152-O151,"")</f>
        <v/>
      </c>
    </row>
    <row r="153" customFormat="false" ht="15" hidden="false" customHeight="false" outlineLevel="0" collapsed="false">
      <c r="A153" s="25" t="n">
        <v>46038</v>
      </c>
      <c r="B153" s="26" t="s">
        <v>83</v>
      </c>
      <c r="C153" s="27" t="n">
        <v>-20247.5</v>
      </c>
      <c r="D153" s="28" t="n">
        <f aca="false">C153/$T$1*100</f>
        <v>-4.0495</v>
      </c>
      <c r="E153" s="28" t="n">
        <f aca="false">E152+D153</f>
        <v>121.85635</v>
      </c>
      <c r="F153" s="28" t="n">
        <f aca="false">MAX(0,MAX($E$2:E153))</f>
        <v>133.15985</v>
      </c>
      <c r="G153" s="28" t="n">
        <f aca="false">E153-F153</f>
        <v>-11.3035</v>
      </c>
      <c r="H153" s="25" t="n">
        <f aca="false">IF(G153&gt;=-0.0000001,A153,H152)</f>
        <v>46034</v>
      </c>
      <c r="I153" s="29" t="n">
        <f aca="false">IF(AND(G153&gt;=-0.0000001,G152&lt;0),1,0)</f>
        <v>0</v>
      </c>
      <c r="J153" s="30" t="str">
        <f aca="false">IF(I153=1,A153-H152,"")</f>
        <v/>
      </c>
      <c r="K153" s="27" t="n">
        <f aca="false">IF(B153="Wednesday",0,C153)</f>
        <v>-20247.5</v>
      </c>
      <c r="L153" s="28" t="n">
        <f aca="false">L152+K153/$T$1*100</f>
        <v>154.8696</v>
      </c>
      <c r="M153" s="28" t="n">
        <f aca="false">MAX(0,MAX($L$2:L153))</f>
        <v>159.4183</v>
      </c>
      <c r="N153" s="28" t="n">
        <f aca="false">L153-M153</f>
        <v>-4.5487</v>
      </c>
      <c r="O153" s="25" t="n">
        <f aca="false">IF(N153&gt;=-0.0000001,A153,O152)</f>
        <v>46034</v>
      </c>
      <c r="P153" s="29" t="n">
        <f aca="false">IF(AND(N153&gt;=-0.0000001,N152&lt;0),1,0)</f>
        <v>0</v>
      </c>
      <c r="Q153" s="30" t="str">
        <f aca="false">IF(P153=1,A153-O152,"")</f>
        <v/>
      </c>
    </row>
    <row r="154" customFormat="false" ht="15" hidden="false" customHeight="false" outlineLevel="0" collapsed="false">
      <c r="A154" s="25" t="n">
        <v>46041</v>
      </c>
      <c r="B154" s="26" t="s">
        <v>79</v>
      </c>
      <c r="C154" s="27" t="n">
        <v>-45188</v>
      </c>
      <c r="D154" s="28" t="n">
        <f aca="false">C154/$T$1*100</f>
        <v>-9.0376</v>
      </c>
      <c r="E154" s="28" t="n">
        <f aca="false">E153+D154</f>
        <v>112.81875</v>
      </c>
      <c r="F154" s="28" t="n">
        <f aca="false">MAX(0,MAX($E$2:E154))</f>
        <v>133.15985</v>
      </c>
      <c r="G154" s="28" t="n">
        <f aca="false">E154-F154</f>
        <v>-20.3411</v>
      </c>
      <c r="H154" s="25" t="n">
        <f aca="false">IF(G154&gt;=-0.0000001,A154,H153)</f>
        <v>46034</v>
      </c>
      <c r="I154" s="29" t="n">
        <f aca="false">IF(AND(G154&gt;=-0.0000001,G153&lt;0),1,0)</f>
        <v>0</v>
      </c>
      <c r="J154" s="30" t="str">
        <f aca="false">IF(I154=1,A154-H153,"")</f>
        <v/>
      </c>
      <c r="K154" s="27" t="n">
        <f aca="false">IF(B154="Wednesday",0,C154)</f>
        <v>-45188</v>
      </c>
      <c r="L154" s="28" t="n">
        <f aca="false">L153+K154/$T$1*100</f>
        <v>145.832</v>
      </c>
      <c r="M154" s="28" t="n">
        <f aca="false">MAX(0,MAX($L$2:L154))</f>
        <v>159.4183</v>
      </c>
      <c r="N154" s="28" t="n">
        <f aca="false">L154-M154</f>
        <v>-13.5863</v>
      </c>
      <c r="O154" s="25" t="n">
        <f aca="false">IF(N154&gt;=-0.0000001,A154,O153)</f>
        <v>46034</v>
      </c>
      <c r="P154" s="29" t="n">
        <f aca="false">IF(AND(N154&gt;=-0.0000001,N153&lt;0),1,0)</f>
        <v>0</v>
      </c>
      <c r="Q154" s="30" t="str">
        <f aca="false">IF(P154=1,A154-O153,"")</f>
        <v/>
      </c>
    </row>
    <row r="155" customFormat="false" ht="15" hidden="false" customHeight="false" outlineLevel="0" collapsed="false">
      <c r="A155" s="25" t="n">
        <v>46042</v>
      </c>
      <c r="B155" s="26" t="s">
        <v>80</v>
      </c>
      <c r="C155" s="27" t="n">
        <v>357.5</v>
      </c>
      <c r="D155" s="28" t="n">
        <f aca="false">C155/$T$1*100</f>
        <v>0.0715</v>
      </c>
      <c r="E155" s="28" t="n">
        <f aca="false">E154+D155</f>
        <v>112.89025</v>
      </c>
      <c r="F155" s="28" t="n">
        <f aca="false">MAX(0,MAX($E$2:E155))</f>
        <v>133.15985</v>
      </c>
      <c r="G155" s="28" t="n">
        <f aca="false">E155-F155</f>
        <v>-20.2696</v>
      </c>
      <c r="H155" s="25" t="n">
        <f aca="false">IF(G155&gt;=-0.0000001,A155,H154)</f>
        <v>46034</v>
      </c>
      <c r="I155" s="29" t="n">
        <f aca="false">IF(AND(G155&gt;=-0.0000001,G154&lt;0),1,0)</f>
        <v>0</v>
      </c>
      <c r="J155" s="30" t="str">
        <f aca="false">IF(I155=1,A155-H154,"")</f>
        <v/>
      </c>
      <c r="K155" s="27" t="n">
        <f aca="false">IF(B155="Wednesday",0,C155)</f>
        <v>357.5</v>
      </c>
      <c r="L155" s="28" t="n">
        <f aca="false">L154+K155/$T$1*100</f>
        <v>145.9035</v>
      </c>
      <c r="M155" s="28" t="n">
        <f aca="false">MAX(0,MAX($L$2:L155))</f>
        <v>159.4183</v>
      </c>
      <c r="N155" s="28" t="n">
        <f aca="false">L155-M155</f>
        <v>-13.5148</v>
      </c>
      <c r="O155" s="25" t="n">
        <f aca="false">IF(N155&gt;=-0.0000001,A155,O154)</f>
        <v>46034</v>
      </c>
      <c r="P155" s="29" t="n">
        <f aca="false">IF(AND(N155&gt;=-0.0000001,N154&lt;0),1,0)</f>
        <v>0</v>
      </c>
      <c r="Q155" s="30" t="str">
        <f aca="false">IF(P155=1,A155-O154,"")</f>
        <v/>
      </c>
    </row>
    <row r="156" customFormat="false" ht="15" hidden="false" customHeight="false" outlineLevel="0" collapsed="false">
      <c r="A156" s="25" t="n">
        <v>46043</v>
      </c>
      <c r="B156" s="26" t="s">
        <v>81</v>
      </c>
      <c r="C156" s="27" t="n">
        <v>-30722.25</v>
      </c>
      <c r="D156" s="28" t="n">
        <f aca="false">C156/$T$1*100</f>
        <v>-6.14445</v>
      </c>
      <c r="E156" s="28" t="n">
        <f aca="false">E155+D156</f>
        <v>106.7458</v>
      </c>
      <c r="F156" s="28" t="n">
        <f aca="false">MAX(0,MAX($E$2:E156))</f>
        <v>133.15985</v>
      </c>
      <c r="G156" s="28" t="n">
        <f aca="false">E156-F156</f>
        <v>-26.41405</v>
      </c>
      <c r="H156" s="25" t="n">
        <f aca="false">IF(G156&gt;=-0.0000001,A156,H155)</f>
        <v>46034</v>
      </c>
      <c r="I156" s="29" t="n">
        <f aca="false">IF(AND(G156&gt;=-0.0000001,G155&lt;0),1,0)</f>
        <v>0</v>
      </c>
      <c r="J156" s="30" t="str">
        <f aca="false">IF(I156=1,A156-H155,"")</f>
        <v/>
      </c>
      <c r="K156" s="27" t="n">
        <f aca="false">IF(B156="Wednesday",0,C156)</f>
        <v>0</v>
      </c>
      <c r="L156" s="28" t="n">
        <f aca="false">L155+K156/$T$1*100</f>
        <v>145.9035</v>
      </c>
      <c r="M156" s="28" t="n">
        <f aca="false">MAX(0,MAX($L$2:L156))</f>
        <v>159.4183</v>
      </c>
      <c r="N156" s="28" t="n">
        <f aca="false">L156-M156</f>
        <v>-13.5148</v>
      </c>
      <c r="O156" s="25" t="n">
        <f aca="false">IF(N156&gt;=-0.0000001,A156,O155)</f>
        <v>46034</v>
      </c>
      <c r="P156" s="29" t="n">
        <f aca="false">IF(AND(N156&gt;=-0.0000001,N155&lt;0),1,0)</f>
        <v>0</v>
      </c>
      <c r="Q156" s="30" t="str">
        <f aca="false">IF(P156=1,A156-O155,"")</f>
        <v/>
      </c>
    </row>
    <row r="157" customFormat="false" ht="15" hidden="false" customHeight="false" outlineLevel="0" collapsed="false">
      <c r="A157" s="25" t="n">
        <v>46044</v>
      </c>
      <c r="B157" s="26" t="s">
        <v>82</v>
      </c>
      <c r="C157" s="27" t="n">
        <v>-58.5</v>
      </c>
      <c r="D157" s="28" t="n">
        <f aca="false">C157/$T$1*100</f>
        <v>-0.0117</v>
      </c>
      <c r="E157" s="28" t="n">
        <f aca="false">E156+D157</f>
        <v>106.7341</v>
      </c>
      <c r="F157" s="28" t="n">
        <f aca="false">MAX(0,MAX($E$2:E157))</f>
        <v>133.15985</v>
      </c>
      <c r="G157" s="28" t="n">
        <f aca="false">E157-F157</f>
        <v>-26.42575</v>
      </c>
      <c r="H157" s="25" t="n">
        <f aca="false">IF(G157&gt;=-0.0000001,A157,H156)</f>
        <v>46034</v>
      </c>
      <c r="I157" s="29" t="n">
        <f aca="false">IF(AND(G157&gt;=-0.0000001,G156&lt;0),1,0)</f>
        <v>0</v>
      </c>
      <c r="J157" s="30" t="str">
        <f aca="false">IF(I157=1,A157-H156,"")</f>
        <v/>
      </c>
      <c r="K157" s="27" t="n">
        <f aca="false">IF(B157="Wednesday",0,C157)</f>
        <v>-58.5</v>
      </c>
      <c r="L157" s="28" t="n">
        <f aca="false">L156+K157/$T$1*100</f>
        <v>145.8918</v>
      </c>
      <c r="M157" s="28" t="n">
        <f aca="false">MAX(0,MAX($L$2:L157))</f>
        <v>159.4183</v>
      </c>
      <c r="N157" s="28" t="n">
        <f aca="false">L157-M157</f>
        <v>-13.5265</v>
      </c>
      <c r="O157" s="25" t="n">
        <f aca="false">IF(N157&gt;=-0.0000001,A157,O156)</f>
        <v>46034</v>
      </c>
      <c r="P157" s="29" t="n">
        <f aca="false">IF(AND(N157&gt;=-0.0000001,N156&lt;0),1,0)</f>
        <v>0</v>
      </c>
      <c r="Q157" s="30" t="str">
        <f aca="false">IF(P157=1,A157-O156,"")</f>
        <v/>
      </c>
    </row>
    <row r="158" customFormat="false" ht="15" hidden="false" customHeight="false" outlineLevel="0" collapsed="false">
      <c r="A158" s="25" t="n">
        <v>46045</v>
      </c>
      <c r="B158" s="26" t="s">
        <v>83</v>
      </c>
      <c r="C158" s="27" t="n">
        <v>13581.75</v>
      </c>
      <c r="D158" s="28" t="n">
        <f aca="false">C158/$T$1*100</f>
        <v>2.71635</v>
      </c>
      <c r="E158" s="28" t="n">
        <f aca="false">E157+D158</f>
        <v>109.45045</v>
      </c>
      <c r="F158" s="28" t="n">
        <f aca="false">MAX(0,MAX($E$2:E158))</f>
        <v>133.15985</v>
      </c>
      <c r="G158" s="28" t="n">
        <f aca="false">E158-F158</f>
        <v>-23.7094</v>
      </c>
      <c r="H158" s="25" t="n">
        <f aca="false">IF(G158&gt;=-0.0000001,A158,H157)</f>
        <v>46034</v>
      </c>
      <c r="I158" s="29" t="n">
        <f aca="false">IF(AND(G158&gt;=-0.0000001,G157&lt;0),1,0)</f>
        <v>0</v>
      </c>
      <c r="J158" s="30" t="str">
        <f aca="false">IF(I158=1,A158-H157,"")</f>
        <v/>
      </c>
      <c r="K158" s="27" t="n">
        <f aca="false">IF(B158="Wednesday",0,C158)</f>
        <v>13581.75</v>
      </c>
      <c r="L158" s="28" t="n">
        <f aca="false">L157+K158/$T$1*100</f>
        <v>148.60815</v>
      </c>
      <c r="M158" s="28" t="n">
        <f aca="false">MAX(0,MAX($L$2:L158))</f>
        <v>159.4183</v>
      </c>
      <c r="N158" s="28" t="n">
        <f aca="false">L158-M158</f>
        <v>-10.81015</v>
      </c>
      <c r="O158" s="25" t="n">
        <f aca="false">IF(N158&gt;=-0.0000001,A158,O157)</f>
        <v>46034</v>
      </c>
      <c r="P158" s="29" t="n">
        <f aca="false">IF(AND(N158&gt;=-0.0000001,N157&lt;0),1,0)</f>
        <v>0</v>
      </c>
      <c r="Q158" s="30" t="str">
        <f aca="false">IF(P158=1,A158-O157,"")</f>
        <v/>
      </c>
    </row>
    <row r="159" customFormat="false" ht="15" hidden="false" customHeight="false" outlineLevel="0" collapsed="false">
      <c r="A159" s="25" t="n">
        <v>46050</v>
      </c>
      <c r="B159" s="26" t="s">
        <v>81</v>
      </c>
      <c r="C159" s="27" t="n">
        <v>-17143.75</v>
      </c>
      <c r="D159" s="28" t="n">
        <f aca="false">C159/$T$1*100</f>
        <v>-3.42875</v>
      </c>
      <c r="E159" s="28" t="n">
        <f aca="false">E158+D159</f>
        <v>106.0217</v>
      </c>
      <c r="F159" s="28" t="n">
        <f aca="false">MAX(0,MAX($E$2:E159))</f>
        <v>133.15985</v>
      </c>
      <c r="G159" s="28" t="n">
        <f aca="false">E159-F159</f>
        <v>-27.13815</v>
      </c>
      <c r="H159" s="25" t="n">
        <f aca="false">IF(G159&gt;=-0.0000001,A159,H158)</f>
        <v>46034</v>
      </c>
      <c r="I159" s="29" t="n">
        <f aca="false">IF(AND(G159&gt;=-0.0000001,G158&lt;0),1,0)</f>
        <v>0</v>
      </c>
      <c r="J159" s="30" t="str">
        <f aca="false">IF(I159=1,A159-H158,"")</f>
        <v/>
      </c>
      <c r="K159" s="27" t="n">
        <f aca="false">IF(B159="Wednesday",0,C159)</f>
        <v>0</v>
      </c>
      <c r="L159" s="28" t="n">
        <f aca="false">L158+K159/$T$1*100</f>
        <v>148.60815</v>
      </c>
      <c r="M159" s="28" t="n">
        <f aca="false">MAX(0,MAX($L$2:L159))</f>
        <v>159.4183</v>
      </c>
      <c r="N159" s="28" t="n">
        <f aca="false">L159-M159</f>
        <v>-10.81015</v>
      </c>
      <c r="O159" s="25" t="n">
        <f aca="false">IF(N159&gt;=-0.0000001,A159,O158)</f>
        <v>46034</v>
      </c>
      <c r="P159" s="29" t="n">
        <f aca="false">IF(AND(N159&gt;=-0.0000001,N158&lt;0),1,0)</f>
        <v>0</v>
      </c>
      <c r="Q159" s="30" t="str">
        <f aca="false">IF(P159=1,A159-O158,"")</f>
        <v/>
      </c>
    </row>
    <row r="160" customFormat="false" ht="15" hidden="false" customHeight="false" outlineLevel="0" collapsed="false">
      <c r="A160" s="25" t="n">
        <v>46051</v>
      </c>
      <c r="B160" s="26" t="s">
        <v>82</v>
      </c>
      <c r="C160" s="27" t="n">
        <v>-42019.25</v>
      </c>
      <c r="D160" s="28" t="n">
        <f aca="false">C160/$T$1*100</f>
        <v>-8.40385</v>
      </c>
      <c r="E160" s="28" t="n">
        <f aca="false">E159+D160</f>
        <v>97.61785</v>
      </c>
      <c r="F160" s="28" t="n">
        <f aca="false">MAX(0,MAX($E$2:E160))</f>
        <v>133.15985</v>
      </c>
      <c r="G160" s="28" t="n">
        <f aca="false">E160-F160</f>
        <v>-35.542</v>
      </c>
      <c r="H160" s="25" t="n">
        <f aca="false">IF(G160&gt;=-0.0000001,A160,H159)</f>
        <v>46034</v>
      </c>
      <c r="I160" s="29" t="n">
        <f aca="false">IF(AND(G160&gt;=-0.0000001,G159&lt;0),1,0)</f>
        <v>0</v>
      </c>
      <c r="J160" s="30" t="str">
        <f aca="false">IF(I160=1,A160-H159,"")</f>
        <v/>
      </c>
      <c r="K160" s="27" t="n">
        <f aca="false">IF(B160="Wednesday",0,C160)</f>
        <v>-42019.25</v>
      </c>
      <c r="L160" s="28" t="n">
        <f aca="false">L159+K160/$T$1*100</f>
        <v>140.2043</v>
      </c>
      <c r="M160" s="28" t="n">
        <f aca="false">MAX(0,MAX($L$2:L160))</f>
        <v>159.4183</v>
      </c>
      <c r="N160" s="28" t="n">
        <f aca="false">L160-M160</f>
        <v>-19.214</v>
      </c>
      <c r="O160" s="25" t="n">
        <f aca="false">IF(N160&gt;=-0.0000001,A160,O159)</f>
        <v>46034</v>
      </c>
      <c r="P160" s="29" t="n">
        <f aca="false">IF(AND(N160&gt;=-0.0000001,N159&lt;0),1,0)</f>
        <v>0</v>
      </c>
      <c r="Q160" s="30" t="str">
        <f aca="false">IF(P160=1,A160-O159,"")</f>
        <v/>
      </c>
    </row>
    <row r="161" customFormat="false" ht="15" hidden="false" customHeight="false" outlineLevel="0" collapsed="false">
      <c r="A161" s="25" t="n">
        <v>46052</v>
      </c>
      <c r="B161" s="26" t="s">
        <v>83</v>
      </c>
      <c r="C161" s="27" t="n">
        <v>-1189.5</v>
      </c>
      <c r="D161" s="28" t="n">
        <f aca="false">C161/$T$1*100</f>
        <v>-0.2379</v>
      </c>
      <c r="E161" s="28" t="n">
        <f aca="false">E160+D161</f>
        <v>97.37995</v>
      </c>
      <c r="F161" s="28" t="n">
        <f aca="false">MAX(0,MAX($E$2:E161))</f>
        <v>133.15985</v>
      </c>
      <c r="G161" s="28" t="n">
        <f aca="false">E161-F161</f>
        <v>-35.7799</v>
      </c>
      <c r="H161" s="25" t="n">
        <f aca="false">IF(G161&gt;=-0.0000001,A161,H160)</f>
        <v>46034</v>
      </c>
      <c r="I161" s="29" t="n">
        <f aca="false">IF(AND(G161&gt;=-0.0000001,G160&lt;0),1,0)</f>
        <v>0</v>
      </c>
      <c r="J161" s="30" t="str">
        <f aca="false">IF(I161=1,A161-H160,"")</f>
        <v/>
      </c>
      <c r="K161" s="27" t="n">
        <f aca="false">IF(B161="Wednesday",0,C161)</f>
        <v>-1189.5</v>
      </c>
      <c r="L161" s="28" t="n">
        <f aca="false">L160+K161/$T$1*100</f>
        <v>139.9664</v>
      </c>
      <c r="M161" s="28" t="n">
        <f aca="false">MAX(0,MAX($L$2:L161))</f>
        <v>159.4183</v>
      </c>
      <c r="N161" s="28" t="n">
        <f aca="false">L161-M161</f>
        <v>-19.4519</v>
      </c>
      <c r="O161" s="25" t="n">
        <f aca="false">IF(N161&gt;=-0.0000001,A161,O160)</f>
        <v>46034</v>
      </c>
      <c r="P161" s="29" t="n">
        <f aca="false">IF(AND(N161&gt;=-0.0000001,N160&lt;0),1,0)</f>
        <v>0</v>
      </c>
      <c r="Q161" s="30" t="str">
        <f aca="false">IF(P161=1,A161-O160,"")</f>
        <v/>
      </c>
    </row>
    <row r="162" customFormat="false" ht="15" hidden="false" customHeight="false" outlineLevel="0" collapsed="false">
      <c r="A162" s="25" t="n">
        <v>46055</v>
      </c>
      <c r="B162" s="26" t="s">
        <v>79</v>
      </c>
      <c r="C162" s="27" t="n">
        <v>112021</v>
      </c>
      <c r="D162" s="28" t="n">
        <f aca="false">C162/$T$1*100</f>
        <v>22.4042</v>
      </c>
      <c r="E162" s="28" t="n">
        <f aca="false">E161+D162</f>
        <v>119.78415</v>
      </c>
      <c r="F162" s="28" t="n">
        <f aca="false">MAX(0,MAX($E$2:E162))</f>
        <v>133.15985</v>
      </c>
      <c r="G162" s="28" t="n">
        <f aca="false">E162-F162</f>
        <v>-13.3757</v>
      </c>
      <c r="H162" s="25" t="n">
        <f aca="false">IF(G162&gt;=-0.0000001,A162,H161)</f>
        <v>46034</v>
      </c>
      <c r="I162" s="29" t="n">
        <f aca="false">IF(AND(G162&gt;=-0.0000001,G161&lt;0),1,0)</f>
        <v>0</v>
      </c>
      <c r="J162" s="30" t="str">
        <f aca="false">IF(I162=1,A162-H161,"")</f>
        <v/>
      </c>
      <c r="K162" s="27" t="n">
        <f aca="false">IF(B162="Wednesday",0,C162)</f>
        <v>112021</v>
      </c>
      <c r="L162" s="28" t="n">
        <f aca="false">L161+K162/$T$1*100</f>
        <v>162.3706</v>
      </c>
      <c r="M162" s="28" t="n">
        <f aca="false">MAX(0,MAX($L$2:L162))</f>
        <v>162.3706</v>
      </c>
      <c r="N162" s="28" t="n">
        <f aca="false">L162-M162</f>
        <v>0</v>
      </c>
      <c r="O162" s="25" t="n">
        <f aca="false">IF(N162&gt;=-0.0000001,A162,O161)</f>
        <v>46055</v>
      </c>
      <c r="P162" s="29" t="n">
        <f aca="false">IF(AND(N162&gt;=-0.0000001,N161&lt;0),1,0)</f>
        <v>1</v>
      </c>
      <c r="Q162" s="30" t="n">
        <f aca="false">IF(P162=1,A162-O161,"")</f>
        <v>21</v>
      </c>
    </row>
    <row r="163" customFormat="false" ht="15" hidden="false" customHeight="false" outlineLevel="0" collapsed="false">
      <c r="A163" s="25" t="n">
        <v>46056</v>
      </c>
      <c r="B163" s="26" t="s">
        <v>80</v>
      </c>
      <c r="C163" s="27" t="n">
        <v>-828.75</v>
      </c>
      <c r="D163" s="28" t="n">
        <f aca="false">C163/$T$1*100</f>
        <v>-0.16575</v>
      </c>
      <c r="E163" s="28" t="n">
        <f aca="false">E162+D163</f>
        <v>119.6184</v>
      </c>
      <c r="F163" s="28" t="n">
        <f aca="false">MAX(0,MAX($E$2:E163))</f>
        <v>133.15985</v>
      </c>
      <c r="G163" s="28" t="n">
        <f aca="false">E163-F163</f>
        <v>-13.54145</v>
      </c>
      <c r="H163" s="25" t="n">
        <f aca="false">IF(G163&gt;=-0.0000001,A163,H162)</f>
        <v>46034</v>
      </c>
      <c r="I163" s="29" t="n">
        <f aca="false">IF(AND(G163&gt;=-0.0000001,G162&lt;0),1,0)</f>
        <v>0</v>
      </c>
      <c r="J163" s="30" t="str">
        <f aca="false">IF(I163=1,A163-H162,"")</f>
        <v/>
      </c>
      <c r="K163" s="27" t="n">
        <f aca="false">IF(B163="Wednesday",0,C163)</f>
        <v>-828.75</v>
      </c>
      <c r="L163" s="28" t="n">
        <f aca="false">L162+K163/$T$1*100</f>
        <v>162.20485</v>
      </c>
      <c r="M163" s="28" t="n">
        <f aca="false">MAX(0,MAX($L$2:L163))</f>
        <v>162.3706</v>
      </c>
      <c r="N163" s="28" t="n">
        <f aca="false">L163-M163</f>
        <v>-0.165750000000003</v>
      </c>
      <c r="O163" s="25" t="n">
        <f aca="false">IF(N163&gt;=-0.0000001,A163,O162)</f>
        <v>46055</v>
      </c>
      <c r="P163" s="29" t="n">
        <f aca="false">IF(AND(N163&gt;=-0.0000001,N162&lt;0),1,0)</f>
        <v>0</v>
      </c>
      <c r="Q163" s="30" t="str">
        <f aca="false">IF(P163=1,A163-O162,"")</f>
        <v/>
      </c>
    </row>
    <row r="164" customFormat="false" ht="15" hidden="false" customHeight="false" outlineLevel="0" collapsed="false">
      <c r="A164" s="25" t="n">
        <v>46057</v>
      </c>
      <c r="B164" s="26" t="s">
        <v>81</v>
      </c>
      <c r="C164" s="27" t="n">
        <v>-17316</v>
      </c>
      <c r="D164" s="28" t="n">
        <f aca="false">C164/$T$1*100</f>
        <v>-3.4632</v>
      </c>
      <c r="E164" s="28" t="n">
        <f aca="false">E163+D164</f>
        <v>116.1552</v>
      </c>
      <c r="F164" s="28" t="n">
        <f aca="false">MAX(0,MAX($E$2:E164))</f>
        <v>133.15985</v>
      </c>
      <c r="G164" s="28" t="n">
        <f aca="false">E164-F164</f>
        <v>-17.00465</v>
      </c>
      <c r="H164" s="25" t="n">
        <f aca="false">IF(G164&gt;=-0.0000001,A164,H163)</f>
        <v>46034</v>
      </c>
      <c r="I164" s="29" t="n">
        <f aca="false">IF(AND(G164&gt;=-0.0000001,G163&lt;0),1,0)</f>
        <v>0</v>
      </c>
      <c r="J164" s="30" t="str">
        <f aca="false">IF(I164=1,A164-H163,"")</f>
        <v/>
      </c>
      <c r="K164" s="27" t="n">
        <f aca="false">IF(B164="Wednesday",0,C164)</f>
        <v>0</v>
      </c>
      <c r="L164" s="28" t="n">
        <f aca="false">L163+K164/$T$1*100</f>
        <v>162.20485</v>
      </c>
      <c r="M164" s="28" t="n">
        <f aca="false">MAX(0,MAX($L$2:L164))</f>
        <v>162.3706</v>
      </c>
      <c r="N164" s="28" t="n">
        <f aca="false">L164-M164</f>
        <v>-0.165750000000003</v>
      </c>
      <c r="O164" s="25" t="n">
        <f aca="false">IF(N164&gt;=-0.0000001,A164,O163)</f>
        <v>46055</v>
      </c>
      <c r="P164" s="29" t="n">
        <f aca="false">IF(AND(N164&gt;=-0.0000001,N163&lt;0),1,0)</f>
        <v>0</v>
      </c>
      <c r="Q164" s="30" t="str">
        <f aca="false">IF(P164=1,A164-O163,"")</f>
        <v/>
      </c>
    </row>
    <row r="165" customFormat="false" ht="15" hidden="false" customHeight="false" outlineLevel="0" collapsed="false">
      <c r="A165" s="25" t="n">
        <v>46058</v>
      </c>
      <c r="B165" s="26" t="s">
        <v>82</v>
      </c>
      <c r="C165" s="27" t="n">
        <v>-4663.75</v>
      </c>
      <c r="D165" s="28" t="n">
        <f aca="false">C165/$T$1*100</f>
        <v>-0.93275</v>
      </c>
      <c r="E165" s="28" t="n">
        <f aca="false">E164+D165</f>
        <v>115.22245</v>
      </c>
      <c r="F165" s="28" t="n">
        <f aca="false">MAX(0,MAX($E$2:E165))</f>
        <v>133.15985</v>
      </c>
      <c r="G165" s="28" t="n">
        <f aca="false">E165-F165</f>
        <v>-17.9374</v>
      </c>
      <c r="H165" s="25" t="n">
        <f aca="false">IF(G165&gt;=-0.0000001,A165,H164)</f>
        <v>46034</v>
      </c>
      <c r="I165" s="29" t="n">
        <f aca="false">IF(AND(G165&gt;=-0.0000001,G164&lt;0),1,0)</f>
        <v>0</v>
      </c>
      <c r="J165" s="30" t="str">
        <f aca="false">IF(I165=1,A165-H164,"")</f>
        <v/>
      </c>
      <c r="K165" s="27" t="n">
        <f aca="false">IF(B165="Wednesday",0,C165)</f>
        <v>-4663.75</v>
      </c>
      <c r="L165" s="28" t="n">
        <f aca="false">L164+K165/$T$1*100</f>
        <v>161.2721</v>
      </c>
      <c r="M165" s="28" t="n">
        <f aca="false">MAX(0,MAX($L$2:L165))</f>
        <v>162.3706</v>
      </c>
      <c r="N165" s="28" t="n">
        <f aca="false">L165-M165</f>
        <v>-1.0985</v>
      </c>
      <c r="O165" s="25" t="n">
        <f aca="false">IF(N165&gt;=-0.0000001,A165,O164)</f>
        <v>46055</v>
      </c>
      <c r="P165" s="29" t="n">
        <f aca="false">IF(AND(N165&gt;=-0.0000001,N164&lt;0),1,0)</f>
        <v>0</v>
      </c>
      <c r="Q165" s="30" t="str">
        <f aca="false">IF(P165=1,A165-O164,"")</f>
        <v/>
      </c>
    </row>
    <row r="166" customFormat="false" ht="15" hidden="false" customHeight="false" outlineLevel="0" collapsed="false">
      <c r="A166" s="25" t="n">
        <v>46059</v>
      </c>
      <c r="B166" s="26" t="s">
        <v>83</v>
      </c>
      <c r="C166" s="27" t="n">
        <v>48295</v>
      </c>
      <c r="D166" s="28" t="n">
        <f aca="false">C166/$T$1*100</f>
        <v>9.659</v>
      </c>
      <c r="E166" s="28" t="n">
        <f aca="false">E165+D166</f>
        <v>124.88145</v>
      </c>
      <c r="F166" s="28" t="n">
        <f aca="false">MAX(0,MAX($E$2:E166))</f>
        <v>133.15985</v>
      </c>
      <c r="G166" s="28" t="n">
        <f aca="false">E166-F166</f>
        <v>-8.27840000000001</v>
      </c>
      <c r="H166" s="25" t="n">
        <f aca="false">IF(G166&gt;=-0.0000001,A166,H165)</f>
        <v>46034</v>
      </c>
      <c r="I166" s="29" t="n">
        <f aca="false">IF(AND(G166&gt;=-0.0000001,G165&lt;0),1,0)</f>
        <v>0</v>
      </c>
      <c r="J166" s="30" t="str">
        <f aca="false">IF(I166=1,A166-H165,"")</f>
        <v/>
      </c>
      <c r="K166" s="27" t="n">
        <f aca="false">IF(B166="Wednesday",0,C166)</f>
        <v>48295</v>
      </c>
      <c r="L166" s="28" t="n">
        <f aca="false">L165+K166/$T$1*100</f>
        <v>170.9311</v>
      </c>
      <c r="M166" s="28" t="n">
        <f aca="false">MAX(0,MAX($L$2:L166))</f>
        <v>170.9311</v>
      </c>
      <c r="N166" s="28" t="n">
        <f aca="false">L166-M166</f>
        <v>0</v>
      </c>
      <c r="O166" s="25" t="n">
        <f aca="false">IF(N166&gt;=-0.0000001,A166,O165)</f>
        <v>46059</v>
      </c>
      <c r="P166" s="29" t="n">
        <f aca="false">IF(AND(N166&gt;=-0.0000001,N165&lt;0),1,0)</f>
        <v>1</v>
      </c>
      <c r="Q166" s="30" t="n">
        <f aca="false">IF(P166=1,A166-O165,"")</f>
        <v>4</v>
      </c>
    </row>
    <row r="167" customFormat="false" ht="15" hidden="false" customHeight="false" outlineLevel="0" collapsed="false">
      <c r="A167" s="25" t="n">
        <v>46063</v>
      </c>
      <c r="B167" s="26" t="s">
        <v>80</v>
      </c>
      <c r="C167" s="27" t="n">
        <v>-31853.25</v>
      </c>
      <c r="D167" s="28" t="n">
        <f aca="false">C167/$T$1*100</f>
        <v>-6.37065</v>
      </c>
      <c r="E167" s="28" t="n">
        <f aca="false">E166+D167</f>
        <v>118.5108</v>
      </c>
      <c r="F167" s="28" t="n">
        <f aca="false">MAX(0,MAX($E$2:E167))</f>
        <v>133.15985</v>
      </c>
      <c r="G167" s="28" t="n">
        <f aca="false">E167-F167</f>
        <v>-14.64905</v>
      </c>
      <c r="H167" s="25" t="n">
        <f aca="false">IF(G167&gt;=-0.0000001,A167,H166)</f>
        <v>46034</v>
      </c>
      <c r="I167" s="29" t="n">
        <f aca="false">IF(AND(G167&gt;=-0.0000001,G166&lt;0),1,0)</f>
        <v>0</v>
      </c>
      <c r="J167" s="30" t="str">
        <f aca="false">IF(I167=1,A167-H166,"")</f>
        <v/>
      </c>
      <c r="K167" s="27" t="n">
        <f aca="false">IF(B167="Wednesday",0,C167)</f>
        <v>-31853.25</v>
      </c>
      <c r="L167" s="28" t="n">
        <f aca="false">L166+K167/$T$1*100</f>
        <v>164.56045</v>
      </c>
      <c r="M167" s="28" t="n">
        <f aca="false">MAX(0,MAX($L$2:L167))</f>
        <v>170.9311</v>
      </c>
      <c r="N167" s="28" t="n">
        <f aca="false">L167-M167</f>
        <v>-6.37065000000001</v>
      </c>
      <c r="O167" s="25" t="n">
        <f aca="false">IF(N167&gt;=-0.0000001,A167,O166)</f>
        <v>46059</v>
      </c>
      <c r="P167" s="29" t="n">
        <f aca="false">IF(AND(N167&gt;=-0.0000001,N166&lt;0),1,0)</f>
        <v>0</v>
      </c>
      <c r="Q167" s="30" t="str">
        <f aca="false">IF(P167=1,A167-O166,"")</f>
        <v/>
      </c>
    </row>
    <row r="168" customFormat="false" ht="15" hidden="false" customHeight="false" outlineLevel="0" collapsed="false">
      <c r="A168" s="25" t="n">
        <v>46064</v>
      </c>
      <c r="B168" s="26" t="s">
        <v>81</v>
      </c>
      <c r="C168" s="27" t="n">
        <v>2538.25</v>
      </c>
      <c r="D168" s="28" t="n">
        <f aca="false">C168/$T$1*100</f>
        <v>0.50765</v>
      </c>
      <c r="E168" s="28" t="n">
        <f aca="false">E167+D168</f>
        <v>119.01845</v>
      </c>
      <c r="F168" s="28" t="n">
        <f aca="false">MAX(0,MAX($E$2:E168))</f>
        <v>133.15985</v>
      </c>
      <c r="G168" s="28" t="n">
        <f aca="false">E168-F168</f>
        <v>-14.1414</v>
      </c>
      <c r="H168" s="25" t="n">
        <f aca="false">IF(G168&gt;=-0.0000001,A168,H167)</f>
        <v>46034</v>
      </c>
      <c r="I168" s="29" t="n">
        <f aca="false">IF(AND(G168&gt;=-0.0000001,G167&lt;0),1,0)</f>
        <v>0</v>
      </c>
      <c r="J168" s="30" t="str">
        <f aca="false">IF(I168=1,A168-H167,"")</f>
        <v/>
      </c>
      <c r="K168" s="27" t="n">
        <f aca="false">IF(B168="Wednesday",0,C168)</f>
        <v>0</v>
      </c>
      <c r="L168" s="28" t="n">
        <f aca="false">L167+K168/$T$1*100</f>
        <v>164.56045</v>
      </c>
      <c r="M168" s="28" t="n">
        <f aca="false">MAX(0,MAX($L$2:L168))</f>
        <v>170.9311</v>
      </c>
      <c r="N168" s="28" t="n">
        <f aca="false">L168-M168</f>
        <v>-6.37065000000001</v>
      </c>
      <c r="O168" s="25" t="n">
        <f aca="false">IF(N168&gt;=-0.0000001,A168,O167)</f>
        <v>46059</v>
      </c>
      <c r="P168" s="29" t="n">
        <f aca="false">IF(AND(N168&gt;=-0.0000001,N167&lt;0),1,0)</f>
        <v>0</v>
      </c>
      <c r="Q168" s="30" t="str">
        <f aca="false">IF(P168=1,A168-O167,"")</f>
        <v/>
      </c>
    </row>
    <row r="169" customFormat="false" ht="15" hidden="false" customHeight="false" outlineLevel="0" collapsed="false">
      <c r="A169" s="25" t="n">
        <v>46065</v>
      </c>
      <c r="B169" s="26" t="s">
        <v>82</v>
      </c>
      <c r="C169" s="27" t="n">
        <v>-12837.5</v>
      </c>
      <c r="D169" s="28" t="n">
        <f aca="false">C169/$T$1*100</f>
        <v>-2.5675</v>
      </c>
      <c r="E169" s="28" t="n">
        <f aca="false">E168+D169</f>
        <v>116.45095</v>
      </c>
      <c r="F169" s="28" t="n">
        <f aca="false">MAX(0,MAX($E$2:E169))</f>
        <v>133.15985</v>
      </c>
      <c r="G169" s="28" t="n">
        <f aca="false">E169-F169</f>
        <v>-16.7089</v>
      </c>
      <c r="H169" s="25" t="n">
        <f aca="false">IF(G169&gt;=-0.0000001,A169,H168)</f>
        <v>46034</v>
      </c>
      <c r="I169" s="29" t="n">
        <f aca="false">IF(AND(G169&gt;=-0.0000001,G168&lt;0),1,0)</f>
        <v>0</v>
      </c>
      <c r="J169" s="30" t="str">
        <f aca="false">IF(I169=1,A169-H168,"")</f>
        <v/>
      </c>
      <c r="K169" s="27" t="n">
        <f aca="false">IF(B169="Wednesday",0,C169)</f>
        <v>-12837.5</v>
      </c>
      <c r="L169" s="28" t="n">
        <f aca="false">L168+K169/$T$1*100</f>
        <v>161.99295</v>
      </c>
      <c r="M169" s="28" t="n">
        <f aca="false">MAX(0,MAX($L$2:L169))</f>
        <v>170.9311</v>
      </c>
      <c r="N169" s="28" t="n">
        <f aca="false">L169-M169</f>
        <v>-8.93815000000001</v>
      </c>
      <c r="O169" s="25" t="n">
        <f aca="false">IF(N169&gt;=-0.0000001,A169,O168)</f>
        <v>46059</v>
      </c>
      <c r="P169" s="29" t="n">
        <f aca="false">IF(AND(N169&gt;=-0.0000001,N168&lt;0),1,0)</f>
        <v>0</v>
      </c>
      <c r="Q169" s="30" t="str">
        <f aca="false">IF(P169=1,A169-O168,"")</f>
        <v/>
      </c>
    </row>
    <row r="170" customFormat="false" ht="15" hidden="false" customHeight="false" outlineLevel="0" collapsed="false">
      <c r="A170" s="25" t="n">
        <v>46066</v>
      </c>
      <c r="B170" s="26" t="s">
        <v>83</v>
      </c>
      <c r="C170" s="27" t="n">
        <v>32461</v>
      </c>
      <c r="D170" s="28" t="n">
        <f aca="false">C170/$T$1*100</f>
        <v>6.4922</v>
      </c>
      <c r="E170" s="28" t="n">
        <f aca="false">E169+D170</f>
        <v>122.94315</v>
      </c>
      <c r="F170" s="28" t="n">
        <f aca="false">MAX(0,MAX($E$2:E170))</f>
        <v>133.15985</v>
      </c>
      <c r="G170" s="28" t="n">
        <f aca="false">E170-F170</f>
        <v>-10.2167</v>
      </c>
      <c r="H170" s="25" t="n">
        <f aca="false">IF(G170&gt;=-0.0000001,A170,H169)</f>
        <v>46034</v>
      </c>
      <c r="I170" s="29" t="n">
        <f aca="false">IF(AND(G170&gt;=-0.0000001,G169&lt;0),1,0)</f>
        <v>0</v>
      </c>
      <c r="J170" s="30" t="str">
        <f aca="false">IF(I170=1,A170-H169,"")</f>
        <v/>
      </c>
      <c r="K170" s="27" t="n">
        <f aca="false">IF(B170="Wednesday",0,C170)</f>
        <v>32461</v>
      </c>
      <c r="L170" s="28" t="n">
        <f aca="false">L169+K170/$T$1*100</f>
        <v>168.48515</v>
      </c>
      <c r="M170" s="28" t="n">
        <f aca="false">MAX(0,MAX($L$2:L170))</f>
        <v>170.9311</v>
      </c>
      <c r="N170" s="28" t="n">
        <f aca="false">L170-M170</f>
        <v>-2.44595000000001</v>
      </c>
      <c r="O170" s="25" t="n">
        <f aca="false">IF(N170&gt;=-0.0000001,A170,O169)</f>
        <v>46059</v>
      </c>
      <c r="P170" s="29" t="n">
        <f aca="false">IF(AND(N170&gt;=-0.0000001,N169&lt;0),1,0)</f>
        <v>0</v>
      </c>
      <c r="Q170" s="30" t="str">
        <f aca="false">IF(P170=1,A170-O169,"")</f>
        <v/>
      </c>
    </row>
    <row r="171" customFormat="false" ht="15" hidden="false" customHeight="false" outlineLevel="0" collapsed="false">
      <c r="A171" s="25" t="n">
        <v>46069</v>
      </c>
      <c r="B171" s="26" t="s">
        <v>79</v>
      </c>
      <c r="C171" s="27" t="n">
        <v>80853.5</v>
      </c>
      <c r="D171" s="28" t="n">
        <f aca="false">C171/$T$1*100</f>
        <v>16.1707</v>
      </c>
      <c r="E171" s="28" t="n">
        <f aca="false">E170+D171</f>
        <v>139.11385</v>
      </c>
      <c r="F171" s="28" t="n">
        <f aca="false">MAX(0,MAX($E$2:E171))</f>
        <v>139.11385</v>
      </c>
      <c r="G171" s="28" t="n">
        <f aca="false">E171-F171</f>
        <v>0</v>
      </c>
      <c r="H171" s="25" t="n">
        <f aca="false">IF(G171&gt;=-0.0000001,A171,H170)</f>
        <v>46069</v>
      </c>
      <c r="I171" s="29" t="n">
        <f aca="false">IF(AND(G171&gt;=-0.0000001,G170&lt;0),1,0)</f>
        <v>1</v>
      </c>
      <c r="J171" s="30" t="n">
        <f aca="false">IF(I171=1,A171-H170,"")</f>
        <v>35</v>
      </c>
      <c r="K171" s="27" t="n">
        <f aca="false">IF(B171="Wednesday",0,C171)</f>
        <v>80853.5</v>
      </c>
      <c r="L171" s="28" t="n">
        <f aca="false">L170+K171/$T$1*100</f>
        <v>184.65585</v>
      </c>
      <c r="M171" s="28" t="n">
        <f aca="false">MAX(0,MAX($L$2:L171))</f>
        <v>184.65585</v>
      </c>
      <c r="N171" s="28" t="n">
        <f aca="false">L171-M171</f>
        <v>0</v>
      </c>
      <c r="O171" s="25" t="n">
        <f aca="false">IF(N171&gt;=-0.0000001,A171,O170)</f>
        <v>46069</v>
      </c>
      <c r="P171" s="29" t="n">
        <f aca="false">IF(AND(N171&gt;=-0.0000001,N170&lt;0),1,0)</f>
        <v>1</v>
      </c>
      <c r="Q171" s="30" t="n">
        <f aca="false">IF(P171=1,A171-O170,"")</f>
        <v>10</v>
      </c>
    </row>
    <row r="172" customFormat="false" ht="15" hidden="false" customHeight="false" outlineLevel="0" collapsed="false">
      <c r="A172" s="25" t="n">
        <v>46070</v>
      </c>
      <c r="B172" s="26" t="s">
        <v>80</v>
      </c>
      <c r="C172" s="27" t="n">
        <v>-4004</v>
      </c>
      <c r="D172" s="28" t="n">
        <f aca="false">C172/$T$1*100</f>
        <v>-0.8008</v>
      </c>
      <c r="E172" s="28" t="n">
        <f aca="false">E171+D172</f>
        <v>138.31305</v>
      </c>
      <c r="F172" s="28" t="n">
        <f aca="false">MAX(0,MAX($E$2:E172))</f>
        <v>139.11385</v>
      </c>
      <c r="G172" s="28" t="n">
        <f aca="false">E172-F172</f>
        <v>-0.80080000000001</v>
      </c>
      <c r="H172" s="25" t="n">
        <f aca="false">IF(G172&gt;=-0.0000001,A172,H171)</f>
        <v>46069</v>
      </c>
      <c r="I172" s="29" t="n">
        <f aca="false">IF(AND(G172&gt;=-0.0000001,G171&lt;0),1,0)</f>
        <v>0</v>
      </c>
      <c r="J172" s="30" t="str">
        <f aca="false">IF(I172=1,A172-H171,"")</f>
        <v/>
      </c>
      <c r="K172" s="27" t="n">
        <f aca="false">IF(B172="Wednesday",0,C172)</f>
        <v>-4004</v>
      </c>
      <c r="L172" s="28" t="n">
        <f aca="false">L171+K172/$T$1*100</f>
        <v>183.85505</v>
      </c>
      <c r="M172" s="28" t="n">
        <f aca="false">MAX(0,MAX($L$2:L172))</f>
        <v>184.65585</v>
      </c>
      <c r="N172" s="28" t="n">
        <f aca="false">L172-M172</f>
        <v>-0.80080000000001</v>
      </c>
      <c r="O172" s="25" t="n">
        <f aca="false">IF(N172&gt;=-0.0000001,A172,O171)</f>
        <v>46069</v>
      </c>
      <c r="P172" s="29" t="n">
        <f aca="false">IF(AND(N172&gt;=-0.0000001,N171&lt;0),1,0)</f>
        <v>0</v>
      </c>
      <c r="Q172" s="30" t="str">
        <f aca="false">IF(P172=1,A172-O171,"")</f>
        <v/>
      </c>
    </row>
    <row r="173" customFormat="false" ht="15" hidden="false" customHeight="false" outlineLevel="0" collapsed="false">
      <c r="A173" s="25" t="n">
        <v>46071</v>
      </c>
      <c r="B173" s="26" t="s">
        <v>81</v>
      </c>
      <c r="C173" s="27" t="n">
        <v>44317</v>
      </c>
      <c r="D173" s="28" t="n">
        <f aca="false">C173/$T$1*100</f>
        <v>8.8634</v>
      </c>
      <c r="E173" s="28" t="n">
        <f aca="false">E172+D173</f>
        <v>147.17645</v>
      </c>
      <c r="F173" s="28" t="n">
        <f aca="false">MAX(0,MAX($E$2:E173))</f>
        <v>147.17645</v>
      </c>
      <c r="G173" s="28" t="n">
        <f aca="false">E173-F173</f>
        <v>0</v>
      </c>
      <c r="H173" s="25" t="n">
        <f aca="false">IF(G173&gt;=-0.0000001,A173,H172)</f>
        <v>46071</v>
      </c>
      <c r="I173" s="29" t="n">
        <f aca="false">IF(AND(G173&gt;=-0.0000001,G172&lt;0),1,0)</f>
        <v>1</v>
      </c>
      <c r="J173" s="30" t="n">
        <f aca="false">IF(I173=1,A173-H172,"")</f>
        <v>2</v>
      </c>
      <c r="K173" s="27" t="n">
        <f aca="false">IF(B173="Wednesday",0,C173)</f>
        <v>0</v>
      </c>
      <c r="L173" s="28" t="n">
        <f aca="false">L172+K173/$T$1*100</f>
        <v>183.85505</v>
      </c>
      <c r="M173" s="28" t="n">
        <f aca="false">MAX(0,MAX($L$2:L173))</f>
        <v>184.65585</v>
      </c>
      <c r="N173" s="28" t="n">
        <f aca="false">L173-M173</f>
        <v>-0.80080000000001</v>
      </c>
      <c r="O173" s="25" t="n">
        <f aca="false">IF(N173&gt;=-0.0000001,A173,O172)</f>
        <v>46069</v>
      </c>
      <c r="P173" s="29" t="n">
        <f aca="false">IF(AND(N173&gt;=-0.0000001,N172&lt;0),1,0)</f>
        <v>0</v>
      </c>
      <c r="Q173" s="30" t="str">
        <f aca="false">IF(P173=1,A173-O172,"")</f>
        <v/>
      </c>
    </row>
    <row r="174" customFormat="false" ht="15" hidden="false" customHeight="false" outlineLevel="0" collapsed="false">
      <c r="A174" s="25" t="n">
        <v>46072</v>
      </c>
      <c r="B174" s="26" t="s">
        <v>82</v>
      </c>
      <c r="C174" s="27" t="n">
        <v>85507.5</v>
      </c>
      <c r="D174" s="28" t="n">
        <f aca="false">C174/$T$1*100</f>
        <v>17.1015</v>
      </c>
      <c r="E174" s="28" t="n">
        <f aca="false">E173+D174</f>
        <v>164.27795</v>
      </c>
      <c r="F174" s="28" t="n">
        <f aca="false">MAX(0,MAX($E$2:E174))</f>
        <v>164.27795</v>
      </c>
      <c r="G174" s="28" t="n">
        <f aca="false">E174-F174</f>
        <v>0</v>
      </c>
      <c r="H174" s="25" t="n">
        <f aca="false">IF(G174&gt;=-0.0000001,A174,H173)</f>
        <v>46072</v>
      </c>
      <c r="I174" s="29" t="n">
        <f aca="false">IF(AND(G174&gt;=-0.0000001,G173&lt;0),1,0)</f>
        <v>0</v>
      </c>
      <c r="J174" s="30" t="str">
        <f aca="false">IF(I174=1,A174-H173,"")</f>
        <v/>
      </c>
      <c r="K174" s="27" t="n">
        <f aca="false">IF(B174="Wednesday",0,C174)</f>
        <v>85507.5</v>
      </c>
      <c r="L174" s="28" t="n">
        <f aca="false">L173+K174/$T$1*100</f>
        <v>200.95655</v>
      </c>
      <c r="M174" s="28" t="n">
        <f aca="false">MAX(0,MAX($L$2:L174))</f>
        <v>200.95655</v>
      </c>
      <c r="N174" s="28" t="n">
        <f aca="false">L174-M174</f>
        <v>0</v>
      </c>
      <c r="O174" s="25" t="n">
        <f aca="false">IF(N174&gt;=-0.0000001,A174,O173)</f>
        <v>46072</v>
      </c>
      <c r="P174" s="29" t="n">
        <f aca="false">IF(AND(N174&gt;=-0.0000001,N173&lt;0),1,0)</f>
        <v>1</v>
      </c>
      <c r="Q174" s="30" t="n">
        <f aca="false">IF(P174=1,A174-O173,"")</f>
        <v>3</v>
      </c>
    </row>
    <row r="175" customFormat="false" ht="15" hidden="false" customHeight="false" outlineLevel="0" collapsed="false">
      <c r="A175" s="25" t="n">
        <v>46073</v>
      </c>
      <c r="B175" s="26" t="s">
        <v>83</v>
      </c>
      <c r="C175" s="27" t="n">
        <v>11986</v>
      </c>
      <c r="D175" s="28" t="n">
        <f aca="false">C175/$T$1*100</f>
        <v>2.3972</v>
      </c>
      <c r="E175" s="28" t="n">
        <f aca="false">E174+D175</f>
        <v>166.67515</v>
      </c>
      <c r="F175" s="28" t="n">
        <f aca="false">MAX(0,MAX($E$2:E175))</f>
        <v>166.67515</v>
      </c>
      <c r="G175" s="28" t="n">
        <f aca="false">E175-F175</f>
        <v>0</v>
      </c>
      <c r="H175" s="25" t="n">
        <f aca="false">IF(G175&gt;=-0.0000001,A175,H174)</f>
        <v>46073</v>
      </c>
      <c r="I175" s="29" t="n">
        <f aca="false">IF(AND(G175&gt;=-0.0000001,G174&lt;0),1,0)</f>
        <v>0</v>
      </c>
      <c r="J175" s="30" t="str">
        <f aca="false">IF(I175=1,A175-H174,"")</f>
        <v/>
      </c>
      <c r="K175" s="27" t="n">
        <f aca="false">IF(B175="Wednesday",0,C175)</f>
        <v>11986</v>
      </c>
      <c r="L175" s="28" t="n">
        <f aca="false">L174+K175/$T$1*100</f>
        <v>203.35375</v>
      </c>
      <c r="M175" s="28" t="n">
        <f aca="false">MAX(0,MAX($L$2:L175))</f>
        <v>203.35375</v>
      </c>
      <c r="N175" s="28" t="n">
        <f aca="false">L175-M175</f>
        <v>0</v>
      </c>
      <c r="O175" s="25" t="n">
        <f aca="false">IF(N175&gt;=-0.0000001,A175,O174)</f>
        <v>46073</v>
      </c>
      <c r="P175" s="29" t="n">
        <f aca="false">IF(AND(N175&gt;=-0.0000001,N174&lt;0),1,0)</f>
        <v>0</v>
      </c>
      <c r="Q175" s="30" t="str">
        <f aca="false">IF(P175=1,A175-O174,"")</f>
        <v/>
      </c>
    </row>
    <row r="176" customFormat="false" ht="15" hidden="false" customHeight="false" outlineLevel="0" collapsed="false">
      <c r="A176" s="25" t="n">
        <v>46076</v>
      </c>
      <c r="B176" s="26" t="s">
        <v>79</v>
      </c>
      <c r="C176" s="27" t="n">
        <v>-318.5</v>
      </c>
      <c r="D176" s="28" t="n">
        <f aca="false">C176/$T$1*100</f>
        <v>-0.0637</v>
      </c>
      <c r="E176" s="28" t="n">
        <f aca="false">E175+D176</f>
        <v>166.61145</v>
      </c>
      <c r="F176" s="28" t="n">
        <f aca="false">MAX(0,MAX($E$2:E176))</f>
        <v>166.67515</v>
      </c>
      <c r="G176" s="28" t="n">
        <f aca="false">E176-F176</f>
        <v>-0.0637000000000114</v>
      </c>
      <c r="H176" s="25" t="n">
        <f aca="false">IF(G176&gt;=-0.0000001,A176,H175)</f>
        <v>46073</v>
      </c>
      <c r="I176" s="29" t="n">
        <f aca="false">IF(AND(G176&gt;=-0.0000001,G175&lt;0),1,0)</f>
        <v>0</v>
      </c>
      <c r="J176" s="30" t="str">
        <f aca="false">IF(I176=1,A176-H175,"")</f>
        <v/>
      </c>
      <c r="K176" s="27" t="n">
        <f aca="false">IF(B176="Wednesday",0,C176)</f>
        <v>-318.5</v>
      </c>
      <c r="L176" s="28" t="n">
        <f aca="false">L175+K176/$T$1*100</f>
        <v>203.29005</v>
      </c>
      <c r="M176" s="28" t="n">
        <f aca="false">MAX(0,MAX($L$2:L176))</f>
        <v>203.35375</v>
      </c>
      <c r="N176" s="28" t="n">
        <f aca="false">L176-M176</f>
        <v>-0.0637000000000114</v>
      </c>
      <c r="O176" s="25" t="n">
        <f aca="false">IF(N176&gt;=-0.0000001,A176,O175)</f>
        <v>46073</v>
      </c>
      <c r="P176" s="29" t="n">
        <f aca="false">IF(AND(N176&gt;=-0.0000001,N175&lt;0),1,0)</f>
        <v>0</v>
      </c>
      <c r="Q176" s="30" t="str">
        <f aca="false">IF(P176=1,A176-O175,"")</f>
        <v/>
      </c>
    </row>
    <row r="177" customFormat="false" ht="15" hidden="false" customHeight="false" outlineLevel="0" collapsed="false">
      <c r="A177" s="25" t="n">
        <v>46077</v>
      </c>
      <c r="B177" s="26" t="s">
        <v>80</v>
      </c>
      <c r="C177" s="27" t="n">
        <v>-650</v>
      </c>
      <c r="D177" s="28" t="n">
        <f aca="false">C177/$T$1*100</f>
        <v>-0.13</v>
      </c>
      <c r="E177" s="28" t="n">
        <f aca="false">E176+D177</f>
        <v>166.48145</v>
      </c>
      <c r="F177" s="28" t="n">
        <f aca="false">MAX(0,MAX($E$2:E177))</f>
        <v>166.67515</v>
      </c>
      <c r="G177" s="28" t="n">
        <f aca="false">E177-F177</f>
        <v>-0.193700000000007</v>
      </c>
      <c r="H177" s="25" t="n">
        <f aca="false">IF(G177&gt;=-0.0000001,A177,H176)</f>
        <v>46073</v>
      </c>
      <c r="I177" s="29" t="n">
        <f aca="false">IF(AND(G177&gt;=-0.0000001,G176&lt;0),1,0)</f>
        <v>0</v>
      </c>
      <c r="J177" s="30" t="str">
        <f aca="false">IF(I177=1,A177-H176,"")</f>
        <v/>
      </c>
      <c r="K177" s="27" t="n">
        <f aca="false">IF(B177="Wednesday",0,C177)</f>
        <v>-650</v>
      </c>
      <c r="L177" s="28" t="n">
        <f aca="false">L176+K177/$T$1*100</f>
        <v>203.16005</v>
      </c>
      <c r="M177" s="28" t="n">
        <f aca="false">MAX(0,MAX($L$2:L177))</f>
        <v>203.35375</v>
      </c>
      <c r="N177" s="28" t="n">
        <f aca="false">L177-M177</f>
        <v>-0.193700000000007</v>
      </c>
      <c r="O177" s="25" t="n">
        <f aca="false">IF(N177&gt;=-0.0000001,A177,O176)</f>
        <v>46073</v>
      </c>
      <c r="P177" s="29" t="n">
        <f aca="false">IF(AND(N177&gt;=-0.0000001,N176&lt;0),1,0)</f>
        <v>0</v>
      </c>
      <c r="Q177" s="30" t="str">
        <f aca="false">IF(P177=1,A177-O176,"")</f>
        <v/>
      </c>
    </row>
    <row r="178" customFormat="false" ht="15" hidden="false" customHeight="false" outlineLevel="0" collapsed="false">
      <c r="A178" s="25" t="n">
        <v>46078</v>
      </c>
      <c r="B178" s="26" t="s">
        <v>81</v>
      </c>
      <c r="C178" s="27" t="n">
        <v>-25915.5</v>
      </c>
      <c r="D178" s="28" t="n">
        <f aca="false">C178/$T$1*100</f>
        <v>-5.1831</v>
      </c>
      <c r="E178" s="28" t="n">
        <f aca="false">E177+D178</f>
        <v>161.29835</v>
      </c>
      <c r="F178" s="28" t="n">
        <f aca="false">MAX(0,MAX($E$2:E178))</f>
        <v>166.67515</v>
      </c>
      <c r="G178" s="28" t="n">
        <f aca="false">E178-F178</f>
        <v>-5.3768</v>
      </c>
      <c r="H178" s="25" t="n">
        <f aca="false">IF(G178&gt;=-0.0000001,A178,H177)</f>
        <v>46073</v>
      </c>
      <c r="I178" s="29" t="n">
        <f aca="false">IF(AND(G178&gt;=-0.0000001,G177&lt;0),1,0)</f>
        <v>0</v>
      </c>
      <c r="J178" s="30" t="str">
        <f aca="false">IF(I178=1,A178-H177,"")</f>
        <v/>
      </c>
      <c r="K178" s="27" t="n">
        <f aca="false">IF(B178="Wednesday",0,C178)</f>
        <v>0</v>
      </c>
      <c r="L178" s="28" t="n">
        <f aca="false">L177+K178/$T$1*100</f>
        <v>203.16005</v>
      </c>
      <c r="M178" s="28" t="n">
        <f aca="false">MAX(0,MAX($L$2:L178))</f>
        <v>203.35375</v>
      </c>
      <c r="N178" s="28" t="n">
        <f aca="false">L178-M178</f>
        <v>-0.193700000000007</v>
      </c>
      <c r="O178" s="25" t="n">
        <f aca="false">IF(N178&gt;=-0.0000001,A178,O177)</f>
        <v>46073</v>
      </c>
      <c r="P178" s="29" t="n">
        <f aca="false">IF(AND(N178&gt;=-0.0000001,N177&lt;0),1,0)</f>
        <v>0</v>
      </c>
      <c r="Q178" s="30" t="str">
        <f aca="false">IF(P178=1,A178-O177,"")</f>
        <v/>
      </c>
    </row>
    <row r="179" customFormat="false" ht="15" hidden="false" customHeight="false" outlineLevel="0" collapsed="false">
      <c r="A179" s="25" t="n">
        <v>46079</v>
      </c>
      <c r="B179" s="26" t="s">
        <v>82</v>
      </c>
      <c r="C179" s="27" t="n">
        <v>3799.25</v>
      </c>
      <c r="D179" s="28" t="n">
        <f aca="false">C179/$T$1*100</f>
        <v>0.75985</v>
      </c>
      <c r="E179" s="28" t="n">
        <f aca="false">E178+D179</f>
        <v>162.0582</v>
      </c>
      <c r="F179" s="28" t="n">
        <f aca="false">MAX(0,MAX($E$2:E179))</f>
        <v>166.67515</v>
      </c>
      <c r="G179" s="28" t="n">
        <f aca="false">E179-F179</f>
        <v>-4.61695</v>
      </c>
      <c r="H179" s="25" t="n">
        <f aca="false">IF(G179&gt;=-0.0000001,A179,H178)</f>
        <v>46073</v>
      </c>
      <c r="I179" s="29" t="n">
        <f aca="false">IF(AND(G179&gt;=-0.0000001,G178&lt;0),1,0)</f>
        <v>0</v>
      </c>
      <c r="J179" s="30" t="str">
        <f aca="false">IF(I179=1,A179-H178,"")</f>
        <v/>
      </c>
      <c r="K179" s="27" t="n">
        <f aca="false">IF(B179="Wednesday",0,C179)</f>
        <v>3799.25</v>
      </c>
      <c r="L179" s="28" t="n">
        <f aca="false">L178+K179/$T$1*100</f>
        <v>203.9199</v>
      </c>
      <c r="M179" s="28" t="n">
        <f aca="false">MAX(0,MAX($L$2:L179))</f>
        <v>203.9199</v>
      </c>
      <c r="N179" s="28" t="n">
        <f aca="false">L179-M179</f>
        <v>0</v>
      </c>
      <c r="O179" s="25" t="n">
        <f aca="false">IF(N179&gt;=-0.0000001,A179,O178)</f>
        <v>46079</v>
      </c>
      <c r="P179" s="29" t="n">
        <f aca="false">IF(AND(N179&gt;=-0.0000001,N178&lt;0),1,0)</f>
        <v>1</v>
      </c>
      <c r="Q179" s="30" t="n">
        <f aca="false">IF(P179=1,A179-O178,"")</f>
        <v>6</v>
      </c>
    </row>
    <row r="180" customFormat="false" ht="15" hidden="false" customHeight="false" outlineLevel="0" collapsed="false">
      <c r="A180" s="25" t="n">
        <v>46080</v>
      </c>
      <c r="B180" s="26" t="s">
        <v>83</v>
      </c>
      <c r="C180" s="27" t="n">
        <v>12694.5</v>
      </c>
      <c r="D180" s="28" t="n">
        <f aca="false">C180/$T$1*100</f>
        <v>2.5389</v>
      </c>
      <c r="E180" s="28" t="n">
        <f aca="false">E179+D180</f>
        <v>164.5971</v>
      </c>
      <c r="F180" s="28" t="n">
        <f aca="false">MAX(0,MAX($E$2:E180))</f>
        <v>166.67515</v>
      </c>
      <c r="G180" s="28" t="n">
        <f aca="false">E180-F180</f>
        <v>-2.07804999999999</v>
      </c>
      <c r="H180" s="25" t="n">
        <f aca="false">IF(G180&gt;=-0.0000001,A180,H179)</f>
        <v>46073</v>
      </c>
      <c r="I180" s="29" t="n">
        <f aca="false">IF(AND(G180&gt;=-0.0000001,G179&lt;0),1,0)</f>
        <v>0</v>
      </c>
      <c r="J180" s="30" t="str">
        <f aca="false">IF(I180=1,A180-H179,"")</f>
        <v/>
      </c>
      <c r="K180" s="27" t="n">
        <f aca="false">IF(B180="Wednesday",0,C180)</f>
        <v>12694.5</v>
      </c>
      <c r="L180" s="28" t="n">
        <f aca="false">L179+K180/$T$1*100</f>
        <v>206.4588</v>
      </c>
      <c r="M180" s="28" t="n">
        <f aca="false">MAX(0,MAX($L$2:L180))</f>
        <v>206.4588</v>
      </c>
      <c r="N180" s="28" t="n">
        <f aca="false">L180-M180</f>
        <v>0</v>
      </c>
      <c r="O180" s="25" t="n">
        <f aca="false">IF(N180&gt;=-0.0000001,A180,O179)</f>
        <v>46080</v>
      </c>
      <c r="P180" s="29" t="n">
        <f aca="false">IF(AND(N180&gt;=-0.0000001,N179&lt;0),1,0)</f>
        <v>0</v>
      </c>
      <c r="Q180" s="30" t="str">
        <f aca="false">IF(P180=1,A180-O179,"")</f>
        <v/>
      </c>
    </row>
    <row r="181" customFormat="false" ht="15" hidden="false" customHeight="false" outlineLevel="0" collapsed="false">
      <c r="A181" s="25" t="n">
        <v>46083</v>
      </c>
      <c r="B181" s="26" t="s">
        <v>79</v>
      </c>
      <c r="C181" s="27" t="n">
        <v>-4641</v>
      </c>
      <c r="D181" s="28" t="n">
        <f aca="false">C181/$T$1*100</f>
        <v>-0.9282</v>
      </c>
      <c r="E181" s="28" t="n">
        <f aca="false">E180+D181</f>
        <v>163.6689</v>
      </c>
      <c r="F181" s="28" t="n">
        <f aca="false">MAX(0,MAX($E$2:E181))</f>
        <v>166.67515</v>
      </c>
      <c r="G181" s="28" t="n">
        <f aca="false">E181-F181</f>
        <v>-3.00624999999999</v>
      </c>
      <c r="H181" s="25" t="n">
        <f aca="false">IF(G181&gt;=-0.0000001,A181,H180)</f>
        <v>46073</v>
      </c>
      <c r="I181" s="29" t="n">
        <f aca="false">IF(AND(G181&gt;=-0.0000001,G180&lt;0),1,0)</f>
        <v>0</v>
      </c>
      <c r="J181" s="30" t="str">
        <f aca="false">IF(I181=1,A181-H180,"")</f>
        <v/>
      </c>
      <c r="K181" s="27" t="n">
        <f aca="false">IF(B181="Wednesday",0,C181)</f>
        <v>-4641</v>
      </c>
      <c r="L181" s="28" t="n">
        <f aca="false">L180+K181/$T$1*100</f>
        <v>205.5306</v>
      </c>
      <c r="M181" s="28" t="n">
        <f aca="false">MAX(0,MAX($L$2:L181))</f>
        <v>206.4588</v>
      </c>
      <c r="N181" s="28" t="n">
        <f aca="false">L181-M181</f>
        <v>-0.928200000000004</v>
      </c>
      <c r="O181" s="25" t="n">
        <f aca="false">IF(N181&gt;=-0.0000001,A181,O180)</f>
        <v>46080</v>
      </c>
      <c r="P181" s="29" t="n">
        <f aca="false">IF(AND(N181&gt;=-0.0000001,N180&lt;0),1,0)</f>
        <v>0</v>
      </c>
      <c r="Q181" s="30" t="str">
        <f aca="false">IF(P181=1,A181-O180,"")</f>
        <v/>
      </c>
    </row>
    <row r="182" customFormat="false" ht="15" hidden="false" customHeight="false" outlineLevel="0" collapsed="false">
      <c r="A182" s="25" t="n">
        <v>46085</v>
      </c>
      <c r="B182" s="26" t="s">
        <v>81</v>
      </c>
      <c r="C182" s="27" t="n">
        <v>22327.5</v>
      </c>
      <c r="D182" s="28" t="n">
        <f aca="false">C182/$T$1*100</f>
        <v>4.4655</v>
      </c>
      <c r="E182" s="28" t="n">
        <f aca="false">E181+D182</f>
        <v>168.1344</v>
      </c>
      <c r="F182" s="28" t="n">
        <f aca="false">MAX(0,MAX($E$2:E182))</f>
        <v>168.1344</v>
      </c>
      <c r="G182" s="28" t="n">
        <f aca="false">E182-F182</f>
        <v>0</v>
      </c>
      <c r="H182" s="25" t="n">
        <f aca="false">IF(G182&gt;=-0.0000001,A182,H181)</f>
        <v>46085</v>
      </c>
      <c r="I182" s="29" t="n">
        <f aca="false">IF(AND(G182&gt;=-0.0000001,G181&lt;0),1,0)</f>
        <v>1</v>
      </c>
      <c r="J182" s="30" t="n">
        <f aca="false">IF(I182=1,A182-H181,"")</f>
        <v>12</v>
      </c>
      <c r="K182" s="27" t="n">
        <f aca="false">IF(B182="Wednesday",0,C182)</f>
        <v>0</v>
      </c>
      <c r="L182" s="28" t="n">
        <f aca="false">L181+K182/$T$1*100</f>
        <v>205.5306</v>
      </c>
      <c r="M182" s="28" t="n">
        <f aca="false">MAX(0,MAX($L$2:L182))</f>
        <v>206.4588</v>
      </c>
      <c r="N182" s="28" t="n">
        <f aca="false">L182-M182</f>
        <v>-0.928200000000004</v>
      </c>
      <c r="O182" s="25" t="n">
        <f aca="false">IF(N182&gt;=-0.0000001,A182,O181)</f>
        <v>46080</v>
      </c>
      <c r="P182" s="29" t="n">
        <f aca="false">IF(AND(N182&gt;=-0.0000001,N181&lt;0),1,0)</f>
        <v>0</v>
      </c>
      <c r="Q182" s="30" t="str">
        <f aca="false">IF(P182=1,A182-O181,"")</f>
        <v/>
      </c>
    </row>
    <row r="183" customFormat="false" ht="15" hidden="false" customHeight="false" outlineLevel="0" collapsed="false">
      <c r="A183" s="25" t="n">
        <v>46086</v>
      </c>
      <c r="B183" s="26" t="s">
        <v>82</v>
      </c>
      <c r="C183" s="27" t="n">
        <v>36322</v>
      </c>
      <c r="D183" s="28" t="n">
        <f aca="false">C183/$T$1*100</f>
        <v>7.2644</v>
      </c>
      <c r="E183" s="28" t="n">
        <f aca="false">E182+D183</f>
        <v>175.3988</v>
      </c>
      <c r="F183" s="28" t="n">
        <f aca="false">MAX(0,MAX($E$2:E183))</f>
        <v>175.3988</v>
      </c>
      <c r="G183" s="28" t="n">
        <f aca="false">E183-F183</f>
        <v>0</v>
      </c>
      <c r="H183" s="25" t="n">
        <f aca="false">IF(G183&gt;=-0.0000001,A183,H182)</f>
        <v>46086</v>
      </c>
      <c r="I183" s="29" t="n">
        <f aca="false">IF(AND(G183&gt;=-0.0000001,G182&lt;0),1,0)</f>
        <v>0</v>
      </c>
      <c r="J183" s="30" t="str">
        <f aca="false">IF(I183=1,A183-H182,"")</f>
        <v/>
      </c>
      <c r="K183" s="27" t="n">
        <f aca="false">IF(B183="Wednesday",0,C183)</f>
        <v>36322</v>
      </c>
      <c r="L183" s="28" t="n">
        <f aca="false">L182+K183/$T$1*100</f>
        <v>212.795</v>
      </c>
      <c r="M183" s="28" t="n">
        <f aca="false">MAX(0,MAX($L$2:L183))</f>
        <v>212.795</v>
      </c>
      <c r="N183" s="28" t="n">
        <f aca="false">L183-M183</f>
        <v>0</v>
      </c>
      <c r="O183" s="25" t="n">
        <f aca="false">IF(N183&gt;=-0.0000001,A183,O182)</f>
        <v>46086</v>
      </c>
      <c r="P183" s="29" t="n">
        <f aca="false">IF(AND(N183&gt;=-0.0000001,N182&lt;0),1,0)</f>
        <v>1</v>
      </c>
      <c r="Q183" s="30" t="n">
        <f aca="false">IF(P183=1,A183-O182,"")</f>
        <v>6</v>
      </c>
    </row>
    <row r="184" customFormat="false" ht="15" hidden="false" customHeight="false" outlineLevel="0" collapsed="false">
      <c r="A184" s="25" t="n">
        <v>46087</v>
      </c>
      <c r="B184" s="26" t="s">
        <v>83</v>
      </c>
      <c r="C184" s="27" t="n">
        <v>-9620</v>
      </c>
      <c r="D184" s="28" t="n">
        <f aca="false">C184/$T$1*100</f>
        <v>-1.924</v>
      </c>
      <c r="E184" s="28" t="n">
        <f aca="false">E183+D184</f>
        <v>173.4748</v>
      </c>
      <c r="F184" s="28" t="n">
        <f aca="false">MAX(0,MAX($E$2:E184))</f>
        <v>175.3988</v>
      </c>
      <c r="G184" s="28" t="n">
        <f aca="false">E184-F184</f>
        <v>-1.92400000000001</v>
      </c>
      <c r="H184" s="25" t="n">
        <f aca="false">IF(G184&gt;=-0.0000001,A184,H183)</f>
        <v>46086</v>
      </c>
      <c r="I184" s="29" t="n">
        <f aca="false">IF(AND(G184&gt;=-0.0000001,G183&lt;0),1,0)</f>
        <v>0</v>
      </c>
      <c r="J184" s="30" t="str">
        <f aca="false">IF(I184=1,A184-H183,"")</f>
        <v/>
      </c>
      <c r="K184" s="27" t="n">
        <f aca="false">IF(B184="Wednesday",0,C184)</f>
        <v>-9620</v>
      </c>
      <c r="L184" s="28" t="n">
        <f aca="false">L183+K184/$T$1*100</f>
        <v>210.871</v>
      </c>
      <c r="M184" s="28" t="n">
        <f aca="false">MAX(0,MAX($L$2:L184))</f>
        <v>212.795</v>
      </c>
      <c r="N184" s="28" t="n">
        <f aca="false">L184-M184</f>
        <v>-1.92400000000001</v>
      </c>
      <c r="O184" s="25" t="n">
        <f aca="false">IF(N184&gt;=-0.0000001,A184,O183)</f>
        <v>46086</v>
      </c>
      <c r="P184" s="29" t="n">
        <f aca="false">IF(AND(N184&gt;=-0.0000001,N183&lt;0),1,0)</f>
        <v>0</v>
      </c>
      <c r="Q184" s="30" t="str">
        <f aca="false">IF(P184=1,A184-O183,"")</f>
        <v/>
      </c>
    </row>
    <row r="185" customFormat="false" ht="15" hidden="false" customHeight="false" outlineLevel="0" collapsed="false">
      <c r="A185" s="25" t="n">
        <v>46090</v>
      </c>
      <c r="B185" s="26" t="s">
        <v>79</v>
      </c>
      <c r="C185" s="27" t="n">
        <v>57856.5</v>
      </c>
      <c r="D185" s="28" t="n">
        <f aca="false">C185/$T$1*100</f>
        <v>11.5713</v>
      </c>
      <c r="E185" s="28" t="n">
        <f aca="false">E184+D185</f>
        <v>185.0461</v>
      </c>
      <c r="F185" s="28" t="n">
        <f aca="false">MAX(0,MAX($E$2:E185))</f>
        <v>185.0461</v>
      </c>
      <c r="G185" s="28" t="n">
        <f aca="false">E185-F185</f>
        <v>0</v>
      </c>
      <c r="H185" s="25" t="n">
        <f aca="false">IF(G185&gt;=-0.0000001,A185,H184)</f>
        <v>46090</v>
      </c>
      <c r="I185" s="29" t="n">
        <f aca="false">IF(AND(G185&gt;=-0.0000001,G184&lt;0),1,0)</f>
        <v>1</v>
      </c>
      <c r="J185" s="30" t="n">
        <f aca="false">IF(I185=1,A185-H184,"")</f>
        <v>4</v>
      </c>
      <c r="K185" s="27" t="n">
        <f aca="false">IF(B185="Wednesday",0,C185)</f>
        <v>57856.5</v>
      </c>
      <c r="L185" s="28" t="n">
        <f aca="false">L184+K185/$T$1*100</f>
        <v>222.4423</v>
      </c>
      <c r="M185" s="28" t="n">
        <f aca="false">MAX(0,MAX($L$2:L185))</f>
        <v>222.4423</v>
      </c>
      <c r="N185" s="28" t="n">
        <f aca="false">L185-M185</f>
        <v>0</v>
      </c>
      <c r="O185" s="25" t="n">
        <f aca="false">IF(N185&gt;=-0.0000001,A185,O184)</f>
        <v>46090</v>
      </c>
      <c r="P185" s="29" t="n">
        <f aca="false">IF(AND(N185&gt;=-0.0000001,N184&lt;0),1,0)</f>
        <v>1</v>
      </c>
      <c r="Q185" s="30" t="n">
        <f aca="false">IF(P185=1,A185-O184,"")</f>
        <v>4</v>
      </c>
    </row>
    <row r="186" customFormat="false" ht="15" hidden="false" customHeight="false" outlineLevel="0" collapsed="false">
      <c r="A186" s="25" t="n">
        <v>46091</v>
      </c>
      <c r="B186" s="26" t="s">
        <v>80</v>
      </c>
      <c r="C186" s="27" t="n">
        <v>-29490.5</v>
      </c>
      <c r="D186" s="28" t="n">
        <f aca="false">C186/$T$1*100</f>
        <v>-5.8981</v>
      </c>
      <c r="E186" s="28" t="n">
        <f aca="false">E185+D186</f>
        <v>179.148</v>
      </c>
      <c r="F186" s="28" t="n">
        <f aca="false">MAX(0,MAX($E$2:E186))</f>
        <v>185.0461</v>
      </c>
      <c r="G186" s="28" t="n">
        <f aca="false">E186-F186</f>
        <v>-5.8981</v>
      </c>
      <c r="H186" s="25" t="n">
        <f aca="false">IF(G186&gt;=-0.0000001,A186,H185)</f>
        <v>46090</v>
      </c>
      <c r="I186" s="29" t="n">
        <f aca="false">IF(AND(G186&gt;=-0.0000001,G185&lt;0),1,0)</f>
        <v>0</v>
      </c>
      <c r="J186" s="30" t="str">
        <f aca="false">IF(I186=1,A186-H185,"")</f>
        <v/>
      </c>
      <c r="K186" s="27" t="n">
        <f aca="false">IF(B186="Wednesday",0,C186)</f>
        <v>-29490.5</v>
      </c>
      <c r="L186" s="28" t="n">
        <f aca="false">L185+K186/$T$1*100</f>
        <v>216.5442</v>
      </c>
      <c r="M186" s="28" t="n">
        <f aca="false">MAX(0,MAX($L$2:L186))</f>
        <v>222.4423</v>
      </c>
      <c r="N186" s="28" t="n">
        <f aca="false">L186-M186</f>
        <v>-5.8981</v>
      </c>
      <c r="O186" s="25" t="n">
        <f aca="false">IF(N186&gt;=-0.0000001,A186,O185)</f>
        <v>46090</v>
      </c>
      <c r="P186" s="29" t="n">
        <f aca="false">IF(AND(N186&gt;=-0.0000001,N185&lt;0),1,0)</f>
        <v>0</v>
      </c>
      <c r="Q186" s="30" t="str">
        <f aca="false">IF(P186=1,A186-O185,"")</f>
        <v/>
      </c>
    </row>
    <row r="187" customFormat="false" ht="15" hidden="false" customHeight="false" outlineLevel="0" collapsed="false">
      <c r="A187" s="25" t="n">
        <v>46092</v>
      </c>
      <c r="B187" s="26" t="s">
        <v>81</v>
      </c>
      <c r="C187" s="27" t="n">
        <v>-17676.75</v>
      </c>
      <c r="D187" s="28" t="n">
        <f aca="false">C187/$T$1*100</f>
        <v>-3.53535</v>
      </c>
      <c r="E187" s="28" t="n">
        <f aca="false">E186+D187</f>
        <v>175.61265</v>
      </c>
      <c r="F187" s="28" t="n">
        <f aca="false">MAX(0,MAX($E$2:E187))</f>
        <v>185.0461</v>
      </c>
      <c r="G187" s="28" t="n">
        <f aca="false">E187-F187</f>
        <v>-9.43344999999999</v>
      </c>
      <c r="H187" s="25" t="n">
        <f aca="false">IF(G187&gt;=-0.0000001,A187,H186)</f>
        <v>46090</v>
      </c>
      <c r="I187" s="29" t="n">
        <f aca="false">IF(AND(G187&gt;=-0.0000001,G186&lt;0),1,0)</f>
        <v>0</v>
      </c>
      <c r="J187" s="30" t="str">
        <f aca="false">IF(I187=1,A187-H186,"")</f>
        <v/>
      </c>
      <c r="K187" s="27" t="n">
        <f aca="false">IF(B187="Wednesday",0,C187)</f>
        <v>0</v>
      </c>
      <c r="L187" s="28" t="n">
        <f aca="false">L186+K187/$T$1*100</f>
        <v>216.5442</v>
      </c>
      <c r="M187" s="28" t="n">
        <f aca="false">MAX(0,MAX($L$2:L187))</f>
        <v>222.4423</v>
      </c>
      <c r="N187" s="28" t="n">
        <f aca="false">L187-M187</f>
        <v>-5.8981</v>
      </c>
      <c r="O187" s="25" t="n">
        <f aca="false">IF(N187&gt;=-0.0000001,A187,O186)</f>
        <v>46090</v>
      </c>
      <c r="P187" s="29" t="n">
        <f aca="false">IF(AND(N187&gt;=-0.0000001,N186&lt;0),1,0)</f>
        <v>0</v>
      </c>
      <c r="Q187" s="30" t="str">
        <f aca="false">IF(P187=1,A187-O186,"")</f>
        <v/>
      </c>
    </row>
    <row r="188" customFormat="false" ht="15" hidden="false" customHeight="false" outlineLevel="0" collapsed="false">
      <c r="A188" s="25" t="n">
        <v>46093</v>
      </c>
      <c r="B188" s="26" t="s">
        <v>82</v>
      </c>
      <c r="C188" s="27" t="n">
        <v>-2983.5</v>
      </c>
      <c r="D188" s="28" t="n">
        <f aca="false">C188/$T$1*100</f>
        <v>-0.5967</v>
      </c>
      <c r="E188" s="28" t="n">
        <f aca="false">E187+D188</f>
        <v>175.01595</v>
      </c>
      <c r="F188" s="28" t="n">
        <f aca="false">MAX(0,MAX($E$2:E188))</f>
        <v>185.0461</v>
      </c>
      <c r="G188" s="28" t="n">
        <f aca="false">E188-F188</f>
        <v>-10.03015</v>
      </c>
      <c r="H188" s="25" t="n">
        <f aca="false">IF(G188&gt;=-0.0000001,A188,H187)</f>
        <v>46090</v>
      </c>
      <c r="I188" s="29" t="n">
        <f aca="false">IF(AND(G188&gt;=-0.0000001,G187&lt;0),1,0)</f>
        <v>0</v>
      </c>
      <c r="J188" s="30" t="str">
        <f aca="false">IF(I188=1,A188-H187,"")</f>
        <v/>
      </c>
      <c r="K188" s="27" t="n">
        <f aca="false">IF(B188="Wednesday",0,C188)</f>
        <v>-2983.5</v>
      </c>
      <c r="L188" s="28" t="n">
        <f aca="false">L187+K188/$T$1*100</f>
        <v>215.9475</v>
      </c>
      <c r="M188" s="28" t="n">
        <f aca="false">MAX(0,MAX($L$2:L188))</f>
        <v>222.4423</v>
      </c>
      <c r="N188" s="28" t="n">
        <f aca="false">L188-M188</f>
        <v>-6.4948</v>
      </c>
      <c r="O188" s="25" t="n">
        <f aca="false">IF(N188&gt;=-0.0000001,A188,O187)</f>
        <v>46090</v>
      </c>
      <c r="P188" s="29" t="n">
        <f aca="false">IF(AND(N188&gt;=-0.0000001,N187&lt;0),1,0)</f>
        <v>0</v>
      </c>
      <c r="Q188" s="30" t="str">
        <f aca="false">IF(P188=1,A188-O187,"")</f>
        <v/>
      </c>
    </row>
    <row r="189" customFormat="false" ht="15" hidden="false" customHeight="false" outlineLevel="0" collapsed="false">
      <c r="A189" s="25" t="n">
        <v>46094</v>
      </c>
      <c r="B189" s="26" t="s">
        <v>83</v>
      </c>
      <c r="C189" s="27" t="n">
        <v>26533</v>
      </c>
      <c r="D189" s="28" t="n">
        <f aca="false">C189/$T$1*100</f>
        <v>5.3066</v>
      </c>
      <c r="E189" s="28" t="n">
        <f aca="false">E188+D189</f>
        <v>180.32255</v>
      </c>
      <c r="F189" s="28" t="n">
        <f aca="false">MAX(0,MAX($E$2:E189))</f>
        <v>185.0461</v>
      </c>
      <c r="G189" s="28" t="n">
        <f aca="false">E189-F189</f>
        <v>-4.72354999999999</v>
      </c>
      <c r="H189" s="25" t="n">
        <f aca="false">IF(G189&gt;=-0.0000001,A189,H188)</f>
        <v>46090</v>
      </c>
      <c r="I189" s="29" t="n">
        <f aca="false">IF(AND(G189&gt;=-0.0000001,G188&lt;0),1,0)</f>
        <v>0</v>
      </c>
      <c r="J189" s="30" t="str">
        <f aca="false">IF(I189=1,A189-H188,"")</f>
        <v/>
      </c>
      <c r="K189" s="27" t="n">
        <f aca="false">IF(B189="Wednesday",0,C189)</f>
        <v>26533</v>
      </c>
      <c r="L189" s="28" t="n">
        <f aca="false">L188+K189/$T$1*100</f>
        <v>221.2541</v>
      </c>
      <c r="M189" s="28" t="n">
        <f aca="false">MAX(0,MAX($L$2:L189))</f>
        <v>222.4423</v>
      </c>
      <c r="N189" s="28" t="n">
        <f aca="false">L189-M189</f>
        <v>-1.18819999999999</v>
      </c>
      <c r="O189" s="25" t="n">
        <f aca="false">IF(N189&gt;=-0.0000001,A189,O188)</f>
        <v>46090</v>
      </c>
      <c r="P189" s="29" t="n">
        <f aca="false">IF(AND(N189&gt;=-0.0000001,N188&lt;0),1,0)</f>
        <v>0</v>
      </c>
      <c r="Q189" s="30" t="str">
        <f aca="false">IF(P189=1,A189-O188,"")</f>
        <v/>
      </c>
    </row>
    <row r="190" customFormat="false" ht="15" hidden="false" customHeight="false" outlineLevel="0" collapsed="false">
      <c r="A190" s="25" t="n">
        <v>46097</v>
      </c>
      <c r="B190" s="26" t="s">
        <v>79</v>
      </c>
      <c r="C190" s="27" t="n">
        <v>-59780.5</v>
      </c>
      <c r="D190" s="28" t="n">
        <f aca="false">C190/$T$1*100</f>
        <v>-11.9561</v>
      </c>
      <c r="E190" s="28" t="n">
        <f aca="false">E189+D190</f>
        <v>168.36645</v>
      </c>
      <c r="F190" s="28" t="n">
        <f aca="false">MAX(0,MAX($E$2:E190))</f>
        <v>185.0461</v>
      </c>
      <c r="G190" s="28" t="n">
        <f aca="false">E190-F190</f>
        <v>-16.67965</v>
      </c>
      <c r="H190" s="25" t="n">
        <f aca="false">IF(G190&gt;=-0.0000001,A190,H189)</f>
        <v>46090</v>
      </c>
      <c r="I190" s="29" t="n">
        <f aca="false">IF(AND(G190&gt;=-0.0000001,G189&lt;0),1,0)</f>
        <v>0</v>
      </c>
      <c r="J190" s="30" t="str">
        <f aca="false">IF(I190=1,A190-H189,"")</f>
        <v/>
      </c>
      <c r="K190" s="27" t="n">
        <f aca="false">IF(B190="Wednesday",0,C190)</f>
        <v>-59780.5</v>
      </c>
      <c r="L190" s="28" t="n">
        <f aca="false">L189+K190/$T$1*100</f>
        <v>209.298</v>
      </c>
      <c r="M190" s="28" t="n">
        <f aca="false">MAX(0,MAX($L$2:L190))</f>
        <v>222.4423</v>
      </c>
      <c r="N190" s="28" t="n">
        <f aca="false">L190-M190</f>
        <v>-13.1443</v>
      </c>
      <c r="O190" s="25" t="n">
        <f aca="false">IF(N190&gt;=-0.0000001,A190,O189)</f>
        <v>46090</v>
      </c>
      <c r="P190" s="29" t="n">
        <f aca="false">IF(AND(N190&gt;=-0.0000001,N189&lt;0),1,0)</f>
        <v>0</v>
      </c>
      <c r="Q190" s="30" t="str">
        <f aca="false">IF(P190=1,A190-O189,"")</f>
        <v/>
      </c>
    </row>
    <row r="191" customFormat="false" ht="15" hidden="false" customHeight="false" outlineLevel="0" collapsed="false">
      <c r="A191" s="25" t="n">
        <v>46098</v>
      </c>
      <c r="B191" s="26" t="s">
        <v>80</v>
      </c>
      <c r="C191" s="27" t="n">
        <v>520</v>
      </c>
      <c r="D191" s="28" t="n">
        <f aca="false">C191/$T$1*100</f>
        <v>0.104</v>
      </c>
      <c r="E191" s="28" t="n">
        <f aca="false">E190+D191</f>
        <v>168.47045</v>
      </c>
      <c r="F191" s="28" t="n">
        <f aca="false">MAX(0,MAX($E$2:E191))</f>
        <v>185.0461</v>
      </c>
      <c r="G191" s="28" t="n">
        <f aca="false">E191-F191</f>
        <v>-16.57565</v>
      </c>
      <c r="H191" s="25" t="n">
        <f aca="false">IF(G191&gt;=-0.0000001,A191,H190)</f>
        <v>46090</v>
      </c>
      <c r="I191" s="29" t="n">
        <f aca="false">IF(AND(G191&gt;=-0.0000001,G190&lt;0),1,0)</f>
        <v>0</v>
      </c>
      <c r="J191" s="30" t="str">
        <f aca="false">IF(I191=1,A191-H190,"")</f>
        <v/>
      </c>
      <c r="K191" s="27" t="n">
        <f aca="false">IF(B191="Wednesday",0,C191)</f>
        <v>520</v>
      </c>
      <c r="L191" s="28" t="n">
        <f aca="false">L190+K191/$T$1*100</f>
        <v>209.402</v>
      </c>
      <c r="M191" s="28" t="n">
        <f aca="false">MAX(0,MAX($L$2:L191))</f>
        <v>222.4423</v>
      </c>
      <c r="N191" s="28" t="n">
        <f aca="false">L191-M191</f>
        <v>-13.0403</v>
      </c>
      <c r="O191" s="25" t="n">
        <f aca="false">IF(N191&gt;=-0.0000001,A191,O190)</f>
        <v>46090</v>
      </c>
      <c r="P191" s="29" t="n">
        <f aca="false">IF(AND(N191&gt;=-0.0000001,N190&lt;0),1,0)</f>
        <v>0</v>
      </c>
      <c r="Q191" s="30" t="str">
        <f aca="false">IF(P191=1,A191-O190,"")</f>
        <v/>
      </c>
    </row>
    <row r="192" customFormat="false" ht="15" hidden="false" customHeight="false" outlineLevel="0" collapsed="false">
      <c r="A192" s="25" t="n">
        <v>46099</v>
      </c>
      <c r="B192" s="26" t="s">
        <v>81</v>
      </c>
      <c r="C192" s="27" t="n">
        <v>10946</v>
      </c>
      <c r="D192" s="28" t="n">
        <f aca="false">C192/$T$1*100</f>
        <v>2.1892</v>
      </c>
      <c r="E192" s="28" t="n">
        <f aca="false">E191+D192</f>
        <v>170.65965</v>
      </c>
      <c r="F192" s="28" t="n">
        <f aca="false">MAX(0,MAX($E$2:E192))</f>
        <v>185.0461</v>
      </c>
      <c r="G192" s="28" t="n">
        <f aca="false">E192-F192</f>
        <v>-14.38645</v>
      </c>
      <c r="H192" s="25" t="n">
        <f aca="false">IF(G192&gt;=-0.0000001,A192,H191)</f>
        <v>46090</v>
      </c>
      <c r="I192" s="29" t="n">
        <f aca="false">IF(AND(G192&gt;=-0.0000001,G191&lt;0),1,0)</f>
        <v>0</v>
      </c>
      <c r="J192" s="30" t="str">
        <f aca="false">IF(I192=1,A192-H191,"")</f>
        <v/>
      </c>
      <c r="K192" s="27" t="n">
        <f aca="false">IF(B192="Wednesday",0,C192)</f>
        <v>0</v>
      </c>
      <c r="L192" s="28" t="n">
        <f aca="false">L191+K192/$T$1*100</f>
        <v>209.402</v>
      </c>
      <c r="M192" s="28" t="n">
        <f aca="false">MAX(0,MAX($L$2:L192))</f>
        <v>222.4423</v>
      </c>
      <c r="N192" s="28" t="n">
        <f aca="false">L192-M192</f>
        <v>-13.0403</v>
      </c>
      <c r="O192" s="25" t="n">
        <f aca="false">IF(N192&gt;=-0.0000001,A192,O191)</f>
        <v>46090</v>
      </c>
      <c r="P192" s="29" t="n">
        <f aca="false">IF(AND(N192&gt;=-0.0000001,N191&lt;0),1,0)</f>
        <v>0</v>
      </c>
      <c r="Q192" s="30" t="str">
        <f aca="false">IF(P192=1,A192-O191,"")</f>
        <v/>
      </c>
    </row>
    <row r="193" customFormat="false" ht="15" hidden="false" customHeight="false" outlineLevel="0" collapsed="false">
      <c r="A193" s="25" t="n">
        <v>46100</v>
      </c>
      <c r="B193" s="26" t="s">
        <v>82</v>
      </c>
      <c r="C193" s="27" t="n">
        <v>-26221</v>
      </c>
      <c r="D193" s="28" t="n">
        <f aca="false">C193/$T$1*100</f>
        <v>-5.2442</v>
      </c>
      <c r="E193" s="28" t="n">
        <f aca="false">E192+D193</f>
        <v>165.41545</v>
      </c>
      <c r="F193" s="28" t="n">
        <f aca="false">MAX(0,MAX($E$2:E193))</f>
        <v>185.0461</v>
      </c>
      <c r="G193" s="28" t="n">
        <f aca="false">E193-F193</f>
        <v>-19.63065</v>
      </c>
      <c r="H193" s="25" t="n">
        <f aca="false">IF(G193&gt;=-0.0000001,A193,H192)</f>
        <v>46090</v>
      </c>
      <c r="I193" s="29" t="n">
        <f aca="false">IF(AND(G193&gt;=-0.0000001,G192&lt;0),1,0)</f>
        <v>0</v>
      </c>
      <c r="J193" s="30" t="str">
        <f aca="false">IF(I193=1,A193-H192,"")</f>
        <v/>
      </c>
      <c r="K193" s="27" t="n">
        <f aca="false">IF(B193="Wednesday",0,C193)</f>
        <v>-26221</v>
      </c>
      <c r="L193" s="28" t="n">
        <f aca="false">L192+K193/$T$1*100</f>
        <v>204.1578</v>
      </c>
      <c r="M193" s="28" t="n">
        <f aca="false">MAX(0,MAX($L$2:L193))</f>
        <v>222.4423</v>
      </c>
      <c r="N193" s="28" t="n">
        <f aca="false">L193-M193</f>
        <v>-18.2845</v>
      </c>
      <c r="O193" s="25" t="n">
        <f aca="false">IF(N193&gt;=-0.0000001,A193,O192)</f>
        <v>46090</v>
      </c>
      <c r="P193" s="29" t="n">
        <f aca="false">IF(AND(N193&gt;=-0.0000001,N192&lt;0),1,0)</f>
        <v>0</v>
      </c>
      <c r="Q193" s="30" t="str">
        <f aca="false">IF(P193=1,A193-O192,"")</f>
        <v/>
      </c>
    </row>
    <row r="194" customFormat="false" ht="15" hidden="false" customHeight="false" outlineLevel="0" collapsed="false">
      <c r="A194" s="25" t="n">
        <v>46101</v>
      </c>
      <c r="B194" s="26" t="s">
        <v>83</v>
      </c>
      <c r="C194" s="27" t="n">
        <v>-21411</v>
      </c>
      <c r="D194" s="28" t="n">
        <f aca="false">C194/$T$1*100</f>
        <v>-4.2822</v>
      </c>
      <c r="E194" s="28" t="n">
        <f aca="false">E193+D194</f>
        <v>161.13325</v>
      </c>
      <c r="F194" s="28" t="n">
        <f aca="false">MAX(0,MAX($E$2:E194))</f>
        <v>185.0461</v>
      </c>
      <c r="G194" s="28" t="n">
        <f aca="false">E194-F194</f>
        <v>-23.91285</v>
      </c>
      <c r="H194" s="25" t="n">
        <f aca="false">IF(G194&gt;=-0.0000001,A194,H193)</f>
        <v>46090</v>
      </c>
      <c r="I194" s="29" t="n">
        <f aca="false">IF(AND(G194&gt;=-0.0000001,G193&lt;0),1,0)</f>
        <v>0</v>
      </c>
      <c r="J194" s="30" t="str">
        <f aca="false">IF(I194=1,A194-H193,"")</f>
        <v/>
      </c>
      <c r="K194" s="27" t="n">
        <f aca="false">IF(B194="Wednesday",0,C194)</f>
        <v>-21411</v>
      </c>
      <c r="L194" s="28" t="n">
        <f aca="false">L193+K194/$T$1*100</f>
        <v>199.8756</v>
      </c>
      <c r="M194" s="28" t="n">
        <f aca="false">MAX(0,MAX($L$2:L194))</f>
        <v>222.4423</v>
      </c>
      <c r="N194" s="28" t="n">
        <f aca="false">L194-M194</f>
        <v>-22.5667</v>
      </c>
      <c r="O194" s="25" t="n">
        <f aca="false">IF(N194&gt;=-0.0000001,A194,O193)</f>
        <v>46090</v>
      </c>
      <c r="P194" s="29" t="n">
        <f aca="false">IF(AND(N194&gt;=-0.0000001,N193&lt;0),1,0)</f>
        <v>0</v>
      </c>
      <c r="Q194" s="30" t="str">
        <f aca="false">IF(P194=1,A194-O193,"")</f>
        <v/>
      </c>
    </row>
    <row r="195" customFormat="false" ht="15" hidden="false" customHeight="false" outlineLevel="0" collapsed="false">
      <c r="A195" s="25" t="n">
        <v>46104</v>
      </c>
      <c r="B195" s="26" t="s">
        <v>79</v>
      </c>
      <c r="C195" s="27" t="n">
        <v>-6877</v>
      </c>
      <c r="D195" s="28" t="n">
        <f aca="false">C195/$T$1*100</f>
        <v>-1.3754</v>
      </c>
      <c r="E195" s="28" t="n">
        <f aca="false">E194+D195</f>
        <v>159.75785</v>
      </c>
      <c r="F195" s="28" t="n">
        <f aca="false">MAX(0,MAX($E$2:E195))</f>
        <v>185.0461</v>
      </c>
      <c r="G195" s="28" t="n">
        <f aca="false">E195-F195</f>
        <v>-25.28825</v>
      </c>
      <c r="H195" s="25" t="n">
        <f aca="false">IF(G195&gt;=-0.0000001,A195,H194)</f>
        <v>46090</v>
      </c>
      <c r="I195" s="29" t="n">
        <f aca="false">IF(AND(G195&gt;=-0.0000001,G194&lt;0),1,0)</f>
        <v>0</v>
      </c>
      <c r="J195" s="30" t="str">
        <f aca="false">IF(I195=1,A195-H194,"")</f>
        <v/>
      </c>
      <c r="K195" s="27" t="n">
        <f aca="false">IF(B195="Wednesday",0,C195)</f>
        <v>-6877</v>
      </c>
      <c r="L195" s="28" t="n">
        <f aca="false">L194+K195/$T$1*100</f>
        <v>198.5002</v>
      </c>
      <c r="M195" s="28" t="n">
        <f aca="false">MAX(0,MAX($L$2:L195))</f>
        <v>222.4423</v>
      </c>
      <c r="N195" s="28" t="n">
        <f aca="false">L195-M195</f>
        <v>-23.9421</v>
      </c>
      <c r="O195" s="25" t="n">
        <f aca="false">IF(N195&gt;=-0.0000001,A195,O194)</f>
        <v>46090</v>
      </c>
      <c r="P195" s="29" t="n">
        <f aca="false">IF(AND(N195&gt;=-0.0000001,N194&lt;0),1,0)</f>
        <v>0</v>
      </c>
      <c r="Q195" s="30" t="str">
        <f aca="false">IF(P195=1,A195-O194,"")</f>
        <v/>
      </c>
    </row>
    <row r="196" customFormat="false" ht="15" hidden="false" customHeight="false" outlineLevel="0" collapsed="false">
      <c r="A196" s="25" t="n">
        <v>46105</v>
      </c>
      <c r="B196" s="26" t="s">
        <v>80</v>
      </c>
      <c r="C196" s="27" t="n">
        <v>1573</v>
      </c>
      <c r="D196" s="28" t="n">
        <f aca="false">C196/$T$1*100</f>
        <v>0.3146</v>
      </c>
      <c r="E196" s="28" t="n">
        <f aca="false">E195+D196</f>
        <v>160.07245</v>
      </c>
      <c r="F196" s="28" t="n">
        <f aca="false">MAX(0,MAX($E$2:E196))</f>
        <v>185.0461</v>
      </c>
      <c r="G196" s="28" t="n">
        <f aca="false">E196-F196</f>
        <v>-24.97365</v>
      </c>
      <c r="H196" s="25" t="n">
        <f aca="false">IF(G196&gt;=-0.0000001,A196,H195)</f>
        <v>46090</v>
      </c>
      <c r="I196" s="29" t="n">
        <f aca="false">IF(AND(G196&gt;=-0.0000001,G195&lt;0),1,0)</f>
        <v>0</v>
      </c>
      <c r="J196" s="30" t="str">
        <f aca="false">IF(I196=1,A196-H195,"")</f>
        <v/>
      </c>
      <c r="K196" s="27" t="n">
        <f aca="false">IF(B196="Wednesday",0,C196)</f>
        <v>1573</v>
      </c>
      <c r="L196" s="28" t="n">
        <f aca="false">L195+K196/$T$1*100</f>
        <v>198.8148</v>
      </c>
      <c r="M196" s="28" t="n">
        <f aca="false">MAX(0,MAX($L$2:L196))</f>
        <v>222.4423</v>
      </c>
      <c r="N196" s="28" t="n">
        <f aca="false">L196-M196</f>
        <v>-23.6275</v>
      </c>
      <c r="O196" s="25" t="n">
        <f aca="false">IF(N196&gt;=-0.0000001,A196,O195)</f>
        <v>46090</v>
      </c>
      <c r="P196" s="29" t="n">
        <f aca="false">IF(AND(N196&gt;=-0.0000001,N195&lt;0),1,0)</f>
        <v>0</v>
      </c>
      <c r="Q196" s="30" t="str">
        <f aca="false">IF(P196=1,A196-O195,"")</f>
        <v/>
      </c>
    </row>
    <row r="197" customFormat="false" ht="15" hidden="false" customHeight="false" outlineLevel="0" collapsed="false">
      <c r="A197" s="25" t="n">
        <v>46106</v>
      </c>
      <c r="B197" s="26" t="s">
        <v>81</v>
      </c>
      <c r="C197" s="27" t="n">
        <v>9438</v>
      </c>
      <c r="D197" s="28" t="n">
        <f aca="false">C197/$T$1*100</f>
        <v>1.8876</v>
      </c>
      <c r="E197" s="28" t="n">
        <f aca="false">E196+D197</f>
        <v>161.96005</v>
      </c>
      <c r="F197" s="28" t="n">
        <f aca="false">MAX(0,MAX($E$2:E197))</f>
        <v>185.0461</v>
      </c>
      <c r="G197" s="28" t="n">
        <f aca="false">E197-F197</f>
        <v>-23.08605</v>
      </c>
      <c r="H197" s="25" t="n">
        <f aca="false">IF(G197&gt;=-0.0000001,A197,H196)</f>
        <v>46090</v>
      </c>
      <c r="I197" s="29" t="n">
        <f aca="false">IF(AND(G197&gt;=-0.0000001,G196&lt;0),1,0)</f>
        <v>0</v>
      </c>
      <c r="J197" s="30" t="str">
        <f aca="false">IF(I197=1,A197-H196,"")</f>
        <v/>
      </c>
      <c r="K197" s="27" t="n">
        <f aca="false">IF(B197="Wednesday",0,C197)</f>
        <v>0</v>
      </c>
      <c r="L197" s="28" t="n">
        <f aca="false">L196+K197/$T$1*100</f>
        <v>198.8148</v>
      </c>
      <c r="M197" s="28" t="n">
        <f aca="false">MAX(0,MAX($L$2:L197))</f>
        <v>222.4423</v>
      </c>
      <c r="N197" s="28" t="n">
        <f aca="false">L197-M197</f>
        <v>-23.6275</v>
      </c>
      <c r="O197" s="25" t="n">
        <f aca="false">IF(N197&gt;=-0.0000001,A197,O196)</f>
        <v>46090</v>
      </c>
      <c r="P197" s="29" t="n">
        <f aca="false">IF(AND(N197&gt;=-0.0000001,N196&lt;0),1,0)</f>
        <v>0</v>
      </c>
      <c r="Q197" s="30" t="str">
        <f aca="false">IF(P197=1,A197-O196,"")</f>
        <v/>
      </c>
    </row>
    <row r="198" customFormat="false" ht="15" hidden="false" customHeight="false" outlineLevel="0" collapsed="false">
      <c r="A198" s="25" t="n">
        <v>46108</v>
      </c>
      <c r="B198" s="26" t="s">
        <v>83</v>
      </c>
      <c r="C198" s="27" t="n">
        <v>27235</v>
      </c>
      <c r="D198" s="28" t="n">
        <f aca="false">C198/$T$1*100</f>
        <v>5.447</v>
      </c>
      <c r="E198" s="28" t="n">
        <f aca="false">E197+D198</f>
        <v>167.40705</v>
      </c>
      <c r="F198" s="28" t="n">
        <f aca="false">MAX(0,MAX($E$2:E198))</f>
        <v>185.0461</v>
      </c>
      <c r="G198" s="28" t="n">
        <f aca="false">E198-F198</f>
        <v>-17.63905</v>
      </c>
      <c r="H198" s="25" t="n">
        <f aca="false">IF(G198&gt;=-0.0000001,A198,H197)</f>
        <v>46090</v>
      </c>
      <c r="I198" s="29" t="n">
        <f aca="false">IF(AND(G198&gt;=-0.0000001,G197&lt;0),1,0)</f>
        <v>0</v>
      </c>
      <c r="J198" s="30" t="str">
        <f aca="false">IF(I198=1,A198-H197,"")</f>
        <v/>
      </c>
      <c r="K198" s="27" t="n">
        <f aca="false">IF(B198="Wednesday",0,C198)</f>
        <v>27235</v>
      </c>
      <c r="L198" s="28" t="n">
        <f aca="false">L197+K198/$T$1*100</f>
        <v>204.2618</v>
      </c>
      <c r="M198" s="28" t="n">
        <f aca="false">MAX(0,MAX($L$2:L198))</f>
        <v>222.4423</v>
      </c>
      <c r="N198" s="28" t="n">
        <f aca="false">L198-M198</f>
        <v>-18.1805</v>
      </c>
      <c r="O198" s="25" t="n">
        <f aca="false">IF(N198&gt;=-0.0000001,A198,O197)</f>
        <v>46090</v>
      </c>
      <c r="P198" s="29" t="n">
        <f aca="false">IF(AND(N198&gt;=-0.0000001,N197&lt;0),1,0)</f>
        <v>0</v>
      </c>
      <c r="Q198" s="30" t="str">
        <f aca="false">IF(P198=1,A198-O197,"")</f>
        <v/>
      </c>
    </row>
    <row r="199" customFormat="false" ht="15" hidden="false" customHeight="false" outlineLevel="0" collapsed="false">
      <c r="A199" s="25" t="n">
        <v>46113</v>
      </c>
      <c r="B199" s="26" t="s">
        <v>81</v>
      </c>
      <c r="C199" s="27" t="n">
        <v>4231.5</v>
      </c>
      <c r="D199" s="28" t="n">
        <f aca="false">C199/$T$1*100</f>
        <v>0.8463</v>
      </c>
      <c r="E199" s="28" t="n">
        <f aca="false">E198+D199</f>
        <v>168.25335</v>
      </c>
      <c r="F199" s="28" t="n">
        <f aca="false">MAX(0,MAX($E$2:E199))</f>
        <v>185.0461</v>
      </c>
      <c r="G199" s="28" t="n">
        <f aca="false">E199-F199</f>
        <v>-16.79275</v>
      </c>
      <c r="H199" s="25" t="n">
        <f aca="false">IF(G199&gt;=-0.0000001,A199,H198)</f>
        <v>46090</v>
      </c>
      <c r="I199" s="29" t="n">
        <f aca="false">IF(AND(G199&gt;=-0.0000001,G198&lt;0),1,0)</f>
        <v>0</v>
      </c>
      <c r="J199" s="30" t="str">
        <f aca="false">IF(I199=1,A199-H198,"")</f>
        <v/>
      </c>
      <c r="K199" s="27" t="n">
        <f aca="false">IF(B199="Wednesday",0,C199)</f>
        <v>0</v>
      </c>
      <c r="L199" s="28" t="n">
        <f aca="false">L198+K199/$T$1*100</f>
        <v>204.2618</v>
      </c>
      <c r="M199" s="28" t="n">
        <f aca="false">MAX(0,MAX($L$2:L199))</f>
        <v>222.4423</v>
      </c>
      <c r="N199" s="28" t="n">
        <f aca="false">L199-M199</f>
        <v>-18.1805</v>
      </c>
      <c r="O199" s="25" t="n">
        <f aca="false">IF(N199&gt;=-0.0000001,A199,O198)</f>
        <v>46090</v>
      </c>
      <c r="P199" s="29" t="n">
        <f aca="false">IF(AND(N199&gt;=-0.0000001,N198&lt;0),1,0)</f>
        <v>0</v>
      </c>
      <c r="Q199" s="30" t="str">
        <f aca="false">IF(P199=1,A199-O198,"")</f>
        <v/>
      </c>
    </row>
    <row r="200" customFormat="false" ht="15" hidden="false" customHeight="false" outlineLevel="0" collapsed="false">
      <c r="A200" s="25" t="n">
        <v>46114</v>
      </c>
      <c r="B200" s="26" t="s">
        <v>82</v>
      </c>
      <c r="C200" s="27" t="n">
        <v>-36455.25</v>
      </c>
      <c r="D200" s="28" t="n">
        <f aca="false">C200/$T$1*100</f>
        <v>-7.29105</v>
      </c>
      <c r="E200" s="28" t="n">
        <f aca="false">E199+D200</f>
        <v>160.9623</v>
      </c>
      <c r="F200" s="28" t="n">
        <f aca="false">MAX(0,MAX($E$2:E200))</f>
        <v>185.0461</v>
      </c>
      <c r="G200" s="28" t="n">
        <f aca="false">E200-F200</f>
        <v>-24.0838</v>
      </c>
      <c r="H200" s="25" t="n">
        <f aca="false">IF(G200&gt;=-0.0000001,A200,H199)</f>
        <v>46090</v>
      </c>
      <c r="I200" s="29" t="n">
        <f aca="false">IF(AND(G200&gt;=-0.0000001,G199&lt;0),1,0)</f>
        <v>0</v>
      </c>
      <c r="J200" s="30" t="str">
        <f aca="false">IF(I200=1,A200-H199,"")</f>
        <v/>
      </c>
      <c r="K200" s="27" t="n">
        <f aca="false">IF(B200="Wednesday",0,C200)</f>
        <v>-36455.25</v>
      </c>
      <c r="L200" s="28" t="n">
        <f aca="false">L199+K200/$T$1*100</f>
        <v>196.97075</v>
      </c>
      <c r="M200" s="28" t="n">
        <f aca="false">MAX(0,MAX($L$2:L200))</f>
        <v>222.4423</v>
      </c>
      <c r="N200" s="28" t="n">
        <f aca="false">L200-M200</f>
        <v>-25.47155</v>
      </c>
      <c r="O200" s="25" t="n">
        <f aca="false">IF(N200&gt;=-0.0000001,A200,O199)</f>
        <v>46090</v>
      </c>
      <c r="P200" s="29" t="n">
        <f aca="false">IF(AND(N200&gt;=-0.0000001,N199&lt;0),1,0)</f>
        <v>0</v>
      </c>
      <c r="Q200" s="30" t="str">
        <f aca="false">IF(P200=1,A200-O199,"")</f>
        <v/>
      </c>
    </row>
    <row r="201" customFormat="false" ht="15" hidden="false" customHeight="false" outlineLevel="0" collapsed="false">
      <c r="A201" s="25" t="n">
        <v>46118</v>
      </c>
      <c r="B201" s="26" t="s">
        <v>79</v>
      </c>
      <c r="C201" s="27" t="n">
        <v>53218.75</v>
      </c>
      <c r="D201" s="28" t="n">
        <f aca="false">C201/$T$1*100</f>
        <v>10.64375</v>
      </c>
      <c r="E201" s="28" t="n">
        <f aca="false">E200+D201</f>
        <v>171.60605</v>
      </c>
      <c r="F201" s="28" t="n">
        <f aca="false">MAX(0,MAX($E$2:E201))</f>
        <v>185.0461</v>
      </c>
      <c r="G201" s="28" t="n">
        <f aca="false">E201-F201</f>
        <v>-13.44005</v>
      </c>
      <c r="H201" s="25" t="n">
        <f aca="false">IF(G201&gt;=-0.0000001,A201,H200)</f>
        <v>46090</v>
      </c>
      <c r="I201" s="29" t="n">
        <f aca="false">IF(AND(G201&gt;=-0.0000001,G200&lt;0),1,0)</f>
        <v>0</v>
      </c>
      <c r="J201" s="30" t="str">
        <f aca="false">IF(I201=1,A201-H200,"")</f>
        <v/>
      </c>
      <c r="K201" s="27" t="n">
        <f aca="false">IF(B201="Wednesday",0,C201)</f>
        <v>53218.75</v>
      </c>
      <c r="L201" s="28" t="n">
        <f aca="false">L200+K201/$T$1*100</f>
        <v>207.6145</v>
      </c>
      <c r="M201" s="28" t="n">
        <f aca="false">MAX(0,MAX($L$2:L201))</f>
        <v>222.4423</v>
      </c>
      <c r="N201" s="28" t="n">
        <f aca="false">L201-M201</f>
        <v>-14.8278</v>
      </c>
      <c r="O201" s="25" t="n">
        <f aca="false">IF(N201&gt;=-0.0000001,A201,O200)</f>
        <v>46090</v>
      </c>
      <c r="P201" s="29" t="n">
        <f aca="false">IF(AND(N201&gt;=-0.0000001,N200&lt;0),1,0)</f>
        <v>0</v>
      </c>
      <c r="Q201" s="30" t="str">
        <f aca="false">IF(P201=1,A201-O200,"")</f>
        <v/>
      </c>
    </row>
    <row r="202" customFormat="false" ht="15" hidden="false" customHeight="false" outlineLevel="0" collapsed="false">
      <c r="A202" s="25" t="n">
        <v>46119</v>
      </c>
      <c r="B202" s="26" t="s">
        <v>80</v>
      </c>
      <c r="C202" s="27" t="n">
        <v>-429</v>
      </c>
      <c r="D202" s="28" t="n">
        <f aca="false">C202/$T$1*100</f>
        <v>-0.0858</v>
      </c>
      <c r="E202" s="28" t="n">
        <f aca="false">E201+D202</f>
        <v>171.52025</v>
      </c>
      <c r="F202" s="28" t="n">
        <f aca="false">MAX(0,MAX($E$2:E202))</f>
        <v>185.0461</v>
      </c>
      <c r="G202" s="28" t="n">
        <f aca="false">E202-F202</f>
        <v>-13.52585</v>
      </c>
      <c r="H202" s="25" t="n">
        <f aca="false">IF(G202&gt;=-0.0000001,A202,H201)</f>
        <v>46090</v>
      </c>
      <c r="I202" s="29" t="n">
        <f aca="false">IF(AND(G202&gt;=-0.0000001,G201&lt;0),1,0)</f>
        <v>0</v>
      </c>
      <c r="J202" s="30" t="str">
        <f aca="false">IF(I202=1,A202-H201,"")</f>
        <v/>
      </c>
      <c r="K202" s="27" t="n">
        <f aca="false">IF(B202="Wednesday",0,C202)</f>
        <v>-429</v>
      </c>
      <c r="L202" s="28" t="n">
        <f aca="false">L201+K202/$T$1*100</f>
        <v>207.5287</v>
      </c>
      <c r="M202" s="28" t="n">
        <f aca="false">MAX(0,MAX($L$2:L202))</f>
        <v>222.4423</v>
      </c>
      <c r="N202" s="28" t="n">
        <f aca="false">L202-M202</f>
        <v>-14.9136</v>
      </c>
      <c r="O202" s="25" t="n">
        <f aca="false">IF(N202&gt;=-0.0000001,A202,O201)</f>
        <v>46090</v>
      </c>
      <c r="P202" s="29" t="n">
        <f aca="false">IF(AND(N202&gt;=-0.0000001,N201&lt;0),1,0)</f>
        <v>0</v>
      </c>
      <c r="Q202" s="30" t="str">
        <f aca="false">IF(P202=1,A202-O201,"")</f>
        <v/>
      </c>
    </row>
    <row r="203" customFormat="false" ht="15" hidden="false" customHeight="false" outlineLevel="0" collapsed="false">
      <c r="A203" s="25" t="n">
        <v>46120</v>
      </c>
      <c r="B203" s="26" t="s">
        <v>81</v>
      </c>
      <c r="C203" s="27" t="n">
        <v>5681</v>
      </c>
      <c r="D203" s="28" t="n">
        <f aca="false">C203/$T$1*100</f>
        <v>1.1362</v>
      </c>
      <c r="E203" s="28" t="n">
        <f aca="false">E202+D203</f>
        <v>172.65645</v>
      </c>
      <c r="F203" s="28" t="n">
        <f aca="false">MAX(0,MAX($E$2:E203))</f>
        <v>185.0461</v>
      </c>
      <c r="G203" s="28" t="n">
        <f aca="false">E203-F203</f>
        <v>-12.38965</v>
      </c>
      <c r="H203" s="25" t="n">
        <f aca="false">IF(G203&gt;=-0.0000001,A203,H202)</f>
        <v>46090</v>
      </c>
      <c r="I203" s="29" t="n">
        <f aca="false">IF(AND(G203&gt;=-0.0000001,G202&lt;0),1,0)</f>
        <v>0</v>
      </c>
      <c r="J203" s="30" t="str">
        <f aca="false">IF(I203=1,A203-H202,"")</f>
        <v/>
      </c>
      <c r="K203" s="27" t="n">
        <f aca="false">IF(B203="Wednesday",0,C203)</f>
        <v>0</v>
      </c>
      <c r="L203" s="28" t="n">
        <f aca="false">L202+K203/$T$1*100</f>
        <v>207.5287</v>
      </c>
      <c r="M203" s="28" t="n">
        <f aca="false">MAX(0,MAX($L$2:L203))</f>
        <v>222.4423</v>
      </c>
      <c r="N203" s="28" t="n">
        <f aca="false">L203-M203</f>
        <v>-14.9136</v>
      </c>
      <c r="O203" s="25" t="n">
        <f aca="false">IF(N203&gt;=-0.0000001,A203,O202)</f>
        <v>46090</v>
      </c>
      <c r="P203" s="29" t="n">
        <f aca="false">IF(AND(N203&gt;=-0.0000001,N202&lt;0),1,0)</f>
        <v>0</v>
      </c>
      <c r="Q203" s="30" t="str">
        <f aca="false">IF(P203=1,A203-O202,"")</f>
        <v/>
      </c>
    </row>
    <row r="204" customFormat="false" ht="15" hidden="false" customHeight="false" outlineLevel="0" collapsed="false">
      <c r="A204" s="25" t="n">
        <v>46121</v>
      </c>
      <c r="B204" s="26" t="s">
        <v>82</v>
      </c>
      <c r="C204" s="27" t="n">
        <v>-27755</v>
      </c>
      <c r="D204" s="28" t="n">
        <f aca="false">C204/$T$1*100</f>
        <v>-5.551</v>
      </c>
      <c r="E204" s="28" t="n">
        <f aca="false">E203+D204</f>
        <v>167.10545</v>
      </c>
      <c r="F204" s="28" t="n">
        <f aca="false">MAX(0,MAX($E$2:E204))</f>
        <v>185.0461</v>
      </c>
      <c r="G204" s="28" t="n">
        <f aca="false">E204-F204</f>
        <v>-17.94065</v>
      </c>
      <c r="H204" s="25" t="n">
        <f aca="false">IF(G204&gt;=-0.0000001,A204,H203)</f>
        <v>46090</v>
      </c>
      <c r="I204" s="29" t="n">
        <f aca="false">IF(AND(G204&gt;=-0.0000001,G203&lt;0),1,0)</f>
        <v>0</v>
      </c>
      <c r="J204" s="30" t="str">
        <f aca="false">IF(I204=1,A204-H203,"")</f>
        <v/>
      </c>
      <c r="K204" s="27" t="n">
        <f aca="false">IF(B204="Wednesday",0,C204)</f>
        <v>-27755</v>
      </c>
      <c r="L204" s="28" t="n">
        <f aca="false">L203+K204/$T$1*100</f>
        <v>201.9777</v>
      </c>
      <c r="M204" s="28" t="n">
        <f aca="false">MAX(0,MAX($L$2:L204))</f>
        <v>222.4423</v>
      </c>
      <c r="N204" s="28" t="n">
        <f aca="false">L204-M204</f>
        <v>-20.4646</v>
      </c>
      <c r="O204" s="25" t="n">
        <f aca="false">IF(N204&gt;=-0.0000001,A204,O203)</f>
        <v>46090</v>
      </c>
      <c r="P204" s="29" t="n">
        <f aca="false">IF(AND(N204&gt;=-0.0000001,N203&lt;0),1,0)</f>
        <v>0</v>
      </c>
      <c r="Q204" s="30" t="str">
        <f aca="false">IF(P204=1,A204-O203,"")</f>
        <v/>
      </c>
    </row>
    <row r="205" customFormat="false" ht="15" hidden="false" customHeight="false" outlineLevel="0" collapsed="false">
      <c r="A205" s="25" t="n">
        <v>46122</v>
      </c>
      <c r="B205" s="26" t="s">
        <v>83</v>
      </c>
      <c r="C205" s="27" t="n">
        <v>-1209</v>
      </c>
      <c r="D205" s="28" t="n">
        <f aca="false">C205/$T$1*100</f>
        <v>-0.2418</v>
      </c>
      <c r="E205" s="28" t="n">
        <f aca="false">E204+D205</f>
        <v>166.86365</v>
      </c>
      <c r="F205" s="28" t="n">
        <f aca="false">MAX(0,MAX($E$2:E205))</f>
        <v>185.0461</v>
      </c>
      <c r="G205" s="28" t="n">
        <f aca="false">E205-F205</f>
        <v>-18.18245</v>
      </c>
      <c r="H205" s="25" t="n">
        <f aca="false">IF(G205&gt;=-0.0000001,A205,H204)</f>
        <v>46090</v>
      </c>
      <c r="I205" s="29" t="n">
        <f aca="false">IF(AND(G205&gt;=-0.0000001,G204&lt;0),1,0)</f>
        <v>0</v>
      </c>
      <c r="J205" s="30" t="str">
        <f aca="false">IF(I205=1,A205-H204,"")</f>
        <v/>
      </c>
      <c r="K205" s="27" t="n">
        <f aca="false">IF(B205="Wednesday",0,C205)</f>
        <v>-1209</v>
      </c>
      <c r="L205" s="28" t="n">
        <f aca="false">L204+K205/$T$1*100</f>
        <v>201.7359</v>
      </c>
      <c r="M205" s="28" t="n">
        <f aca="false">MAX(0,MAX($L$2:L205))</f>
        <v>222.4423</v>
      </c>
      <c r="N205" s="28" t="n">
        <f aca="false">L205-M205</f>
        <v>-20.7064</v>
      </c>
      <c r="O205" s="25" t="n">
        <f aca="false">IF(N205&gt;=-0.0000001,A205,O204)</f>
        <v>46090</v>
      </c>
      <c r="P205" s="29" t="n">
        <f aca="false">IF(AND(N205&gt;=-0.0000001,N204&lt;0),1,0)</f>
        <v>0</v>
      </c>
      <c r="Q205" s="30" t="str">
        <f aca="false">IF(P205=1,A205-O204,"")</f>
        <v/>
      </c>
    </row>
    <row r="206" customFormat="false" ht="15" hidden="false" customHeight="false" outlineLevel="0" collapsed="false">
      <c r="A206" s="25" t="n">
        <v>46125</v>
      </c>
      <c r="B206" s="26" t="s">
        <v>79</v>
      </c>
      <c r="C206" s="27" t="n">
        <v>68380</v>
      </c>
      <c r="D206" s="28" t="n">
        <f aca="false">C206/$T$1*100</f>
        <v>13.676</v>
      </c>
      <c r="E206" s="28" t="n">
        <f aca="false">E205+D206</f>
        <v>180.53965</v>
      </c>
      <c r="F206" s="28" t="n">
        <f aca="false">MAX(0,MAX($E$2:E206))</f>
        <v>185.0461</v>
      </c>
      <c r="G206" s="28" t="n">
        <f aca="false">E206-F206</f>
        <v>-4.50644999999997</v>
      </c>
      <c r="H206" s="25" t="n">
        <f aca="false">IF(G206&gt;=-0.0000001,A206,H205)</f>
        <v>46090</v>
      </c>
      <c r="I206" s="29" t="n">
        <f aca="false">IF(AND(G206&gt;=-0.0000001,G205&lt;0),1,0)</f>
        <v>0</v>
      </c>
      <c r="J206" s="30" t="str">
        <f aca="false">IF(I206=1,A206-H205,"")</f>
        <v/>
      </c>
      <c r="K206" s="27" t="n">
        <f aca="false">IF(B206="Wednesday",0,C206)</f>
        <v>68380</v>
      </c>
      <c r="L206" s="28" t="n">
        <f aca="false">L205+K206/$T$1*100</f>
        <v>215.4119</v>
      </c>
      <c r="M206" s="28" t="n">
        <f aca="false">MAX(0,MAX($L$2:L206))</f>
        <v>222.4423</v>
      </c>
      <c r="N206" s="28" t="n">
        <f aca="false">L206-M206</f>
        <v>-7.03039999999999</v>
      </c>
      <c r="O206" s="25" t="n">
        <f aca="false">IF(N206&gt;=-0.0000001,A206,O205)</f>
        <v>46090</v>
      </c>
      <c r="P206" s="29" t="n">
        <f aca="false">IF(AND(N206&gt;=-0.0000001,N205&lt;0),1,0)</f>
        <v>0</v>
      </c>
      <c r="Q206" s="30" t="str">
        <f aca="false">IF(P206=1,A206-O205,"")</f>
        <v/>
      </c>
    </row>
    <row r="207" customFormat="false" ht="15" hidden="false" customHeight="false" outlineLevel="0" collapsed="false">
      <c r="A207" s="25" t="n">
        <v>46127</v>
      </c>
      <c r="B207" s="26" t="s">
        <v>81</v>
      </c>
      <c r="C207" s="27" t="n">
        <v>4436.25</v>
      </c>
      <c r="D207" s="28" t="n">
        <f aca="false">C207/$T$1*100</f>
        <v>0.88725</v>
      </c>
      <c r="E207" s="28" t="n">
        <f aca="false">E206+D207</f>
        <v>181.4269</v>
      </c>
      <c r="F207" s="28" t="n">
        <f aca="false">MAX(0,MAX($E$2:E207))</f>
        <v>185.0461</v>
      </c>
      <c r="G207" s="28" t="n">
        <f aca="false">E207-F207</f>
        <v>-3.61919999999998</v>
      </c>
      <c r="H207" s="25" t="n">
        <f aca="false">IF(G207&gt;=-0.0000001,A207,H206)</f>
        <v>46090</v>
      </c>
      <c r="I207" s="29" t="n">
        <f aca="false">IF(AND(G207&gt;=-0.0000001,G206&lt;0),1,0)</f>
        <v>0</v>
      </c>
      <c r="J207" s="30" t="str">
        <f aca="false">IF(I207=1,A207-H206,"")</f>
        <v/>
      </c>
      <c r="K207" s="27" t="n">
        <f aca="false">IF(B207="Wednesday",0,C207)</f>
        <v>0</v>
      </c>
      <c r="L207" s="28" t="n">
        <f aca="false">L206+K207/$T$1*100</f>
        <v>215.4119</v>
      </c>
      <c r="M207" s="28" t="n">
        <f aca="false">MAX(0,MAX($L$2:L207))</f>
        <v>222.4423</v>
      </c>
      <c r="N207" s="28" t="n">
        <f aca="false">L207-M207</f>
        <v>-7.03039999999999</v>
      </c>
      <c r="O207" s="25" t="n">
        <f aca="false">IF(N207&gt;=-0.0000001,A207,O206)</f>
        <v>46090</v>
      </c>
      <c r="P207" s="29" t="n">
        <f aca="false">IF(AND(N207&gt;=-0.0000001,N206&lt;0),1,0)</f>
        <v>0</v>
      </c>
      <c r="Q207" s="30" t="str">
        <f aca="false">IF(P207=1,A207-O206,"")</f>
        <v/>
      </c>
    </row>
    <row r="208" customFormat="false" ht="15" hidden="false" customHeight="false" outlineLevel="0" collapsed="false">
      <c r="A208" s="25" t="n">
        <v>46128</v>
      </c>
      <c r="B208" s="26" t="s">
        <v>82</v>
      </c>
      <c r="C208" s="27" t="n">
        <v>8970</v>
      </c>
      <c r="D208" s="28" t="n">
        <f aca="false">C208/$T$1*100</f>
        <v>1.794</v>
      </c>
      <c r="E208" s="28" t="n">
        <f aca="false">E207+D208</f>
        <v>183.2209</v>
      </c>
      <c r="F208" s="28" t="n">
        <f aca="false">MAX(0,MAX($E$2:E208))</f>
        <v>185.0461</v>
      </c>
      <c r="G208" s="28" t="n">
        <f aca="false">E208-F208</f>
        <v>-1.82519999999997</v>
      </c>
      <c r="H208" s="25" t="n">
        <f aca="false">IF(G208&gt;=-0.0000001,A208,H207)</f>
        <v>46090</v>
      </c>
      <c r="I208" s="29" t="n">
        <f aca="false">IF(AND(G208&gt;=-0.0000001,G207&lt;0),1,0)</f>
        <v>0</v>
      </c>
      <c r="J208" s="30" t="str">
        <f aca="false">IF(I208=1,A208-H207,"")</f>
        <v/>
      </c>
      <c r="K208" s="27" t="n">
        <f aca="false">IF(B208="Wednesday",0,C208)</f>
        <v>8970</v>
      </c>
      <c r="L208" s="28" t="n">
        <f aca="false">L207+K208/$T$1*100</f>
        <v>217.2059</v>
      </c>
      <c r="M208" s="28" t="n">
        <f aca="false">MAX(0,MAX($L$2:L208))</f>
        <v>222.4423</v>
      </c>
      <c r="N208" s="28" t="n">
        <f aca="false">L208-M208</f>
        <v>-5.23639999999998</v>
      </c>
      <c r="O208" s="25" t="n">
        <f aca="false">IF(N208&gt;=-0.0000001,A208,O207)</f>
        <v>46090</v>
      </c>
      <c r="P208" s="29" t="n">
        <f aca="false">IF(AND(N208&gt;=-0.0000001,N207&lt;0),1,0)</f>
        <v>0</v>
      </c>
      <c r="Q208" s="30" t="str">
        <f aca="false">IF(P208=1,A208-O207,"")</f>
        <v/>
      </c>
    </row>
    <row r="209" customFormat="false" ht="15" hidden="false" customHeight="false" outlineLevel="0" collapsed="false">
      <c r="A209" s="25" t="n">
        <v>46129</v>
      </c>
      <c r="B209" s="26" t="s">
        <v>83</v>
      </c>
      <c r="C209" s="27" t="n">
        <v>-20592</v>
      </c>
      <c r="D209" s="28" t="n">
        <f aca="false">C209/$T$1*100</f>
        <v>-4.1184</v>
      </c>
      <c r="E209" s="28" t="n">
        <f aca="false">E208+D209</f>
        <v>179.1025</v>
      </c>
      <c r="F209" s="28" t="n">
        <f aca="false">MAX(0,MAX($E$2:E209))</f>
        <v>185.0461</v>
      </c>
      <c r="G209" s="28" t="n">
        <f aca="false">E209-F209</f>
        <v>-5.94359999999998</v>
      </c>
      <c r="H209" s="25" t="n">
        <f aca="false">IF(G209&gt;=-0.0000001,A209,H208)</f>
        <v>46090</v>
      </c>
      <c r="I209" s="29" t="n">
        <f aca="false">IF(AND(G209&gt;=-0.0000001,G208&lt;0),1,0)</f>
        <v>0</v>
      </c>
      <c r="J209" s="30" t="str">
        <f aca="false">IF(I209=1,A209-H208,"")</f>
        <v/>
      </c>
      <c r="K209" s="27" t="n">
        <f aca="false">IF(B209="Wednesday",0,C209)</f>
        <v>-20592</v>
      </c>
      <c r="L209" s="28" t="n">
        <f aca="false">L208+K209/$T$1*100</f>
        <v>213.0875</v>
      </c>
      <c r="M209" s="28" t="n">
        <f aca="false">MAX(0,MAX($L$2:L209))</f>
        <v>222.4423</v>
      </c>
      <c r="N209" s="28" t="n">
        <f aca="false">L209-M209</f>
        <v>-9.35479999999998</v>
      </c>
      <c r="O209" s="25" t="n">
        <f aca="false">IF(N209&gt;=-0.0000001,A209,O208)</f>
        <v>46090</v>
      </c>
      <c r="P209" s="29" t="n">
        <f aca="false">IF(AND(N209&gt;=-0.0000001,N208&lt;0),1,0)</f>
        <v>0</v>
      </c>
      <c r="Q209" s="30" t="str">
        <f aca="false">IF(P209=1,A209-O208,"")</f>
        <v/>
      </c>
    </row>
    <row r="210" customFormat="false" ht="15" hidden="false" customHeight="false" outlineLevel="0" collapsed="false">
      <c r="A210" s="25" t="n">
        <v>46132</v>
      </c>
      <c r="B210" s="26" t="s">
        <v>79</v>
      </c>
      <c r="C210" s="27" t="n">
        <v>1956.5</v>
      </c>
      <c r="D210" s="28" t="n">
        <f aca="false">C210/$T$1*100</f>
        <v>0.3913</v>
      </c>
      <c r="E210" s="28" t="n">
        <f aca="false">E209+D210</f>
        <v>179.4938</v>
      </c>
      <c r="F210" s="28" t="n">
        <f aca="false">MAX(0,MAX($E$2:E210))</f>
        <v>185.0461</v>
      </c>
      <c r="G210" s="28" t="n">
        <f aca="false">E210-F210</f>
        <v>-5.55229999999997</v>
      </c>
      <c r="H210" s="25" t="n">
        <f aca="false">IF(G210&gt;=-0.0000001,A210,H209)</f>
        <v>46090</v>
      </c>
      <c r="I210" s="29" t="n">
        <f aca="false">IF(AND(G210&gt;=-0.0000001,G209&lt;0),1,0)</f>
        <v>0</v>
      </c>
      <c r="J210" s="30" t="str">
        <f aca="false">IF(I210=1,A210-H209,"")</f>
        <v/>
      </c>
      <c r="K210" s="27" t="n">
        <f aca="false">IF(B210="Wednesday",0,C210)</f>
        <v>1956.5</v>
      </c>
      <c r="L210" s="28" t="n">
        <f aca="false">L209+K210/$T$1*100</f>
        <v>213.4788</v>
      </c>
      <c r="M210" s="28" t="n">
        <f aca="false">MAX(0,MAX($L$2:L210))</f>
        <v>222.4423</v>
      </c>
      <c r="N210" s="28" t="n">
        <f aca="false">L210-M210</f>
        <v>-8.96349999999998</v>
      </c>
      <c r="O210" s="25" t="n">
        <f aca="false">IF(N210&gt;=-0.0000001,A210,O209)</f>
        <v>46090</v>
      </c>
      <c r="P210" s="29" t="n">
        <f aca="false">IF(AND(N210&gt;=-0.0000001,N209&lt;0),1,0)</f>
        <v>0</v>
      </c>
      <c r="Q210" s="30" t="str">
        <f aca="false">IF(P210=1,A210-O209,"")</f>
        <v/>
      </c>
    </row>
    <row r="211" customFormat="false" ht="15" hidden="false" customHeight="false" outlineLevel="0" collapsed="false">
      <c r="A211" s="25" t="n">
        <v>46134</v>
      </c>
      <c r="B211" s="26" t="s">
        <v>81</v>
      </c>
      <c r="C211" s="27" t="n">
        <v>1534</v>
      </c>
      <c r="D211" s="28" t="n">
        <f aca="false">C211/$T$1*100</f>
        <v>0.3068</v>
      </c>
      <c r="E211" s="28" t="n">
        <f aca="false">E210+D211</f>
        <v>179.8006</v>
      </c>
      <c r="F211" s="28" t="n">
        <f aca="false">MAX(0,MAX($E$2:E211))</f>
        <v>185.0461</v>
      </c>
      <c r="G211" s="28" t="n">
        <f aca="false">E211-F211</f>
        <v>-5.24549999999996</v>
      </c>
      <c r="H211" s="25" t="n">
        <f aca="false">IF(G211&gt;=-0.0000001,A211,H210)</f>
        <v>46090</v>
      </c>
      <c r="I211" s="29" t="n">
        <f aca="false">IF(AND(G211&gt;=-0.0000001,G210&lt;0),1,0)</f>
        <v>0</v>
      </c>
      <c r="J211" s="30" t="str">
        <f aca="false">IF(I211=1,A211-H210,"")</f>
        <v/>
      </c>
      <c r="K211" s="27" t="n">
        <f aca="false">IF(B211="Wednesday",0,C211)</f>
        <v>0</v>
      </c>
      <c r="L211" s="28" t="n">
        <f aca="false">L210+K211/$T$1*100</f>
        <v>213.4788</v>
      </c>
      <c r="M211" s="28" t="n">
        <f aca="false">MAX(0,MAX($L$2:L211))</f>
        <v>222.4423</v>
      </c>
      <c r="N211" s="28" t="n">
        <f aca="false">L211-M211</f>
        <v>-8.96349999999998</v>
      </c>
      <c r="O211" s="25" t="n">
        <f aca="false">IF(N211&gt;=-0.0000001,A211,O210)</f>
        <v>46090</v>
      </c>
      <c r="P211" s="29" t="n">
        <f aca="false">IF(AND(N211&gt;=-0.0000001,N210&lt;0),1,0)</f>
        <v>0</v>
      </c>
      <c r="Q211" s="30" t="str">
        <f aca="false">IF(P211=1,A211-O210,"")</f>
        <v/>
      </c>
    </row>
    <row r="212" customFormat="false" ht="15" hidden="false" customHeight="false" outlineLevel="0" collapsed="false">
      <c r="A212" s="25" t="n">
        <v>46135</v>
      </c>
      <c r="B212" s="26" t="s">
        <v>82</v>
      </c>
      <c r="C212" s="27" t="n">
        <v>-23029.5</v>
      </c>
      <c r="D212" s="28" t="n">
        <f aca="false">C212/$T$1*100</f>
        <v>-4.6059</v>
      </c>
      <c r="E212" s="28" t="n">
        <f aca="false">E211+D212</f>
        <v>175.1947</v>
      </c>
      <c r="F212" s="28" t="n">
        <f aca="false">MAX(0,MAX($E$2:E212))</f>
        <v>185.0461</v>
      </c>
      <c r="G212" s="28" t="n">
        <f aca="false">E212-F212</f>
        <v>-9.85139999999996</v>
      </c>
      <c r="H212" s="25" t="n">
        <f aca="false">IF(G212&gt;=-0.0000001,A212,H211)</f>
        <v>46090</v>
      </c>
      <c r="I212" s="29" t="n">
        <f aca="false">IF(AND(G212&gt;=-0.0000001,G211&lt;0),1,0)</f>
        <v>0</v>
      </c>
      <c r="J212" s="30" t="str">
        <f aca="false">IF(I212=1,A212-H211,"")</f>
        <v/>
      </c>
      <c r="K212" s="27" t="n">
        <f aca="false">IF(B212="Wednesday",0,C212)</f>
        <v>-23029.5</v>
      </c>
      <c r="L212" s="28" t="n">
        <f aca="false">L211+K212/$T$1*100</f>
        <v>208.8729</v>
      </c>
      <c r="M212" s="28" t="n">
        <f aca="false">MAX(0,MAX($L$2:L212))</f>
        <v>222.4423</v>
      </c>
      <c r="N212" s="28" t="n">
        <f aca="false">L212-M212</f>
        <v>-13.5694</v>
      </c>
      <c r="O212" s="25" t="n">
        <f aca="false">IF(N212&gt;=-0.0000001,A212,O211)</f>
        <v>46090</v>
      </c>
      <c r="P212" s="29" t="n">
        <f aca="false">IF(AND(N212&gt;=-0.0000001,N211&lt;0),1,0)</f>
        <v>0</v>
      </c>
      <c r="Q212" s="30" t="str">
        <f aca="false">IF(P212=1,A212-O211,"")</f>
        <v/>
      </c>
    </row>
    <row r="213" customFormat="false" ht="15" hidden="false" customHeight="false" outlineLevel="0" collapsed="false">
      <c r="A213" s="25" t="n">
        <v>46136</v>
      </c>
      <c r="B213" s="26" t="s">
        <v>83</v>
      </c>
      <c r="C213" s="27" t="n">
        <v>12330.5</v>
      </c>
      <c r="D213" s="28" t="n">
        <f aca="false">C213/$T$1*100</f>
        <v>2.4661</v>
      </c>
      <c r="E213" s="28" t="n">
        <f aca="false">E212+D213</f>
        <v>177.6608</v>
      </c>
      <c r="F213" s="28" t="n">
        <f aca="false">MAX(0,MAX($E$2:E213))</f>
        <v>185.0461</v>
      </c>
      <c r="G213" s="28" t="n">
        <f aca="false">E213-F213</f>
        <v>-7.38529999999994</v>
      </c>
      <c r="H213" s="25" t="n">
        <f aca="false">IF(G213&gt;=-0.0000001,A213,H212)</f>
        <v>46090</v>
      </c>
      <c r="I213" s="29" t="n">
        <f aca="false">IF(AND(G213&gt;=-0.0000001,G212&lt;0),1,0)</f>
        <v>0</v>
      </c>
      <c r="J213" s="30" t="str">
        <f aca="false">IF(I213=1,A213-H212,"")</f>
        <v/>
      </c>
      <c r="K213" s="27" t="n">
        <f aca="false">IF(B213="Wednesday",0,C213)</f>
        <v>12330.5</v>
      </c>
      <c r="L213" s="28" t="n">
        <f aca="false">L212+K213/$T$1*100</f>
        <v>211.339</v>
      </c>
      <c r="M213" s="28" t="n">
        <f aca="false">MAX(0,MAX($L$2:L213))</f>
        <v>222.4423</v>
      </c>
      <c r="N213" s="28" t="n">
        <f aca="false">L213-M213</f>
        <v>-11.1033</v>
      </c>
      <c r="O213" s="25" t="n">
        <f aca="false">IF(N213&gt;=-0.0000001,A213,O212)</f>
        <v>46090</v>
      </c>
      <c r="P213" s="29" t="n">
        <f aca="false">IF(AND(N213&gt;=-0.0000001,N212&lt;0),1,0)</f>
        <v>0</v>
      </c>
      <c r="Q213" s="30" t="str">
        <f aca="false">IF(P213=1,A213-O212,"")</f>
        <v/>
      </c>
    </row>
    <row r="214" customFormat="false" ht="15" hidden="false" customHeight="false" outlineLevel="0" collapsed="false">
      <c r="A214" s="25" t="n">
        <v>46139</v>
      </c>
      <c r="B214" s="26" t="s">
        <v>79</v>
      </c>
      <c r="C214" s="27" t="n">
        <v>-1621.75</v>
      </c>
      <c r="D214" s="28" t="n">
        <f aca="false">C214/$T$1*100</f>
        <v>-0.32435</v>
      </c>
      <c r="E214" s="28" t="n">
        <f aca="false">E213+D214</f>
        <v>177.33645</v>
      </c>
      <c r="F214" s="28" t="n">
        <f aca="false">MAX(0,MAX($E$2:E214))</f>
        <v>185.0461</v>
      </c>
      <c r="G214" s="28" t="n">
        <f aca="false">E214-F214</f>
        <v>-7.70964999999995</v>
      </c>
      <c r="H214" s="25" t="n">
        <f aca="false">IF(G214&gt;=-0.0000001,A214,H213)</f>
        <v>46090</v>
      </c>
      <c r="I214" s="29" t="n">
        <f aca="false">IF(AND(G214&gt;=-0.0000001,G213&lt;0),1,0)</f>
        <v>0</v>
      </c>
      <c r="J214" s="30" t="str">
        <f aca="false">IF(I214=1,A214-H213,"")</f>
        <v/>
      </c>
      <c r="K214" s="27" t="n">
        <f aca="false">IF(B214="Wednesday",0,C214)</f>
        <v>-1621.75</v>
      </c>
      <c r="L214" s="28" t="n">
        <f aca="false">L213+K214/$T$1*100</f>
        <v>211.01465</v>
      </c>
      <c r="M214" s="28" t="n">
        <f aca="false">MAX(0,MAX($L$2:L214))</f>
        <v>222.4423</v>
      </c>
      <c r="N214" s="28" t="n">
        <f aca="false">L214-M214</f>
        <v>-11.42765</v>
      </c>
      <c r="O214" s="25" t="n">
        <f aca="false">IF(N214&gt;=-0.0000001,A214,O213)</f>
        <v>46090</v>
      </c>
      <c r="P214" s="29" t="n">
        <f aca="false">IF(AND(N214&gt;=-0.0000001,N213&lt;0),1,0)</f>
        <v>0</v>
      </c>
      <c r="Q214" s="30" t="str">
        <f aca="false">IF(P214=1,A214-O213,"")</f>
        <v/>
      </c>
    </row>
    <row r="215" customFormat="false" ht="15" hidden="false" customHeight="false" outlineLevel="0" collapsed="false">
      <c r="A215" s="25" t="n">
        <v>46140</v>
      </c>
      <c r="B215" s="26" t="s">
        <v>80</v>
      </c>
      <c r="C215" s="27" t="n">
        <v>-884</v>
      </c>
      <c r="D215" s="28" t="n">
        <f aca="false">C215/$T$1*100</f>
        <v>-0.1768</v>
      </c>
      <c r="E215" s="28" t="n">
        <f aca="false">E214+D215</f>
        <v>177.15965</v>
      </c>
      <c r="F215" s="28" t="n">
        <f aca="false">MAX(0,MAX($E$2:E215))</f>
        <v>185.0461</v>
      </c>
      <c r="G215" s="28" t="n">
        <f aca="false">E215-F215</f>
        <v>-7.88644999999994</v>
      </c>
      <c r="H215" s="25" t="n">
        <f aca="false">IF(G215&gt;=-0.0000001,A215,H214)</f>
        <v>46090</v>
      </c>
      <c r="I215" s="29" t="n">
        <f aca="false">IF(AND(G215&gt;=-0.0000001,G214&lt;0),1,0)</f>
        <v>0</v>
      </c>
      <c r="J215" s="30" t="str">
        <f aca="false">IF(I215=1,A215-H214,"")</f>
        <v/>
      </c>
      <c r="K215" s="27" t="n">
        <f aca="false">IF(B215="Wednesday",0,C215)</f>
        <v>-884</v>
      </c>
      <c r="L215" s="28" t="n">
        <f aca="false">L214+K215/$T$1*100</f>
        <v>210.83785</v>
      </c>
      <c r="M215" s="28" t="n">
        <f aca="false">MAX(0,MAX($L$2:L215))</f>
        <v>222.4423</v>
      </c>
      <c r="N215" s="28" t="n">
        <f aca="false">L215-M215</f>
        <v>-11.60445</v>
      </c>
      <c r="O215" s="25" t="n">
        <f aca="false">IF(N215&gt;=-0.0000001,A215,O214)</f>
        <v>46090</v>
      </c>
      <c r="P215" s="29" t="n">
        <f aca="false">IF(AND(N215&gt;=-0.0000001,N214&lt;0),1,0)</f>
        <v>0</v>
      </c>
      <c r="Q215" s="30" t="str">
        <f aca="false">IF(P215=1,A215-O214,"")</f>
        <v/>
      </c>
    </row>
    <row r="216" customFormat="false" ht="15" hidden="false" customHeight="false" outlineLevel="0" collapsed="false">
      <c r="A216" s="25" t="n">
        <v>46141</v>
      </c>
      <c r="B216" s="26" t="s">
        <v>81</v>
      </c>
      <c r="C216" s="27" t="n">
        <v>14371.5</v>
      </c>
      <c r="D216" s="28" t="n">
        <f aca="false">C216/$T$1*100</f>
        <v>2.8743</v>
      </c>
      <c r="E216" s="28" t="n">
        <f aca="false">E215+D216</f>
        <v>180.03395</v>
      </c>
      <c r="F216" s="28" t="n">
        <f aca="false">MAX(0,MAX($E$2:E216))</f>
        <v>185.0461</v>
      </c>
      <c r="G216" s="28" t="n">
        <f aca="false">E216-F216</f>
        <v>-5.01214999999993</v>
      </c>
      <c r="H216" s="25" t="n">
        <f aca="false">IF(G216&gt;=-0.0000001,A216,H215)</f>
        <v>46090</v>
      </c>
      <c r="I216" s="29" t="n">
        <f aca="false">IF(AND(G216&gt;=-0.0000001,G215&lt;0),1,0)</f>
        <v>0</v>
      </c>
      <c r="J216" s="30" t="str">
        <f aca="false">IF(I216=1,A216-H215,"")</f>
        <v/>
      </c>
      <c r="K216" s="27" t="n">
        <f aca="false">IF(B216="Wednesday",0,C216)</f>
        <v>0</v>
      </c>
      <c r="L216" s="28" t="n">
        <f aca="false">L215+K216/$T$1*100</f>
        <v>210.83785</v>
      </c>
      <c r="M216" s="28" t="n">
        <f aca="false">MAX(0,MAX($L$2:L216))</f>
        <v>222.4423</v>
      </c>
      <c r="N216" s="28" t="n">
        <f aca="false">L216-M216</f>
        <v>-11.60445</v>
      </c>
      <c r="O216" s="25" t="n">
        <f aca="false">IF(N216&gt;=-0.0000001,A216,O215)</f>
        <v>46090</v>
      </c>
      <c r="P216" s="29" t="n">
        <f aca="false">IF(AND(N216&gt;=-0.0000001,N215&lt;0),1,0)</f>
        <v>0</v>
      </c>
      <c r="Q216" s="30" t="str">
        <f aca="false">IF(P216=1,A216-O215,"")</f>
        <v/>
      </c>
    </row>
    <row r="217" customFormat="false" ht="15" hidden="false" customHeight="false" outlineLevel="0" collapsed="false">
      <c r="A217" s="25" t="n">
        <v>46142</v>
      </c>
      <c r="B217" s="26" t="s">
        <v>82</v>
      </c>
      <c r="C217" s="27" t="n">
        <v>42282.5</v>
      </c>
      <c r="D217" s="28" t="n">
        <f aca="false">C217/$T$1*100</f>
        <v>8.4565</v>
      </c>
      <c r="E217" s="28" t="n">
        <f aca="false">E216+D217</f>
        <v>188.49045</v>
      </c>
      <c r="F217" s="28" t="n">
        <f aca="false">MAX(0,MAX($E$2:E217))</f>
        <v>188.49045</v>
      </c>
      <c r="G217" s="28" t="n">
        <f aca="false">E217-F217</f>
        <v>0</v>
      </c>
      <c r="H217" s="25" t="n">
        <f aca="false">IF(G217&gt;=-0.0000001,A217,H216)</f>
        <v>46142</v>
      </c>
      <c r="I217" s="29" t="n">
        <f aca="false">IF(AND(G217&gt;=-0.0000001,G216&lt;0),1,0)</f>
        <v>1</v>
      </c>
      <c r="J217" s="30" t="n">
        <f aca="false">IF(I217=1,A217-H216,"")</f>
        <v>52</v>
      </c>
      <c r="K217" s="27" t="n">
        <f aca="false">IF(B217="Wednesday",0,C217)</f>
        <v>42282.5</v>
      </c>
      <c r="L217" s="28" t="n">
        <f aca="false">L216+K217/$T$1*100</f>
        <v>219.29435</v>
      </c>
      <c r="M217" s="28" t="n">
        <f aca="false">MAX(0,MAX($L$2:L217))</f>
        <v>222.4423</v>
      </c>
      <c r="N217" s="28" t="n">
        <f aca="false">L217-M217</f>
        <v>-3.14794999999995</v>
      </c>
      <c r="O217" s="25" t="n">
        <f aca="false">IF(N217&gt;=-0.0000001,A217,O216)</f>
        <v>46090</v>
      </c>
      <c r="P217" s="29" t="n">
        <f aca="false">IF(AND(N217&gt;=-0.0000001,N216&lt;0),1,0)</f>
        <v>0</v>
      </c>
      <c r="Q217" s="30" t="str">
        <f aca="false">IF(P217=1,A217-O216,"")</f>
        <v/>
      </c>
    </row>
    <row r="218" customFormat="false" ht="15" hidden="false" customHeight="false" outlineLevel="0" collapsed="false">
      <c r="A218" s="25" t="n">
        <v>46146</v>
      </c>
      <c r="B218" s="26" t="s">
        <v>79</v>
      </c>
      <c r="C218" s="27" t="n">
        <v>-30628</v>
      </c>
      <c r="D218" s="28" t="n">
        <f aca="false">C218/$T$1*100</f>
        <v>-6.1256</v>
      </c>
      <c r="E218" s="28" t="n">
        <f aca="false">E217+D218</f>
        <v>182.36485</v>
      </c>
      <c r="F218" s="28" t="n">
        <f aca="false">MAX(0,MAX($E$2:E218))</f>
        <v>188.49045</v>
      </c>
      <c r="G218" s="28" t="n">
        <f aca="false">E218-F218</f>
        <v>-6.12559999999999</v>
      </c>
      <c r="H218" s="25" t="n">
        <f aca="false">IF(G218&gt;=-0.0000001,A218,H217)</f>
        <v>46142</v>
      </c>
      <c r="I218" s="29" t="n">
        <f aca="false">IF(AND(G218&gt;=-0.0000001,G217&lt;0),1,0)</f>
        <v>0</v>
      </c>
      <c r="J218" s="30" t="str">
        <f aca="false">IF(I218=1,A218-H217,"")</f>
        <v/>
      </c>
      <c r="K218" s="27" t="n">
        <f aca="false">IF(B218="Wednesday",0,C218)</f>
        <v>-30628</v>
      </c>
      <c r="L218" s="28" t="n">
        <f aca="false">L217+K218/$T$1*100</f>
        <v>213.16875</v>
      </c>
      <c r="M218" s="28" t="n">
        <f aca="false">MAX(0,MAX($L$2:L218))</f>
        <v>222.4423</v>
      </c>
      <c r="N218" s="28" t="n">
        <f aca="false">L218-M218</f>
        <v>-9.27354999999994</v>
      </c>
      <c r="O218" s="25" t="n">
        <f aca="false">IF(N218&gt;=-0.0000001,A218,O217)</f>
        <v>46090</v>
      </c>
      <c r="P218" s="29" t="n">
        <f aca="false">IF(AND(N218&gt;=-0.0000001,N217&lt;0),1,0)</f>
        <v>0</v>
      </c>
      <c r="Q218" s="30" t="str">
        <f aca="false">IF(P218=1,A218-O217,"")</f>
        <v/>
      </c>
    </row>
    <row r="219" customFormat="false" ht="15" hidden="false" customHeight="false" outlineLevel="0" collapsed="false">
      <c r="A219" s="25" t="n">
        <v>46147</v>
      </c>
      <c r="B219" s="26" t="s">
        <v>80</v>
      </c>
      <c r="C219" s="27" t="n">
        <v>1755</v>
      </c>
      <c r="D219" s="28" t="n">
        <f aca="false">C219/$T$1*100</f>
        <v>0.351</v>
      </c>
      <c r="E219" s="28" t="n">
        <f aca="false">E218+D219</f>
        <v>182.71585</v>
      </c>
      <c r="F219" s="28" t="n">
        <f aca="false">MAX(0,MAX($E$2:E219))</f>
        <v>188.49045</v>
      </c>
      <c r="G219" s="28" t="n">
        <f aca="false">E219-F219</f>
        <v>-5.77459999999999</v>
      </c>
      <c r="H219" s="25" t="n">
        <f aca="false">IF(G219&gt;=-0.0000001,A219,H218)</f>
        <v>46142</v>
      </c>
      <c r="I219" s="29" t="n">
        <f aca="false">IF(AND(G219&gt;=-0.0000001,G218&lt;0),1,0)</f>
        <v>0</v>
      </c>
      <c r="J219" s="30" t="str">
        <f aca="false">IF(I219=1,A219-H218,"")</f>
        <v/>
      </c>
      <c r="K219" s="27" t="n">
        <f aca="false">IF(B219="Wednesday",0,C219)</f>
        <v>1755</v>
      </c>
      <c r="L219" s="28" t="n">
        <f aca="false">L218+K219/$T$1*100</f>
        <v>213.51975</v>
      </c>
      <c r="M219" s="28" t="n">
        <f aca="false">MAX(0,MAX($L$2:L219))</f>
        <v>222.4423</v>
      </c>
      <c r="N219" s="28" t="n">
        <f aca="false">L219-M219</f>
        <v>-8.92254999999994</v>
      </c>
      <c r="O219" s="25" t="n">
        <f aca="false">IF(N219&gt;=-0.0000001,A219,O218)</f>
        <v>46090</v>
      </c>
      <c r="P219" s="29" t="n">
        <f aca="false">IF(AND(N219&gt;=-0.0000001,N218&lt;0),1,0)</f>
        <v>0</v>
      </c>
      <c r="Q219" s="30" t="str">
        <f aca="false">IF(P219=1,A219-O218,"")</f>
        <v/>
      </c>
    </row>
    <row r="220" customFormat="false" ht="15" hidden="false" customHeight="false" outlineLevel="0" collapsed="false">
      <c r="A220" s="25" t="n">
        <v>46148</v>
      </c>
      <c r="B220" s="26" t="s">
        <v>81</v>
      </c>
      <c r="C220" s="27" t="n">
        <v>61067.5</v>
      </c>
      <c r="D220" s="28" t="n">
        <f aca="false">C220/$T$1*100</f>
        <v>12.2135</v>
      </c>
      <c r="E220" s="28" t="n">
        <f aca="false">E219+D220</f>
        <v>194.92935</v>
      </c>
      <c r="F220" s="28" t="n">
        <f aca="false">MAX(0,MAX($E$2:E220))</f>
        <v>194.92935</v>
      </c>
      <c r="G220" s="28" t="n">
        <f aca="false">E220-F220</f>
        <v>0</v>
      </c>
      <c r="H220" s="25" t="n">
        <f aca="false">IF(G220&gt;=-0.0000001,A220,H219)</f>
        <v>46148</v>
      </c>
      <c r="I220" s="29" t="n">
        <f aca="false">IF(AND(G220&gt;=-0.0000001,G219&lt;0),1,0)</f>
        <v>1</v>
      </c>
      <c r="J220" s="30" t="n">
        <f aca="false">IF(I220=1,A220-H219,"")</f>
        <v>6</v>
      </c>
      <c r="K220" s="27" t="n">
        <f aca="false">IF(B220="Wednesday",0,C220)</f>
        <v>0</v>
      </c>
      <c r="L220" s="28" t="n">
        <f aca="false">L219+K220/$T$1*100</f>
        <v>213.51975</v>
      </c>
      <c r="M220" s="28" t="n">
        <f aca="false">MAX(0,MAX($L$2:L220))</f>
        <v>222.4423</v>
      </c>
      <c r="N220" s="28" t="n">
        <f aca="false">L220-M220</f>
        <v>-8.92254999999994</v>
      </c>
      <c r="O220" s="25" t="n">
        <f aca="false">IF(N220&gt;=-0.0000001,A220,O219)</f>
        <v>46090</v>
      </c>
      <c r="P220" s="29" t="n">
        <f aca="false">IF(AND(N220&gt;=-0.0000001,N219&lt;0),1,0)</f>
        <v>0</v>
      </c>
      <c r="Q220" s="30" t="str">
        <f aca="false">IF(P220=1,A220-O219,"")</f>
        <v/>
      </c>
    </row>
    <row r="221" customFormat="false" ht="15" hidden="false" customHeight="false" outlineLevel="0" collapsed="false">
      <c r="A221" s="25" t="n">
        <v>46149</v>
      </c>
      <c r="B221" s="26" t="s">
        <v>82</v>
      </c>
      <c r="C221" s="27" t="n">
        <v>-2964</v>
      </c>
      <c r="D221" s="28" t="n">
        <f aca="false">C221/$T$1*100</f>
        <v>-0.5928</v>
      </c>
      <c r="E221" s="28" t="n">
        <f aca="false">E220+D221</f>
        <v>194.33655</v>
      </c>
      <c r="F221" s="28" t="n">
        <f aca="false">MAX(0,MAX($E$2:E221))</f>
        <v>194.92935</v>
      </c>
      <c r="G221" s="28" t="n">
        <f aca="false">E221-F221</f>
        <v>-0.592800000000011</v>
      </c>
      <c r="H221" s="25" t="n">
        <f aca="false">IF(G221&gt;=-0.0000001,A221,H220)</f>
        <v>46148</v>
      </c>
      <c r="I221" s="29" t="n">
        <f aca="false">IF(AND(G221&gt;=-0.0000001,G220&lt;0),1,0)</f>
        <v>0</v>
      </c>
      <c r="J221" s="30" t="str">
        <f aca="false">IF(I221=1,A221-H220,"")</f>
        <v/>
      </c>
      <c r="K221" s="27" t="n">
        <f aca="false">IF(B221="Wednesday",0,C221)</f>
        <v>-2964</v>
      </c>
      <c r="L221" s="28" t="n">
        <f aca="false">L220+K221/$T$1*100</f>
        <v>212.92695</v>
      </c>
      <c r="M221" s="28" t="n">
        <f aca="false">MAX(0,MAX($L$2:L221))</f>
        <v>222.4423</v>
      </c>
      <c r="N221" s="28" t="n">
        <f aca="false">L221-M221</f>
        <v>-9.51534999999996</v>
      </c>
      <c r="O221" s="25" t="n">
        <f aca="false">IF(N221&gt;=-0.0000001,A221,O220)</f>
        <v>46090</v>
      </c>
      <c r="P221" s="29" t="n">
        <f aca="false">IF(AND(N221&gt;=-0.0000001,N220&lt;0),1,0)</f>
        <v>0</v>
      </c>
      <c r="Q221" s="30" t="str">
        <f aca="false">IF(P221=1,A221-O220,"")</f>
        <v/>
      </c>
    </row>
    <row r="222" customFormat="false" ht="15" hidden="false" customHeight="false" outlineLevel="0" collapsed="false">
      <c r="A222" s="25" t="n">
        <v>46150</v>
      </c>
      <c r="B222" s="26" t="s">
        <v>83</v>
      </c>
      <c r="C222" s="27" t="n">
        <v>370.5</v>
      </c>
      <c r="D222" s="28" t="n">
        <f aca="false">C222/$T$1*100</f>
        <v>0.0741</v>
      </c>
      <c r="E222" s="28" t="n">
        <f aca="false">E221+D222</f>
        <v>194.41065</v>
      </c>
      <c r="F222" s="28" t="n">
        <f aca="false">MAX(0,MAX($E$2:E222))</f>
        <v>194.92935</v>
      </c>
      <c r="G222" s="28" t="n">
        <f aca="false">E222-F222</f>
        <v>-0.518700000000024</v>
      </c>
      <c r="H222" s="25" t="n">
        <f aca="false">IF(G222&gt;=-0.0000001,A222,H221)</f>
        <v>46148</v>
      </c>
      <c r="I222" s="29" t="n">
        <f aca="false">IF(AND(G222&gt;=-0.0000001,G221&lt;0),1,0)</f>
        <v>0</v>
      </c>
      <c r="J222" s="30" t="str">
        <f aca="false">IF(I222=1,A222-H221,"")</f>
        <v/>
      </c>
      <c r="K222" s="27" t="n">
        <f aca="false">IF(B222="Wednesday",0,C222)</f>
        <v>370.5</v>
      </c>
      <c r="L222" s="28" t="n">
        <f aca="false">L221+K222/$T$1*100</f>
        <v>213.00105</v>
      </c>
      <c r="M222" s="28" t="n">
        <f aca="false">MAX(0,MAX($L$2:L222))</f>
        <v>222.4423</v>
      </c>
      <c r="N222" s="28" t="n">
        <f aca="false">L222-M222</f>
        <v>-9.44124999999997</v>
      </c>
      <c r="O222" s="25" t="n">
        <f aca="false">IF(N222&gt;=-0.0000001,A222,O221)</f>
        <v>46090</v>
      </c>
      <c r="P222" s="29" t="n">
        <f aca="false">IF(AND(N222&gt;=-0.0000001,N221&lt;0),1,0)</f>
        <v>0</v>
      </c>
      <c r="Q222" s="30" t="str">
        <f aca="false">IF(P222=1,A222-O221,"")</f>
        <v/>
      </c>
    </row>
    <row r="223" customFormat="false" ht="15" hidden="false" customHeight="false" outlineLevel="0" collapsed="false">
      <c r="A223" s="25" t="n">
        <v>46153</v>
      </c>
      <c r="B223" s="26" t="s">
        <v>79</v>
      </c>
      <c r="C223" s="27" t="n">
        <v>-59835.75</v>
      </c>
      <c r="D223" s="28" t="n">
        <f aca="false">C223/$T$1*100</f>
        <v>-11.96715</v>
      </c>
      <c r="E223" s="28" t="n">
        <f aca="false">E222+D223</f>
        <v>182.4435</v>
      </c>
      <c r="F223" s="28" t="n">
        <f aca="false">MAX(0,MAX($E$2:E223))</f>
        <v>194.92935</v>
      </c>
      <c r="G223" s="28" t="n">
        <f aca="false">E223-F223</f>
        <v>-12.48585</v>
      </c>
      <c r="H223" s="25" t="n">
        <f aca="false">IF(G223&gt;=-0.0000001,A223,H222)</f>
        <v>46148</v>
      </c>
      <c r="I223" s="29" t="n">
        <f aca="false">IF(AND(G223&gt;=-0.0000001,G222&lt;0),1,0)</f>
        <v>0</v>
      </c>
      <c r="J223" s="30" t="str">
        <f aca="false">IF(I223=1,A223-H222,"")</f>
        <v/>
      </c>
      <c r="K223" s="27" t="n">
        <f aca="false">IF(B223="Wednesday",0,C223)</f>
        <v>-59835.75</v>
      </c>
      <c r="L223" s="28" t="n">
        <f aca="false">L222+K223/$T$1*100</f>
        <v>201.0339</v>
      </c>
      <c r="M223" s="28" t="n">
        <f aca="false">MAX(0,MAX($L$2:L223))</f>
        <v>222.4423</v>
      </c>
      <c r="N223" s="28" t="n">
        <f aca="false">L223-M223</f>
        <v>-21.4084</v>
      </c>
      <c r="O223" s="25" t="n">
        <f aca="false">IF(N223&gt;=-0.0000001,A223,O222)</f>
        <v>46090</v>
      </c>
      <c r="P223" s="29" t="n">
        <f aca="false">IF(AND(N223&gt;=-0.0000001,N222&lt;0),1,0)</f>
        <v>0</v>
      </c>
      <c r="Q223" s="30" t="str">
        <f aca="false">IF(P223=1,A223-O222,"")</f>
        <v/>
      </c>
    </row>
    <row r="224" customFormat="false" ht="15" hidden="false" customHeight="false" outlineLevel="0" collapsed="false">
      <c r="A224" s="25" t="n">
        <v>46154</v>
      </c>
      <c r="B224" s="26" t="s">
        <v>80</v>
      </c>
      <c r="C224" s="27" t="n">
        <v>212439.5</v>
      </c>
      <c r="D224" s="28" t="n">
        <f aca="false">C224/$T$1*100</f>
        <v>42.4879</v>
      </c>
      <c r="E224" s="28" t="n">
        <f aca="false">E223+D224</f>
        <v>224.9314</v>
      </c>
      <c r="F224" s="28" t="n">
        <f aca="false">MAX(0,MAX($E$2:E224))</f>
        <v>224.9314</v>
      </c>
      <c r="G224" s="28" t="n">
        <f aca="false">E224-F224</f>
        <v>0</v>
      </c>
      <c r="H224" s="25" t="n">
        <f aca="false">IF(G224&gt;=-0.0000001,A224,H223)</f>
        <v>46154</v>
      </c>
      <c r="I224" s="29" t="n">
        <f aca="false">IF(AND(G224&gt;=-0.0000001,G223&lt;0),1,0)</f>
        <v>1</v>
      </c>
      <c r="J224" s="30" t="n">
        <f aca="false">IF(I224=1,A224-H223,"")</f>
        <v>6</v>
      </c>
      <c r="K224" s="27" t="n">
        <f aca="false">IF(B224="Wednesday",0,C224)</f>
        <v>212439.5</v>
      </c>
      <c r="L224" s="28" t="n">
        <f aca="false">L223+K224/$T$1*100</f>
        <v>243.5218</v>
      </c>
      <c r="M224" s="28" t="n">
        <f aca="false">MAX(0,MAX($L$2:L224))</f>
        <v>243.5218</v>
      </c>
      <c r="N224" s="28" t="n">
        <f aca="false">L224-M224</f>
        <v>0</v>
      </c>
      <c r="O224" s="25" t="n">
        <f aca="false">IF(N224&gt;=-0.0000001,A224,O223)</f>
        <v>46154</v>
      </c>
      <c r="P224" s="29" t="n">
        <f aca="false">IF(AND(N224&gt;=-0.0000001,N223&lt;0),1,0)</f>
        <v>1</v>
      </c>
      <c r="Q224" s="30" t="n">
        <f aca="false">IF(P224=1,A224-O223,"")</f>
        <v>64</v>
      </c>
    </row>
    <row r="225" customFormat="false" ht="15" hidden="false" customHeight="false" outlineLevel="0" collapsed="false">
      <c r="A225" s="25" t="n">
        <v>46155</v>
      </c>
      <c r="B225" s="26" t="s">
        <v>81</v>
      </c>
      <c r="C225" s="27" t="n">
        <v>-6370</v>
      </c>
      <c r="D225" s="28" t="n">
        <f aca="false">C225/$T$1*100</f>
        <v>-1.274</v>
      </c>
      <c r="E225" s="28" t="n">
        <f aca="false">E224+D225</f>
        <v>223.6574</v>
      </c>
      <c r="F225" s="28" t="n">
        <f aca="false">MAX(0,MAX($E$2:E225))</f>
        <v>224.9314</v>
      </c>
      <c r="G225" s="28" t="n">
        <f aca="false">E225-F225</f>
        <v>-1.274</v>
      </c>
      <c r="H225" s="25" t="n">
        <f aca="false">IF(G225&gt;=-0.0000001,A225,H224)</f>
        <v>46154</v>
      </c>
      <c r="I225" s="29" t="n">
        <f aca="false">IF(AND(G225&gt;=-0.0000001,G224&lt;0),1,0)</f>
        <v>0</v>
      </c>
      <c r="J225" s="30" t="str">
        <f aca="false">IF(I225=1,A225-H224,"")</f>
        <v/>
      </c>
      <c r="K225" s="27" t="n">
        <f aca="false">IF(B225="Wednesday",0,C225)</f>
        <v>0</v>
      </c>
      <c r="L225" s="28" t="n">
        <f aca="false">L224+K225/$T$1*100</f>
        <v>243.5218</v>
      </c>
      <c r="M225" s="28" t="n">
        <f aca="false">MAX(0,MAX($L$2:L225))</f>
        <v>243.5218</v>
      </c>
      <c r="N225" s="28" t="n">
        <f aca="false">L225-M225</f>
        <v>0</v>
      </c>
      <c r="O225" s="25" t="n">
        <f aca="false">IF(N225&gt;=-0.0000001,A225,O224)</f>
        <v>46155</v>
      </c>
      <c r="P225" s="29" t="n">
        <f aca="false">IF(AND(N225&gt;=-0.0000001,N224&lt;0),1,0)</f>
        <v>0</v>
      </c>
      <c r="Q225" s="30" t="str">
        <f aca="false">IF(P225=1,A225-O224,"")</f>
        <v/>
      </c>
    </row>
    <row r="226" customFormat="false" ht="15" hidden="false" customHeight="false" outlineLevel="0" collapsed="false">
      <c r="A226" s="25" t="n">
        <v>46156</v>
      </c>
      <c r="B226" s="26" t="s">
        <v>82</v>
      </c>
      <c r="C226" s="27" t="n">
        <v>46332</v>
      </c>
      <c r="D226" s="28" t="n">
        <f aca="false">C226/$T$1*100</f>
        <v>9.2664</v>
      </c>
      <c r="E226" s="28" t="n">
        <f aca="false">E225+D226</f>
        <v>232.9238</v>
      </c>
      <c r="F226" s="28" t="n">
        <f aca="false">MAX(0,MAX($E$2:E226))</f>
        <v>232.9238</v>
      </c>
      <c r="G226" s="28" t="n">
        <f aca="false">E226-F226</f>
        <v>0</v>
      </c>
      <c r="H226" s="25" t="n">
        <f aca="false">IF(G226&gt;=-0.0000001,A226,H225)</f>
        <v>46156</v>
      </c>
      <c r="I226" s="29" t="n">
        <f aca="false">IF(AND(G226&gt;=-0.0000001,G225&lt;0),1,0)</f>
        <v>1</v>
      </c>
      <c r="J226" s="30" t="n">
        <f aca="false">IF(I226=1,A226-H225,"")</f>
        <v>2</v>
      </c>
      <c r="K226" s="27" t="n">
        <f aca="false">IF(B226="Wednesday",0,C226)</f>
        <v>46332</v>
      </c>
      <c r="L226" s="28" t="n">
        <f aca="false">L225+K226/$T$1*100</f>
        <v>252.7882</v>
      </c>
      <c r="M226" s="28" t="n">
        <f aca="false">MAX(0,MAX($L$2:L226))</f>
        <v>252.7882</v>
      </c>
      <c r="N226" s="28" t="n">
        <f aca="false">L226-M226</f>
        <v>0</v>
      </c>
      <c r="O226" s="25" t="n">
        <f aca="false">IF(N226&gt;=-0.0000001,A226,O225)</f>
        <v>46156</v>
      </c>
      <c r="P226" s="29" t="n">
        <f aca="false">IF(AND(N226&gt;=-0.0000001,N225&lt;0),1,0)</f>
        <v>0</v>
      </c>
      <c r="Q226" s="30" t="str">
        <f aca="false">IF(P226=1,A226-O225,"")</f>
        <v/>
      </c>
    </row>
    <row r="227" customFormat="false" ht="15" hidden="false" customHeight="false" outlineLevel="0" collapsed="false">
      <c r="A227" s="25" t="n">
        <v>46157</v>
      </c>
      <c r="B227" s="26" t="s">
        <v>83</v>
      </c>
      <c r="C227" s="27" t="n">
        <v>-25818</v>
      </c>
      <c r="D227" s="28" t="n">
        <f aca="false">C227/$T$1*100</f>
        <v>-5.1636</v>
      </c>
      <c r="E227" s="28" t="n">
        <f aca="false">E226+D227</f>
        <v>227.7602</v>
      </c>
      <c r="F227" s="28" t="n">
        <f aca="false">MAX(0,MAX($E$2:E227))</f>
        <v>232.9238</v>
      </c>
      <c r="G227" s="28" t="n">
        <f aca="false">E227-F227</f>
        <v>-5.1636</v>
      </c>
      <c r="H227" s="25" t="n">
        <f aca="false">IF(G227&gt;=-0.0000001,A227,H226)</f>
        <v>46156</v>
      </c>
      <c r="I227" s="29" t="n">
        <f aca="false">IF(AND(G227&gt;=-0.0000001,G226&lt;0),1,0)</f>
        <v>0</v>
      </c>
      <c r="J227" s="30" t="str">
        <f aca="false">IF(I227=1,A227-H226,"")</f>
        <v/>
      </c>
      <c r="K227" s="27" t="n">
        <f aca="false">IF(B227="Wednesday",0,C227)</f>
        <v>-25818</v>
      </c>
      <c r="L227" s="28" t="n">
        <f aca="false">L226+K227/$T$1*100</f>
        <v>247.6246</v>
      </c>
      <c r="M227" s="28" t="n">
        <f aca="false">MAX(0,MAX($L$2:L227))</f>
        <v>252.7882</v>
      </c>
      <c r="N227" s="28" t="n">
        <f aca="false">L227-M227</f>
        <v>-5.1636</v>
      </c>
      <c r="O227" s="25" t="n">
        <f aca="false">IF(N227&gt;=-0.0000001,A227,O226)</f>
        <v>46156</v>
      </c>
      <c r="P227" s="29" t="n">
        <f aca="false">IF(AND(N227&gt;=-0.0000001,N226&lt;0),1,0)</f>
        <v>0</v>
      </c>
      <c r="Q227" s="30" t="str">
        <f aca="false">IF(P227=1,A227-O226,"")</f>
        <v/>
      </c>
    </row>
    <row r="228" customFormat="false" ht="15" hidden="false" customHeight="false" outlineLevel="0" collapsed="false">
      <c r="A228" s="25" t="n">
        <v>46160</v>
      </c>
      <c r="B228" s="26" t="s">
        <v>79</v>
      </c>
      <c r="C228" s="27" t="n">
        <v>-21710</v>
      </c>
      <c r="D228" s="28" t="n">
        <f aca="false">C228/$T$1*100</f>
        <v>-4.342</v>
      </c>
      <c r="E228" s="28" t="n">
        <f aca="false">E227+D228</f>
        <v>223.4182</v>
      </c>
      <c r="F228" s="28" t="n">
        <f aca="false">MAX(0,MAX($E$2:E228))</f>
        <v>232.9238</v>
      </c>
      <c r="G228" s="28" t="n">
        <f aca="false">E228-F228</f>
        <v>-9.50560000000002</v>
      </c>
      <c r="H228" s="25" t="n">
        <f aca="false">IF(G228&gt;=-0.0000001,A228,H227)</f>
        <v>46156</v>
      </c>
      <c r="I228" s="29" t="n">
        <f aca="false">IF(AND(G228&gt;=-0.0000001,G227&lt;0),1,0)</f>
        <v>0</v>
      </c>
      <c r="J228" s="30" t="str">
        <f aca="false">IF(I228=1,A228-H227,"")</f>
        <v/>
      </c>
      <c r="K228" s="27" t="n">
        <f aca="false">IF(B228="Wednesday",0,C228)</f>
        <v>-21710</v>
      </c>
      <c r="L228" s="28" t="n">
        <f aca="false">L227+K228/$T$1*100</f>
        <v>243.2826</v>
      </c>
      <c r="M228" s="28" t="n">
        <f aca="false">MAX(0,MAX($L$2:L228))</f>
        <v>252.7882</v>
      </c>
      <c r="N228" s="28" t="n">
        <f aca="false">L228-M228</f>
        <v>-9.50560000000002</v>
      </c>
      <c r="O228" s="25" t="n">
        <f aca="false">IF(N228&gt;=-0.0000001,A228,O227)</f>
        <v>46156</v>
      </c>
      <c r="P228" s="29" t="n">
        <f aca="false">IF(AND(N228&gt;=-0.0000001,N227&lt;0),1,0)</f>
        <v>0</v>
      </c>
      <c r="Q228" s="30" t="str">
        <f aca="false">IF(P228=1,A228-O227,"")</f>
        <v/>
      </c>
    </row>
    <row r="229" customFormat="false" ht="15" hidden="false" customHeight="false" outlineLevel="0" collapsed="false">
      <c r="A229" s="25" t="n">
        <v>46161</v>
      </c>
      <c r="B229" s="26" t="s">
        <v>80</v>
      </c>
      <c r="C229" s="27" t="n">
        <v>-29172</v>
      </c>
      <c r="D229" s="28" t="n">
        <f aca="false">C229/$T$1*100</f>
        <v>-5.8344</v>
      </c>
      <c r="E229" s="28" t="n">
        <f aca="false">E228+D229</f>
        <v>217.5838</v>
      </c>
      <c r="F229" s="28" t="n">
        <f aca="false">MAX(0,MAX($E$2:E229))</f>
        <v>232.9238</v>
      </c>
      <c r="G229" s="28" t="n">
        <f aca="false">E229-F229</f>
        <v>-15.34</v>
      </c>
      <c r="H229" s="25" t="n">
        <f aca="false">IF(G229&gt;=-0.0000001,A229,H228)</f>
        <v>46156</v>
      </c>
      <c r="I229" s="29" t="n">
        <f aca="false">IF(AND(G229&gt;=-0.0000001,G228&lt;0),1,0)</f>
        <v>0</v>
      </c>
      <c r="J229" s="30" t="str">
        <f aca="false">IF(I229=1,A229-H228,"")</f>
        <v/>
      </c>
      <c r="K229" s="27" t="n">
        <f aca="false">IF(B229="Wednesday",0,C229)</f>
        <v>-29172</v>
      </c>
      <c r="L229" s="28" t="n">
        <f aca="false">L228+K229/$T$1*100</f>
        <v>237.4482</v>
      </c>
      <c r="M229" s="28" t="n">
        <f aca="false">MAX(0,MAX($L$2:L229))</f>
        <v>252.7882</v>
      </c>
      <c r="N229" s="28" t="n">
        <f aca="false">L229-M229</f>
        <v>-15.34</v>
      </c>
      <c r="O229" s="25" t="n">
        <f aca="false">IF(N229&gt;=-0.0000001,A229,O228)</f>
        <v>46156</v>
      </c>
      <c r="P229" s="29" t="n">
        <f aca="false">IF(AND(N229&gt;=-0.0000001,N228&lt;0),1,0)</f>
        <v>0</v>
      </c>
      <c r="Q229" s="30" t="str">
        <f aca="false">IF(P229=1,A229-O228,"")</f>
        <v/>
      </c>
    </row>
    <row r="230" customFormat="false" ht="15" hidden="false" customHeight="false" outlineLevel="0" collapsed="false">
      <c r="A230" s="25" t="n">
        <v>46162</v>
      </c>
      <c r="B230" s="26" t="s">
        <v>81</v>
      </c>
      <c r="C230" s="27" t="n">
        <v>24651.25</v>
      </c>
      <c r="D230" s="28" t="n">
        <f aca="false">C230/$T$1*100</f>
        <v>4.93025</v>
      </c>
      <c r="E230" s="28" t="n">
        <f aca="false">E229+D230</f>
        <v>222.51405</v>
      </c>
      <c r="F230" s="28" t="n">
        <f aca="false">MAX(0,MAX($E$2:E230))</f>
        <v>232.9238</v>
      </c>
      <c r="G230" s="28" t="n">
        <f aca="false">E230-F230</f>
        <v>-10.40975</v>
      </c>
      <c r="H230" s="25" t="n">
        <f aca="false">IF(G230&gt;=-0.0000001,A230,H229)</f>
        <v>46156</v>
      </c>
      <c r="I230" s="29" t="n">
        <f aca="false">IF(AND(G230&gt;=-0.0000001,G229&lt;0),1,0)</f>
        <v>0</v>
      </c>
      <c r="J230" s="30" t="str">
        <f aca="false">IF(I230=1,A230-H229,"")</f>
        <v/>
      </c>
      <c r="K230" s="27" t="n">
        <f aca="false">IF(B230="Wednesday",0,C230)</f>
        <v>0</v>
      </c>
      <c r="L230" s="28" t="n">
        <f aca="false">L229+K230/$T$1*100</f>
        <v>237.4482</v>
      </c>
      <c r="M230" s="28" t="n">
        <f aca="false">MAX(0,MAX($L$2:L230))</f>
        <v>252.7882</v>
      </c>
      <c r="N230" s="28" t="n">
        <f aca="false">L230-M230</f>
        <v>-15.34</v>
      </c>
      <c r="O230" s="25" t="n">
        <f aca="false">IF(N230&gt;=-0.0000001,A230,O229)</f>
        <v>46156</v>
      </c>
      <c r="P230" s="29" t="n">
        <f aca="false">IF(AND(N230&gt;=-0.0000001,N229&lt;0),1,0)</f>
        <v>0</v>
      </c>
      <c r="Q230" s="30" t="str">
        <f aca="false">IF(P230=1,A230-O229,"")</f>
        <v/>
      </c>
    </row>
    <row r="231" customFormat="false" ht="15" hidden="false" customHeight="false" outlineLevel="0" collapsed="false">
      <c r="A231" s="25" t="n">
        <v>46163</v>
      </c>
      <c r="B231" s="26" t="s">
        <v>82</v>
      </c>
      <c r="C231" s="27" t="n">
        <v>-14527.5</v>
      </c>
      <c r="D231" s="28" t="n">
        <f aca="false">C231/$T$1*100</f>
        <v>-2.9055</v>
      </c>
      <c r="E231" s="28" t="n">
        <f aca="false">E230+D231</f>
        <v>219.60855</v>
      </c>
      <c r="F231" s="28" t="n">
        <f aca="false">MAX(0,MAX($E$2:E231))</f>
        <v>232.9238</v>
      </c>
      <c r="G231" s="28" t="n">
        <f aca="false">E231-F231</f>
        <v>-13.31525</v>
      </c>
      <c r="H231" s="25" t="n">
        <f aca="false">IF(G231&gt;=-0.0000001,A231,H230)</f>
        <v>46156</v>
      </c>
      <c r="I231" s="29" t="n">
        <f aca="false">IF(AND(G231&gt;=-0.0000001,G230&lt;0),1,0)</f>
        <v>0</v>
      </c>
      <c r="J231" s="30" t="str">
        <f aca="false">IF(I231=1,A231-H230,"")</f>
        <v/>
      </c>
      <c r="K231" s="27" t="n">
        <f aca="false">IF(B231="Wednesday",0,C231)</f>
        <v>-14527.5</v>
      </c>
      <c r="L231" s="28" t="n">
        <f aca="false">L230+K231/$T$1*100</f>
        <v>234.5427</v>
      </c>
      <c r="M231" s="28" t="n">
        <f aca="false">MAX(0,MAX($L$2:L231))</f>
        <v>252.7882</v>
      </c>
      <c r="N231" s="28" t="n">
        <f aca="false">L231-M231</f>
        <v>-18.2455</v>
      </c>
      <c r="O231" s="25" t="n">
        <f aca="false">IF(N231&gt;=-0.0000001,A231,O230)</f>
        <v>46156</v>
      </c>
      <c r="P231" s="29" t="n">
        <f aca="false">IF(AND(N231&gt;=-0.0000001,N230&lt;0),1,0)</f>
        <v>0</v>
      </c>
      <c r="Q231" s="30" t="str">
        <f aca="false">IF(P231=1,A231-O230,"")</f>
        <v/>
      </c>
    </row>
    <row r="232" customFormat="false" ht="15" hidden="false" customHeight="false" outlineLevel="0" collapsed="false">
      <c r="A232" s="25" t="n">
        <v>46164</v>
      </c>
      <c r="B232" s="26" t="s">
        <v>83</v>
      </c>
      <c r="C232" s="27" t="n">
        <v>18245.5</v>
      </c>
      <c r="D232" s="28" t="n">
        <f aca="false">C232/$T$1*100</f>
        <v>3.6491</v>
      </c>
      <c r="E232" s="28" t="n">
        <f aca="false">E231+D232</f>
        <v>223.25765</v>
      </c>
      <c r="F232" s="28" t="n">
        <f aca="false">MAX(0,MAX($E$2:E232))</f>
        <v>232.9238</v>
      </c>
      <c r="G232" s="28" t="n">
        <f aca="false">E232-F232</f>
        <v>-9.66614999999999</v>
      </c>
      <c r="H232" s="25" t="n">
        <f aca="false">IF(G232&gt;=-0.0000001,A232,H231)</f>
        <v>46156</v>
      </c>
      <c r="I232" s="29" t="n">
        <f aca="false">IF(AND(G232&gt;=-0.0000001,G231&lt;0),1,0)</f>
        <v>0</v>
      </c>
      <c r="J232" s="30" t="str">
        <f aca="false">IF(I232=1,A232-H231,"")</f>
        <v/>
      </c>
      <c r="K232" s="27" t="n">
        <f aca="false">IF(B232="Wednesday",0,C232)</f>
        <v>18245.5</v>
      </c>
      <c r="L232" s="28" t="n">
        <f aca="false">L231+K232/$T$1*100</f>
        <v>238.1918</v>
      </c>
      <c r="M232" s="28" t="n">
        <f aca="false">MAX(0,MAX($L$2:L232))</f>
        <v>252.7882</v>
      </c>
      <c r="N232" s="28" t="n">
        <f aca="false">L232-M232</f>
        <v>-14.5964</v>
      </c>
      <c r="O232" s="25" t="n">
        <f aca="false">IF(N232&gt;=-0.0000001,A232,O231)</f>
        <v>46156</v>
      </c>
      <c r="P232" s="29" t="n">
        <f aca="false">IF(AND(N232&gt;=-0.0000001,N231&lt;0),1,0)</f>
        <v>0</v>
      </c>
      <c r="Q232" s="30" t="str">
        <f aca="false">IF(P232=1,A232-O231,"")</f>
        <v/>
      </c>
    </row>
    <row r="233" customFormat="false" ht="15" hidden="false" customHeight="false" outlineLevel="0" collapsed="false">
      <c r="A233" s="25" t="n">
        <v>46167</v>
      </c>
      <c r="B233" s="26" t="s">
        <v>79</v>
      </c>
      <c r="C233" s="27" t="n">
        <v>-28847</v>
      </c>
      <c r="D233" s="28" t="n">
        <f aca="false">C233/$T$1*100</f>
        <v>-5.7694</v>
      </c>
      <c r="E233" s="28" t="n">
        <f aca="false">E232+D233</f>
        <v>217.48825</v>
      </c>
      <c r="F233" s="28" t="n">
        <f aca="false">MAX(0,MAX($E$2:E233))</f>
        <v>232.9238</v>
      </c>
      <c r="G233" s="28" t="n">
        <f aca="false">E233-F233</f>
        <v>-15.43555</v>
      </c>
      <c r="H233" s="25" t="n">
        <f aca="false">IF(G233&gt;=-0.0000001,A233,H232)</f>
        <v>46156</v>
      </c>
      <c r="I233" s="29" t="n">
        <f aca="false">IF(AND(G233&gt;=-0.0000001,G232&lt;0),1,0)</f>
        <v>0</v>
      </c>
      <c r="J233" s="30" t="str">
        <f aca="false">IF(I233=1,A233-H232,"")</f>
        <v/>
      </c>
      <c r="K233" s="27" t="n">
        <f aca="false">IF(B233="Wednesday",0,C233)</f>
        <v>-28847</v>
      </c>
      <c r="L233" s="28" t="n">
        <f aca="false">L232+K233/$T$1*100</f>
        <v>232.4224</v>
      </c>
      <c r="M233" s="28" t="n">
        <f aca="false">MAX(0,MAX($L$2:L233))</f>
        <v>252.7882</v>
      </c>
      <c r="N233" s="28" t="n">
        <f aca="false">L233-M233</f>
        <v>-20.3658</v>
      </c>
      <c r="O233" s="25" t="n">
        <f aca="false">IF(N233&gt;=-0.0000001,A233,O232)</f>
        <v>46156</v>
      </c>
      <c r="P233" s="29" t="n">
        <f aca="false">IF(AND(N233&gt;=-0.0000001,N232&lt;0),1,0)</f>
        <v>0</v>
      </c>
      <c r="Q233" s="30" t="str">
        <f aca="false">IF(P233=1,A233-O232,"")</f>
        <v/>
      </c>
    </row>
    <row r="234" customFormat="false" ht="15" hidden="false" customHeight="false" outlineLevel="0" collapsed="false">
      <c r="A234" s="25" t="n">
        <v>46168</v>
      </c>
      <c r="B234" s="26" t="s">
        <v>80</v>
      </c>
      <c r="C234" s="27" t="n">
        <v>182</v>
      </c>
      <c r="D234" s="28" t="n">
        <f aca="false">C234/$T$1*100</f>
        <v>0.0364</v>
      </c>
      <c r="E234" s="28" t="n">
        <f aca="false">E233+D234</f>
        <v>217.52465</v>
      </c>
      <c r="F234" s="28" t="n">
        <f aca="false">MAX(0,MAX($E$2:E234))</f>
        <v>232.9238</v>
      </c>
      <c r="G234" s="28" t="n">
        <f aca="false">E234-F234</f>
        <v>-15.39915</v>
      </c>
      <c r="H234" s="25" t="n">
        <f aca="false">IF(G234&gt;=-0.0000001,A234,H233)</f>
        <v>46156</v>
      </c>
      <c r="I234" s="29" t="n">
        <f aca="false">IF(AND(G234&gt;=-0.0000001,G233&lt;0),1,0)</f>
        <v>0</v>
      </c>
      <c r="J234" s="30" t="str">
        <f aca="false">IF(I234=1,A234-H233,"")</f>
        <v/>
      </c>
      <c r="K234" s="27" t="n">
        <f aca="false">IF(B234="Wednesday",0,C234)</f>
        <v>182</v>
      </c>
      <c r="L234" s="28" t="n">
        <f aca="false">L233+K234/$T$1*100</f>
        <v>232.4588</v>
      </c>
      <c r="M234" s="28" t="n">
        <f aca="false">MAX(0,MAX($L$2:L234))</f>
        <v>252.7882</v>
      </c>
      <c r="N234" s="28" t="n">
        <f aca="false">L234-M234</f>
        <v>-20.3294</v>
      </c>
      <c r="O234" s="25" t="n">
        <f aca="false">IF(N234&gt;=-0.0000001,A234,O233)</f>
        <v>46156</v>
      </c>
      <c r="P234" s="29" t="n">
        <f aca="false">IF(AND(N234&gt;=-0.0000001,N233&lt;0),1,0)</f>
        <v>0</v>
      </c>
      <c r="Q234" s="30" t="str">
        <f aca="false">IF(P234=1,A234-O233,"")</f>
        <v/>
      </c>
    </row>
    <row r="235" customFormat="false" ht="15" hidden="false" customHeight="false" outlineLevel="0" collapsed="false">
      <c r="A235" s="25" t="n">
        <v>46169</v>
      </c>
      <c r="B235" s="26" t="s">
        <v>81</v>
      </c>
      <c r="C235" s="27" t="n">
        <v>-13572</v>
      </c>
      <c r="D235" s="28" t="n">
        <f aca="false">C235/$T$1*100</f>
        <v>-2.7144</v>
      </c>
      <c r="E235" s="28" t="n">
        <f aca="false">E234+D235</f>
        <v>214.81025</v>
      </c>
      <c r="F235" s="28" t="n">
        <f aca="false">MAX(0,MAX($E$2:E235))</f>
        <v>232.9238</v>
      </c>
      <c r="G235" s="28" t="n">
        <f aca="false">E235-F235</f>
        <v>-18.11355</v>
      </c>
      <c r="H235" s="25" t="n">
        <f aca="false">IF(G235&gt;=-0.0000001,A235,H234)</f>
        <v>46156</v>
      </c>
      <c r="I235" s="29" t="n">
        <f aca="false">IF(AND(G235&gt;=-0.0000001,G234&lt;0),1,0)</f>
        <v>0</v>
      </c>
      <c r="J235" s="30" t="str">
        <f aca="false">IF(I235=1,A235-H234,"")</f>
        <v/>
      </c>
      <c r="K235" s="27" t="n">
        <f aca="false">IF(B235="Wednesday",0,C235)</f>
        <v>0</v>
      </c>
      <c r="L235" s="28" t="n">
        <f aca="false">L234+K235/$T$1*100</f>
        <v>232.4588</v>
      </c>
      <c r="M235" s="28" t="n">
        <f aca="false">MAX(0,MAX($L$2:L235))</f>
        <v>252.7882</v>
      </c>
      <c r="N235" s="28" t="n">
        <f aca="false">L235-M235</f>
        <v>-20.3294</v>
      </c>
      <c r="O235" s="25" t="n">
        <f aca="false">IF(N235&gt;=-0.0000001,A235,O234)</f>
        <v>46156</v>
      </c>
      <c r="P235" s="29" t="n">
        <f aca="false">IF(AND(N235&gt;=-0.0000001,N234&lt;0),1,0)</f>
        <v>0</v>
      </c>
      <c r="Q235" s="30" t="str">
        <f aca="false">IF(P235=1,A235-O234,"")</f>
        <v/>
      </c>
    </row>
    <row r="236" customFormat="false" ht="15" hidden="false" customHeight="false" outlineLevel="0" collapsed="false">
      <c r="A236" s="25" t="n">
        <v>46171</v>
      </c>
      <c r="B236" s="26" t="s">
        <v>83</v>
      </c>
      <c r="C236" s="27" t="n">
        <v>-41336.75</v>
      </c>
      <c r="D236" s="28" t="n">
        <f aca="false">C236/$T$1*100</f>
        <v>-8.26735</v>
      </c>
      <c r="E236" s="28" t="n">
        <f aca="false">E235+D236</f>
        <v>206.5429</v>
      </c>
      <c r="F236" s="28" t="n">
        <f aca="false">MAX(0,MAX($E$2:E236))</f>
        <v>232.9238</v>
      </c>
      <c r="G236" s="28" t="n">
        <f aca="false">E236-F236</f>
        <v>-26.3809</v>
      </c>
      <c r="H236" s="25" t="n">
        <f aca="false">IF(G236&gt;=-0.0000001,A236,H235)</f>
        <v>46156</v>
      </c>
      <c r="I236" s="29" t="n">
        <f aca="false">IF(AND(G236&gt;=-0.0000001,G235&lt;0),1,0)</f>
        <v>0</v>
      </c>
      <c r="J236" s="30" t="str">
        <f aca="false">IF(I236=1,A236-H235,"")</f>
        <v/>
      </c>
      <c r="K236" s="27" t="n">
        <f aca="false">IF(B236="Wednesday",0,C236)</f>
        <v>-41336.75</v>
      </c>
      <c r="L236" s="28" t="n">
        <f aca="false">L235+K236/$T$1*100</f>
        <v>224.19145</v>
      </c>
      <c r="M236" s="28" t="n">
        <f aca="false">MAX(0,MAX($L$2:L236))</f>
        <v>252.7882</v>
      </c>
      <c r="N236" s="28" t="n">
        <f aca="false">L236-M236</f>
        <v>-28.59675</v>
      </c>
      <c r="O236" s="25" t="n">
        <f aca="false">IF(N236&gt;=-0.0000001,A236,O235)</f>
        <v>46156</v>
      </c>
      <c r="P236" s="29" t="n">
        <f aca="false">IF(AND(N236&gt;=-0.0000001,N235&lt;0),1,0)</f>
        <v>0</v>
      </c>
      <c r="Q236" s="30" t="str">
        <f aca="false">IF(P236=1,A236-O235,"")</f>
        <v/>
      </c>
    </row>
    <row r="237" customFormat="false" ht="15" hidden="false" customHeight="false" outlineLevel="0" collapsed="false">
      <c r="A237" s="25" t="n">
        <v>46174</v>
      </c>
      <c r="B237" s="26" t="s">
        <v>79</v>
      </c>
      <c r="C237" s="27" t="n">
        <v>66228.5</v>
      </c>
      <c r="D237" s="28" t="n">
        <f aca="false">C237/$T$1*100</f>
        <v>13.2457</v>
      </c>
      <c r="E237" s="28" t="n">
        <f aca="false">E236+D237</f>
        <v>219.7886</v>
      </c>
      <c r="F237" s="28" t="n">
        <f aca="false">MAX(0,MAX($E$2:E237))</f>
        <v>232.9238</v>
      </c>
      <c r="G237" s="28" t="n">
        <f aca="false">E237-F237</f>
        <v>-13.1352</v>
      </c>
      <c r="H237" s="25" t="n">
        <f aca="false">IF(G237&gt;=-0.0000001,A237,H236)</f>
        <v>46156</v>
      </c>
      <c r="I237" s="29" t="n">
        <f aca="false">IF(AND(G237&gt;=-0.0000001,G236&lt;0),1,0)</f>
        <v>0</v>
      </c>
      <c r="J237" s="30" t="str">
        <f aca="false">IF(I237=1,A237-H236,"")</f>
        <v/>
      </c>
      <c r="K237" s="27" t="n">
        <f aca="false">IF(B237="Wednesday",0,C237)</f>
        <v>66228.5</v>
      </c>
      <c r="L237" s="28" t="n">
        <f aca="false">L236+K237/$T$1*100</f>
        <v>237.43715</v>
      </c>
      <c r="M237" s="28" t="n">
        <f aca="false">MAX(0,MAX($L$2:L237))</f>
        <v>252.7882</v>
      </c>
      <c r="N237" s="28" t="n">
        <f aca="false">L237-M237</f>
        <v>-15.35105</v>
      </c>
      <c r="O237" s="25" t="n">
        <f aca="false">IF(N237&gt;=-0.0000001,A237,O236)</f>
        <v>46156</v>
      </c>
      <c r="P237" s="29" t="n">
        <f aca="false">IF(AND(N237&gt;=-0.0000001,N236&lt;0),1,0)</f>
        <v>0</v>
      </c>
      <c r="Q237" s="30" t="str">
        <f aca="false">IF(P237=1,A237-O236,"")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1600000</v>
      </c>
    </row>
    <row r="2" customFormat="false" ht="15" hidden="false" customHeight="false" outlineLevel="0" collapsed="false">
      <c r="A2" s="25" t="n">
        <v>45814</v>
      </c>
      <c r="B2" s="26" t="s">
        <v>83</v>
      </c>
      <c r="C2" s="27" t="n">
        <v>-30582.33</v>
      </c>
      <c r="D2" s="28" t="n">
        <f aca="false">C2/$T$1*100</f>
        <v>-1.911395625</v>
      </c>
      <c r="E2" s="28" t="n">
        <f aca="false">D2</f>
        <v>-1.911395625</v>
      </c>
      <c r="F2" s="28" t="n">
        <f aca="false">MAX(0,MAX($E$2:E2))</f>
        <v>0</v>
      </c>
      <c r="G2" s="28" t="n">
        <f aca="false">E2-F2</f>
        <v>-1.911395625</v>
      </c>
      <c r="H2" s="25" t="n">
        <f aca="false">IF(G2&gt;=-0.0000001,A2,A2)</f>
        <v>45814</v>
      </c>
      <c r="I2" s="29" t="n">
        <v>0</v>
      </c>
      <c r="J2" s="30"/>
      <c r="K2" s="27" t="n">
        <f aca="false">IF(B2="Wednesday",0,C2)</f>
        <v>-30582.33</v>
      </c>
      <c r="L2" s="28" t="n">
        <f aca="false">K2/$T$1*100</f>
        <v>-1.911395625</v>
      </c>
      <c r="M2" s="28" t="n">
        <f aca="false">MAX(0,MAX($L$2:L2))</f>
        <v>0</v>
      </c>
      <c r="N2" s="28" t="n">
        <f aca="false">L2-M2</f>
        <v>-1.911395625</v>
      </c>
      <c r="O2" s="25" t="n">
        <f aca="false">IF(N2&gt;=-0.0000001,A2,A2)</f>
        <v>45814</v>
      </c>
      <c r="P2" s="29" t="n">
        <v>0</v>
      </c>
      <c r="Q2" s="30"/>
      <c r="S2" s="23" t="s">
        <v>108</v>
      </c>
      <c r="T2" s="31" t="n">
        <f aca="false">MAX(A2:A233)</f>
        <v>46174</v>
      </c>
    </row>
    <row r="3" customFormat="false" ht="15" hidden="false" customHeight="false" outlineLevel="0" collapsed="false">
      <c r="A3" s="25" t="n">
        <v>45817</v>
      </c>
      <c r="B3" s="26" t="s">
        <v>79</v>
      </c>
      <c r="C3" s="27" t="n">
        <v>36146.06</v>
      </c>
      <c r="D3" s="28" t="n">
        <f aca="false">C3/$T$1*100</f>
        <v>2.25912875</v>
      </c>
      <c r="E3" s="28" t="n">
        <f aca="false">E2+D3</f>
        <v>0.347733125</v>
      </c>
      <c r="F3" s="28" t="n">
        <f aca="false">MAX(0,MAX($E$2:E3))</f>
        <v>0.347733125</v>
      </c>
      <c r="G3" s="28" t="n">
        <f aca="false">E3-F3</f>
        <v>0</v>
      </c>
      <c r="H3" s="25" t="n">
        <f aca="false">IF(G3&gt;=-0.0000001,A3,H2)</f>
        <v>45817</v>
      </c>
      <c r="I3" s="29" t="n">
        <f aca="false">IF(AND(G3&gt;=-0.0000001,G2&lt;0),1,0)</f>
        <v>1</v>
      </c>
      <c r="J3" s="30" t="n">
        <f aca="false">IF(I3=1,A3-H2,"")</f>
        <v>3</v>
      </c>
      <c r="K3" s="27" t="n">
        <f aca="false">IF(B3="Wednesday",0,C3)</f>
        <v>36146.06</v>
      </c>
      <c r="L3" s="28" t="n">
        <f aca="false">L2+K3/$T$1*100</f>
        <v>0.347733125</v>
      </c>
      <c r="M3" s="28" t="n">
        <f aca="false">MAX(0,MAX($L$2:L3))</f>
        <v>0.347733125</v>
      </c>
      <c r="N3" s="28" t="n">
        <f aca="false">L3-M3</f>
        <v>0</v>
      </c>
      <c r="O3" s="25" t="n">
        <f aca="false">IF(N3&gt;=-0.0000001,A3,O2)</f>
        <v>45817</v>
      </c>
      <c r="P3" s="29" t="n">
        <f aca="false">IF(AND(N3&gt;=-0.0000001,N2&lt;0),1,0)</f>
        <v>1</v>
      </c>
      <c r="Q3" s="30" t="n">
        <f aca="false">IF(P3=1,A3-O2,"")</f>
        <v>3</v>
      </c>
      <c r="S3" s="23" t="s">
        <v>109</v>
      </c>
      <c r="T3" s="31" t="n">
        <f aca="false">EDATE($T$2,-1)</f>
        <v>46143</v>
      </c>
    </row>
    <row r="4" customFormat="false" ht="15" hidden="false" customHeight="false" outlineLevel="0" collapsed="false">
      <c r="A4" s="25" t="n">
        <v>45819</v>
      </c>
      <c r="B4" s="26" t="s">
        <v>81</v>
      </c>
      <c r="C4" s="27" t="n">
        <v>3155.03</v>
      </c>
      <c r="D4" s="28" t="n">
        <f aca="false">C4/$T$1*100</f>
        <v>0.197189375</v>
      </c>
      <c r="E4" s="28" t="n">
        <f aca="false">E3+D4</f>
        <v>0.5449225</v>
      </c>
      <c r="F4" s="28" t="n">
        <f aca="false">MAX(0,MAX($E$2:E4))</f>
        <v>0.5449225</v>
      </c>
      <c r="G4" s="28" t="n">
        <f aca="false">E4-F4</f>
        <v>0</v>
      </c>
      <c r="H4" s="25" t="n">
        <f aca="false">IF(G4&gt;=-0.0000001,A4,H3)</f>
        <v>45819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0</v>
      </c>
      <c r="L4" s="28" t="n">
        <f aca="false">L3+K4/$T$1*100</f>
        <v>0.347733125</v>
      </c>
      <c r="M4" s="28" t="n">
        <f aca="false">MAX(0,MAX($L$2:L4))</f>
        <v>0.347733125</v>
      </c>
      <c r="N4" s="28" t="n">
        <f aca="false">L4-M4</f>
        <v>0</v>
      </c>
      <c r="O4" s="25" t="n">
        <f aca="false">IF(N4&gt;=-0.0000001,A4,O3)</f>
        <v>45819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46082</v>
      </c>
    </row>
    <row r="5" customFormat="false" ht="15" hidden="false" customHeight="false" outlineLevel="0" collapsed="false">
      <c r="A5" s="25" t="n">
        <v>45820</v>
      </c>
      <c r="B5" s="26" t="s">
        <v>82</v>
      </c>
      <c r="C5" s="27" t="n">
        <v>17909.47</v>
      </c>
      <c r="D5" s="28" t="n">
        <f aca="false">C5/$T$1*100</f>
        <v>1.119341875</v>
      </c>
      <c r="E5" s="28" t="n">
        <f aca="false">E4+D5</f>
        <v>1.664264375</v>
      </c>
      <c r="F5" s="28" t="n">
        <f aca="false">MAX(0,MAX($E$2:E5))</f>
        <v>1.664264375</v>
      </c>
      <c r="G5" s="28" t="n">
        <f aca="false">E5-F5</f>
        <v>0</v>
      </c>
      <c r="H5" s="25" t="n">
        <f aca="false">IF(G5&gt;=-0.0000001,A5,H4)</f>
        <v>45820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17909.47</v>
      </c>
      <c r="L5" s="28" t="n">
        <f aca="false">L4+K5/$T$1*100</f>
        <v>1.467075</v>
      </c>
      <c r="M5" s="28" t="n">
        <f aca="false">MAX(0,MAX($L$2:L5))</f>
        <v>1.467075</v>
      </c>
      <c r="N5" s="28" t="n">
        <f aca="false">L5-M5</f>
        <v>0</v>
      </c>
      <c r="O5" s="25" t="n">
        <f aca="false">IF(N5&gt;=-0.0000001,A5,O4)</f>
        <v>45820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45992</v>
      </c>
    </row>
    <row r="6" customFormat="false" ht="15" hidden="false" customHeight="false" outlineLevel="0" collapsed="false">
      <c r="A6" s="25" t="n">
        <v>45824</v>
      </c>
      <c r="B6" s="26" t="s">
        <v>79</v>
      </c>
      <c r="C6" s="27" t="n">
        <v>6661.82</v>
      </c>
      <c r="D6" s="28" t="n">
        <f aca="false">C6/$T$1*100</f>
        <v>0.41636375</v>
      </c>
      <c r="E6" s="28" t="n">
        <f aca="false">E5+D6</f>
        <v>2.080628125</v>
      </c>
      <c r="F6" s="28" t="n">
        <f aca="false">MAX(0,MAX($E$2:E6))</f>
        <v>2.080628125</v>
      </c>
      <c r="G6" s="28" t="n">
        <f aca="false">E6-F6</f>
        <v>0</v>
      </c>
      <c r="H6" s="25" t="n">
        <f aca="false">IF(G6&gt;=-0.0000001,A6,H5)</f>
        <v>45824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6661.82</v>
      </c>
      <c r="L6" s="28" t="n">
        <f aca="false">L5+K6/$T$1*100</f>
        <v>1.88343875</v>
      </c>
      <c r="M6" s="28" t="n">
        <f aca="false">MAX(0,MAX($L$2:L6))</f>
        <v>1.88343875</v>
      </c>
      <c r="N6" s="28" t="n">
        <f aca="false">L6-M6</f>
        <v>0</v>
      </c>
      <c r="O6" s="25" t="n">
        <f aca="false">IF(N6&gt;=-0.0000001,A6,O5)</f>
        <v>45824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45809</v>
      </c>
    </row>
    <row r="7" customFormat="false" ht="15" hidden="false" customHeight="false" outlineLevel="0" collapsed="false">
      <c r="A7" s="25" t="n">
        <v>45826</v>
      </c>
      <c r="B7" s="26" t="s">
        <v>81</v>
      </c>
      <c r="C7" s="27" t="n">
        <v>-29049.49</v>
      </c>
      <c r="D7" s="28" t="n">
        <f aca="false">C7/$T$1*100</f>
        <v>-1.815593125</v>
      </c>
      <c r="E7" s="28" t="n">
        <f aca="false">E6+D7</f>
        <v>0.265035</v>
      </c>
      <c r="F7" s="28" t="n">
        <f aca="false">MAX(0,MAX($E$2:E7))</f>
        <v>2.080628125</v>
      </c>
      <c r="G7" s="28" t="n">
        <f aca="false">E7-F7</f>
        <v>-1.815593125</v>
      </c>
      <c r="H7" s="25" t="n">
        <f aca="false">IF(G7&gt;=-0.0000001,A7,H6)</f>
        <v>45824</v>
      </c>
      <c r="I7" s="29" t="n">
        <f aca="false">IF(AND(G7&gt;=-0.0000001,G6&lt;0),1,0)</f>
        <v>0</v>
      </c>
      <c r="J7" s="30" t="str">
        <f aca="false">IF(I7=1,A7-H6,"")</f>
        <v/>
      </c>
      <c r="K7" s="27" t="n">
        <f aca="false">IF(B7="Wednesday",0,C7)</f>
        <v>0</v>
      </c>
      <c r="L7" s="28" t="n">
        <f aca="false">L6+K7/$T$1*100</f>
        <v>1.88343875</v>
      </c>
      <c r="M7" s="28" t="n">
        <f aca="false">MAX(0,MAX($L$2:L7))</f>
        <v>1.88343875</v>
      </c>
      <c r="N7" s="28" t="n">
        <f aca="false">L7-M7</f>
        <v>0</v>
      </c>
      <c r="O7" s="25" t="n">
        <f aca="false">IF(N7&gt;=-0.0000001,A7,O6)</f>
        <v>45826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IF(G233&lt;-0.0000001,$T$2-H233,0)</f>
        <v>0</v>
      </c>
    </row>
    <row r="8" customFormat="false" ht="15" hidden="false" customHeight="false" outlineLevel="0" collapsed="false">
      <c r="A8" s="25" t="n">
        <v>45827</v>
      </c>
      <c r="B8" s="26" t="s">
        <v>82</v>
      </c>
      <c r="C8" s="27" t="n">
        <v>28803.37</v>
      </c>
      <c r="D8" s="28" t="n">
        <f aca="false">C8/$T$1*100</f>
        <v>1.800210625</v>
      </c>
      <c r="E8" s="28" t="n">
        <f aca="false">E7+D8</f>
        <v>2.065245625</v>
      </c>
      <c r="F8" s="28" t="n">
        <f aca="false">MAX(0,MAX($E$2:E8))</f>
        <v>2.080628125</v>
      </c>
      <c r="G8" s="28" t="n">
        <f aca="false">E8-F8</f>
        <v>-0.0153824999999999</v>
      </c>
      <c r="H8" s="25" t="n">
        <f aca="false">IF(G8&gt;=-0.0000001,A8,H7)</f>
        <v>45824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28803.37</v>
      </c>
      <c r="L8" s="28" t="n">
        <f aca="false">L7+K8/$T$1*100</f>
        <v>3.683649375</v>
      </c>
      <c r="M8" s="28" t="n">
        <f aca="false">MAX(0,MAX($L$2:L8))</f>
        <v>3.683649375</v>
      </c>
      <c r="N8" s="28" t="n">
        <f aca="false">L8-M8</f>
        <v>0</v>
      </c>
      <c r="O8" s="25" t="n">
        <f aca="false">IF(N8&gt;=-0.0000001,A8,O7)</f>
        <v>45827</v>
      </c>
      <c r="P8" s="29" t="n">
        <f aca="false">IF(AND(N8&gt;=-0.0000001,N7&lt;0),1,0)</f>
        <v>0</v>
      </c>
      <c r="Q8" s="30" t="str">
        <f aca="false">IF(P8=1,A8-O7,"")</f>
        <v/>
      </c>
      <c r="S8" s="23" t="s">
        <v>114</v>
      </c>
      <c r="T8" s="32" t="n">
        <f aca="false">IF(N233&lt;-0.0000001,$T$2-O233,0)</f>
        <v>0</v>
      </c>
    </row>
    <row r="9" customFormat="false" ht="15" hidden="false" customHeight="false" outlineLevel="0" collapsed="false">
      <c r="A9" s="25" t="n">
        <v>45831</v>
      </c>
      <c r="B9" s="26" t="s">
        <v>79</v>
      </c>
      <c r="C9" s="27" t="n">
        <v>12581.92</v>
      </c>
      <c r="D9" s="28" t="n">
        <f aca="false">C9/$T$1*100</f>
        <v>0.78637</v>
      </c>
      <c r="E9" s="28" t="n">
        <f aca="false">E8+D9</f>
        <v>2.851615625</v>
      </c>
      <c r="F9" s="28" t="n">
        <f aca="false">MAX(0,MAX($E$2:E9))</f>
        <v>2.851615625</v>
      </c>
      <c r="G9" s="28" t="n">
        <f aca="false">E9-F9</f>
        <v>0</v>
      </c>
      <c r="H9" s="25" t="n">
        <f aca="false">IF(G9&gt;=-0.0000001,A9,H8)</f>
        <v>45831</v>
      </c>
      <c r="I9" s="29" t="n">
        <f aca="false">IF(AND(G9&gt;=-0.0000001,G8&lt;0),1,0)</f>
        <v>1</v>
      </c>
      <c r="J9" s="30" t="n">
        <f aca="false">IF(I9=1,A9-H8,"")</f>
        <v>7</v>
      </c>
      <c r="K9" s="27" t="n">
        <f aca="false">IF(B9="Wednesday",0,C9)</f>
        <v>12581.92</v>
      </c>
      <c r="L9" s="28" t="n">
        <f aca="false">L8+K9/$T$1*100</f>
        <v>4.470019375</v>
      </c>
      <c r="M9" s="28" t="n">
        <f aca="false">MAX(0,MAX($L$2:L9))</f>
        <v>4.470019375</v>
      </c>
      <c r="N9" s="28" t="n">
        <f aca="false">L9-M9</f>
        <v>0</v>
      </c>
      <c r="O9" s="25" t="n">
        <f aca="false">IF(N9&gt;=-0.0000001,A9,O8)</f>
        <v>45831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MIN(A2:A233)</f>
        <v>45814</v>
      </c>
    </row>
    <row r="10" customFormat="false" ht="15" hidden="false" customHeight="false" outlineLevel="0" collapsed="false">
      <c r="A10" s="25" t="n">
        <v>45832</v>
      </c>
      <c r="B10" s="26" t="s">
        <v>80</v>
      </c>
      <c r="C10" s="27" t="n">
        <v>-13758.85</v>
      </c>
      <c r="D10" s="28" t="n">
        <f aca="false">C10/$T$1*100</f>
        <v>-0.859928125</v>
      </c>
      <c r="E10" s="28" t="n">
        <f aca="false">E9+D10</f>
        <v>1.9916875</v>
      </c>
      <c r="F10" s="28" t="n">
        <f aca="false">MAX(0,MAX($E$2:E10))</f>
        <v>2.851615625</v>
      </c>
      <c r="G10" s="28" t="n">
        <f aca="false">E10-F10</f>
        <v>-0.859928125</v>
      </c>
      <c r="H10" s="25" t="n">
        <f aca="false">IF(G10&gt;=-0.0000001,A10,H9)</f>
        <v>45831</v>
      </c>
      <c r="I10" s="29" t="n">
        <f aca="false">IF(AND(G10&gt;=-0.0000001,G9&lt;0),1,0)</f>
        <v>0</v>
      </c>
      <c r="J10" s="30" t="str">
        <f aca="false">IF(I10=1,A10-H9,"")</f>
        <v/>
      </c>
      <c r="K10" s="27" t="n">
        <f aca="false">IF(B10="Wednesday",0,C10)</f>
        <v>-13758.85</v>
      </c>
      <c r="L10" s="28" t="n">
        <f aca="false">L9+K10/$T$1*100</f>
        <v>3.61009125</v>
      </c>
      <c r="M10" s="28" t="n">
        <f aca="false">MAX(0,MAX($L$2:L10))</f>
        <v>4.470019375</v>
      </c>
      <c r="N10" s="28" t="n">
        <f aca="false">L10-M10</f>
        <v>-0.859928125</v>
      </c>
      <c r="O10" s="25" t="n">
        <f aca="false">IF(N10&gt;=-0.0000001,A10,O9)</f>
        <v>45831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45833</v>
      </c>
      <c r="B11" s="26" t="s">
        <v>81</v>
      </c>
      <c r="C11" s="27" t="n">
        <v>23447.68</v>
      </c>
      <c r="D11" s="28" t="n">
        <f aca="false">C11/$T$1*100</f>
        <v>1.46548</v>
      </c>
      <c r="E11" s="28" t="n">
        <f aca="false">E10+D11</f>
        <v>3.4571675</v>
      </c>
      <c r="F11" s="28" t="n">
        <f aca="false">MAX(0,MAX($E$2:E11))</f>
        <v>3.4571675</v>
      </c>
      <c r="G11" s="28" t="n">
        <f aca="false">E11-F11</f>
        <v>0</v>
      </c>
      <c r="H11" s="25" t="n">
        <f aca="false">IF(G11&gt;=-0.0000001,A11,H10)</f>
        <v>45833</v>
      </c>
      <c r="I11" s="29" t="n">
        <f aca="false">IF(AND(G11&gt;=-0.0000001,G10&lt;0),1,0)</f>
        <v>1</v>
      </c>
      <c r="J11" s="30" t="n">
        <f aca="false">IF(I11=1,A11-H10,"")</f>
        <v>2</v>
      </c>
      <c r="K11" s="27" t="n">
        <f aca="false">IF(B11="Wednesday",0,C11)</f>
        <v>0</v>
      </c>
      <c r="L11" s="28" t="n">
        <f aca="false">L10+K11/$T$1*100</f>
        <v>3.61009125</v>
      </c>
      <c r="M11" s="28" t="n">
        <f aca="false">MAX(0,MAX($L$2:L11))</f>
        <v>4.470019375</v>
      </c>
      <c r="N11" s="28" t="n">
        <f aca="false">L11-M11</f>
        <v>-0.859928125</v>
      </c>
      <c r="O11" s="25" t="n">
        <f aca="false">IF(N11&gt;=-0.0000001,A11,O10)</f>
        <v>45831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45834</v>
      </c>
      <c r="B12" s="26" t="s">
        <v>82</v>
      </c>
      <c r="C12" s="27" t="n">
        <v>26066.85</v>
      </c>
      <c r="D12" s="28" t="n">
        <f aca="false">C12/$T$1*100</f>
        <v>1.629178125</v>
      </c>
      <c r="E12" s="28" t="n">
        <f aca="false">E11+D12</f>
        <v>5.086345625</v>
      </c>
      <c r="F12" s="28" t="n">
        <f aca="false">MAX(0,MAX($E$2:E12))</f>
        <v>5.086345625</v>
      </c>
      <c r="G12" s="28" t="n">
        <f aca="false">E12-F12</f>
        <v>0</v>
      </c>
      <c r="H12" s="25" t="n">
        <f aca="false">IF(G12&gt;=-0.0000001,A12,H11)</f>
        <v>45834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26066.85</v>
      </c>
      <c r="L12" s="28" t="n">
        <f aca="false">L11+K12/$T$1*100</f>
        <v>5.239269375</v>
      </c>
      <c r="M12" s="28" t="n">
        <f aca="false">MAX(0,MAX($L$2:L12))</f>
        <v>5.239269375</v>
      </c>
      <c r="N12" s="28" t="n">
        <f aca="false">L12-M12</f>
        <v>0</v>
      </c>
      <c r="O12" s="25" t="n">
        <f aca="false">IF(N12&gt;=-0.0000001,A12,O11)</f>
        <v>45834</v>
      </c>
      <c r="P12" s="29" t="n">
        <f aca="false">IF(AND(N12&gt;=-0.0000001,N11&lt;0),1,0)</f>
        <v>1</v>
      </c>
      <c r="Q12" s="30" t="n">
        <f aca="false">IF(P12=1,A12-O11,"")</f>
        <v>3</v>
      </c>
    </row>
    <row r="13" customFormat="false" ht="15" hidden="false" customHeight="false" outlineLevel="0" collapsed="false">
      <c r="A13" s="25" t="n">
        <v>45838</v>
      </c>
      <c r="B13" s="26" t="s">
        <v>79</v>
      </c>
      <c r="C13" s="27" t="n">
        <v>-22633.53</v>
      </c>
      <c r="D13" s="28" t="n">
        <f aca="false">C13/$T$1*100</f>
        <v>-1.414595625</v>
      </c>
      <c r="E13" s="28" t="n">
        <f aca="false">E12+D13</f>
        <v>3.67175</v>
      </c>
      <c r="F13" s="28" t="n">
        <f aca="false">MAX(0,MAX($E$2:E13))</f>
        <v>5.086345625</v>
      </c>
      <c r="G13" s="28" t="n">
        <f aca="false">E13-F13</f>
        <v>-1.414595625</v>
      </c>
      <c r="H13" s="25" t="n">
        <f aca="false">IF(G13&gt;=-0.0000001,A13,H12)</f>
        <v>45834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-22633.53</v>
      </c>
      <c r="L13" s="28" t="n">
        <f aca="false">L12+K13/$T$1*100</f>
        <v>3.82467375</v>
      </c>
      <c r="M13" s="28" t="n">
        <f aca="false">MAX(0,MAX($L$2:L13))</f>
        <v>5.239269375</v>
      </c>
      <c r="N13" s="28" t="n">
        <f aca="false">L13-M13</f>
        <v>-1.414595625</v>
      </c>
      <c r="O13" s="25" t="n">
        <f aca="false">IF(N13&gt;=-0.0000001,A13,O12)</f>
        <v>45834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45840</v>
      </c>
      <c r="B14" s="26" t="s">
        <v>81</v>
      </c>
      <c r="C14" s="27" t="n">
        <v>19007.79</v>
      </c>
      <c r="D14" s="28" t="n">
        <f aca="false">C14/$T$1*100</f>
        <v>1.187986875</v>
      </c>
      <c r="E14" s="28" t="n">
        <f aca="false">E13+D14</f>
        <v>4.859736875</v>
      </c>
      <c r="F14" s="28" t="n">
        <f aca="false">MAX(0,MAX($E$2:E14))</f>
        <v>5.086345625</v>
      </c>
      <c r="G14" s="28" t="n">
        <f aca="false">E14-F14</f>
        <v>-0.22660875</v>
      </c>
      <c r="H14" s="25" t="n">
        <f aca="false">IF(G14&gt;=-0.0000001,A14,H13)</f>
        <v>45834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0</v>
      </c>
      <c r="L14" s="28" t="n">
        <f aca="false">L13+K14/$T$1*100</f>
        <v>3.82467375</v>
      </c>
      <c r="M14" s="28" t="n">
        <f aca="false">MAX(0,MAX($L$2:L14))</f>
        <v>5.239269375</v>
      </c>
      <c r="N14" s="28" t="n">
        <f aca="false">L14-M14</f>
        <v>-1.414595625</v>
      </c>
      <c r="O14" s="25" t="n">
        <f aca="false">IF(N14&gt;=-0.0000001,A14,O13)</f>
        <v>45834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45841</v>
      </c>
      <c r="B15" s="26" t="s">
        <v>82</v>
      </c>
      <c r="C15" s="27" t="n">
        <v>29144.05</v>
      </c>
      <c r="D15" s="28" t="n">
        <f aca="false">C15/$T$1*100</f>
        <v>1.821503125</v>
      </c>
      <c r="E15" s="28" t="n">
        <f aca="false">E14+D15</f>
        <v>6.68124</v>
      </c>
      <c r="F15" s="28" t="n">
        <f aca="false">MAX(0,MAX($E$2:E15))</f>
        <v>6.68124</v>
      </c>
      <c r="G15" s="28" t="n">
        <f aca="false">E15-F15</f>
        <v>0</v>
      </c>
      <c r="H15" s="25" t="n">
        <f aca="false">IF(G15&gt;=-0.0000001,A15,H14)</f>
        <v>45841</v>
      </c>
      <c r="I15" s="29" t="n">
        <f aca="false">IF(AND(G15&gt;=-0.0000001,G14&lt;0),1,0)</f>
        <v>1</v>
      </c>
      <c r="J15" s="30" t="n">
        <f aca="false">IF(I15=1,A15-H14,"")</f>
        <v>7</v>
      </c>
      <c r="K15" s="27" t="n">
        <f aca="false">IF(B15="Wednesday",0,C15)</f>
        <v>29144.05</v>
      </c>
      <c r="L15" s="28" t="n">
        <f aca="false">L14+K15/$T$1*100</f>
        <v>5.646176875</v>
      </c>
      <c r="M15" s="28" t="n">
        <f aca="false">MAX(0,MAX($L$2:L15))</f>
        <v>5.646176875</v>
      </c>
      <c r="N15" s="28" t="n">
        <f aca="false">L15-M15</f>
        <v>0</v>
      </c>
      <c r="O15" s="25" t="n">
        <f aca="false">IF(N15&gt;=-0.0000001,A15,O14)</f>
        <v>45841</v>
      </c>
      <c r="P15" s="29" t="n">
        <f aca="false">IF(AND(N15&gt;=-0.0000001,N14&lt;0),1,0)</f>
        <v>1</v>
      </c>
      <c r="Q15" s="30" t="n">
        <f aca="false">IF(P15=1,A15-O14,"")</f>
        <v>7</v>
      </c>
    </row>
    <row r="16" customFormat="false" ht="15" hidden="false" customHeight="false" outlineLevel="0" collapsed="false">
      <c r="A16" s="25" t="n">
        <v>45845</v>
      </c>
      <c r="B16" s="26" t="s">
        <v>79</v>
      </c>
      <c r="C16" s="27" t="n">
        <v>-39.24</v>
      </c>
      <c r="D16" s="28" t="n">
        <f aca="false">C16/$T$1*100</f>
        <v>-0.0024525</v>
      </c>
      <c r="E16" s="28" t="n">
        <f aca="false">E15+D16</f>
        <v>6.6787875</v>
      </c>
      <c r="F16" s="28" t="n">
        <f aca="false">MAX(0,MAX($E$2:E16))</f>
        <v>6.68124</v>
      </c>
      <c r="G16" s="28" t="n">
        <f aca="false">E16-F16</f>
        <v>-0.00245250000000041</v>
      </c>
      <c r="H16" s="25" t="n">
        <f aca="false">IF(G16&gt;=-0.0000001,A16,H15)</f>
        <v>45841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-39.24</v>
      </c>
      <c r="L16" s="28" t="n">
        <f aca="false">L15+K16/$T$1*100</f>
        <v>5.643724375</v>
      </c>
      <c r="M16" s="28" t="n">
        <f aca="false">MAX(0,MAX($L$2:L16))</f>
        <v>5.646176875</v>
      </c>
      <c r="N16" s="28" t="n">
        <f aca="false">L16-M16</f>
        <v>-0.00245250000000041</v>
      </c>
      <c r="O16" s="25" t="n">
        <f aca="false">IF(N16&gt;=-0.0000001,A16,O15)</f>
        <v>45841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45846</v>
      </c>
      <c r="B17" s="26" t="s">
        <v>80</v>
      </c>
      <c r="C17" s="27" t="n">
        <v>-13379.48</v>
      </c>
      <c r="D17" s="28" t="n">
        <f aca="false">C17/$T$1*100</f>
        <v>-0.8362175</v>
      </c>
      <c r="E17" s="28" t="n">
        <f aca="false">E16+D17</f>
        <v>5.84257</v>
      </c>
      <c r="F17" s="28" t="n">
        <f aca="false">MAX(0,MAX($E$2:E17))</f>
        <v>6.68124</v>
      </c>
      <c r="G17" s="28" t="n">
        <f aca="false">E17-F17</f>
        <v>-0.838670000000001</v>
      </c>
      <c r="H17" s="25" t="n">
        <f aca="false">IF(G17&gt;=-0.0000001,A17,H16)</f>
        <v>45841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-13379.48</v>
      </c>
      <c r="L17" s="28" t="n">
        <f aca="false">L16+K17/$T$1*100</f>
        <v>4.807506875</v>
      </c>
      <c r="M17" s="28" t="n">
        <f aca="false">MAX(0,MAX($L$2:L17))</f>
        <v>5.646176875</v>
      </c>
      <c r="N17" s="28" t="n">
        <f aca="false">L17-M17</f>
        <v>-0.838670000000001</v>
      </c>
      <c r="O17" s="25" t="n">
        <f aca="false">IF(N17&gt;=-0.0000001,A17,O16)</f>
        <v>45841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45847</v>
      </c>
      <c r="B18" s="26" t="s">
        <v>81</v>
      </c>
      <c r="C18" s="27" t="n">
        <v>-27009.78</v>
      </c>
      <c r="D18" s="28" t="n">
        <f aca="false">C18/$T$1*100</f>
        <v>-1.68811125</v>
      </c>
      <c r="E18" s="28" t="n">
        <f aca="false">E17+D18</f>
        <v>4.15445875</v>
      </c>
      <c r="F18" s="28" t="n">
        <f aca="false">MAX(0,MAX($E$2:E18))</f>
        <v>6.68124</v>
      </c>
      <c r="G18" s="28" t="n">
        <f aca="false">E18-F18</f>
        <v>-2.52678125</v>
      </c>
      <c r="H18" s="25" t="n">
        <f aca="false">IF(G18&gt;=-0.0000001,A18,H17)</f>
        <v>45841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0</v>
      </c>
      <c r="L18" s="28" t="n">
        <f aca="false">L17+K18/$T$1*100</f>
        <v>4.807506875</v>
      </c>
      <c r="M18" s="28" t="n">
        <f aca="false">MAX(0,MAX($L$2:L18))</f>
        <v>5.646176875</v>
      </c>
      <c r="N18" s="28" t="n">
        <f aca="false">L18-M18</f>
        <v>-0.838670000000001</v>
      </c>
      <c r="O18" s="25" t="n">
        <f aca="false">IF(N18&gt;=-0.0000001,A18,O17)</f>
        <v>45841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45848</v>
      </c>
      <c r="B19" s="26" t="s">
        <v>82</v>
      </c>
      <c r="C19" s="27" t="n">
        <v>15501.95</v>
      </c>
      <c r="D19" s="28" t="n">
        <f aca="false">C19/$T$1*100</f>
        <v>0.968871875</v>
      </c>
      <c r="E19" s="28" t="n">
        <f aca="false">E18+D19</f>
        <v>5.123330625</v>
      </c>
      <c r="F19" s="28" t="n">
        <f aca="false">MAX(0,MAX($E$2:E19))</f>
        <v>6.68124</v>
      </c>
      <c r="G19" s="28" t="n">
        <f aca="false">E19-F19</f>
        <v>-1.557909375</v>
      </c>
      <c r="H19" s="25" t="n">
        <f aca="false">IF(G19&gt;=-0.0000001,A19,H18)</f>
        <v>45841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15501.95</v>
      </c>
      <c r="L19" s="28" t="n">
        <f aca="false">L18+K19/$T$1*100</f>
        <v>5.77637875</v>
      </c>
      <c r="M19" s="28" t="n">
        <f aca="false">MAX(0,MAX($L$2:L19))</f>
        <v>5.77637875</v>
      </c>
      <c r="N19" s="28" t="n">
        <f aca="false">L19-M19</f>
        <v>0</v>
      </c>
      <c r="O19" s="25" t="n">
        <f aca="false">IF(N19&gt;=-0.0000001,A19,O18)</f>
        <v>45848</v>
      </c>
      <c r="P19" s="29" t="n">
        <f aca="false">IF(AND(N19&gt;=-0.0000001,N18&lt;0),1,0)</f>
        <v>1</v>
      </c>
      <c r="Q19" s="30" t="n">
        <f aca="false">IF(P19=1,A19-O18,"")</f>
        <v>7</v>
      </c>
    </row>
    <row r="20" customFormat="false" ht="15" hidden="false" customHeight="false" outlineLevel="0" collapsed="false">
      <c r="A20" s="25" t="n">
        <v>45849</v>
      </c>
      <c r="B20" s="26" t="s">
        <v>83</v>
      </c>
      <c r="C20" s="27" t="n">
        <v>-2171.25</v>
      </c>
      <c r="D20" s="28" t="n">
        <f aca="false">C20/$T$1*100</f>
        <v>-0.135703125</v>
      </c>
      <c r="E20" s="28" t="n">
        <f aca="false">E19+D20</f>
        <v>4.9876275</v>
      </c>
      <c r="F20" s="28" t="n">
        <f aca="false">MAX(0,MAX($E$2:E20))</f>
        <v>6.68124</v>
      </c>
      <c r="G20" s="28" t="n">
        <f aca="false">E20-F20</f>
        <v>-1.6936125</v>
      </c>
      <c r="H20" s="25" t="n">
        <f aca="false">IF(G20&gt;=-0.0000001,A20,H19)</f>
        <v>45841</v>
      </c>
      <c r="I20" s="29" t="n">
        <f aca="false">IF(AND(G20&gt;=-0.0000001,G19&lt;0),1,0)</f>
        <v>0</v>
      </c>
      <c r="J20" s="30" t="str">
        <f aca="false">IF(I20=1,A20-H19,"")</f>
        <v/>
      </c>
      <c r="K20" s="27" t="n">
        <f aca="false">IF(B20="Wednesday",0,C20)</f>
        <v>-2171.25</v>
      </c>
      <c r="L20" s="28" t="n">
        <f aca="false">L19+K20/$T$1*100</f>
        <v>5.640675625</v>
      </c>
      <c r="M20" s="28" t="n">
        <f aca="false">MAX(0,MAX($L$2:L20))</f>
        <v>5.77637875</v>
      </c>
      <c r="N20" s="28" t="n">
        <f aca="false">L20-M20</f>
        <v>-0.135703125</v>
      </c>
      <c r="O20" s="25" t="n">
        <f aca="false">IF(N20&gt;=-0.0000001,A20,O19)</f>
        <v>45848</v>
      </c>
      <c r="P20" s="29" t="n">
        <f aca="false">IF(AND(N20&gt;=-0.0000001,N19&lt;0),1,0)</f>
        <v>0</v>
      </c>
      <c r="Q20" s="30" t="str">
        <f aca="false">IF(P20=1,A20-O19,"")</f>
        <v/>
      </c>
    </row>
    <row r="21" customFormat="false" ht="15" hidden="false" customHeight="false" outlineLevel="0" collapsed="false">
      <c r="A21" s="25" t="n">
        <v>45852</v>
      </c>
      <c r="B21" s="26" t="s">
        <v>79</v>
      </c>
      <c r="C21" s="27" t="n">
        <v>23697.08</v>
      </c>
      <c r="D21" s="28" t="n">
        <f aca="false">C21/$T$1*100</f>
        <v>1.4810675</v>
      </c>
      <c r="E21" s="28" t="n">
        <f aca="false">E20+D21</f>
        <v>6.468695</v>
      </c>
      <c r="F21" s="28" t="n">
        <f aca="false">MAX(0,MAX($E$2:E21))</f>
        <v>6.68124</v>
      </c>
      <c r="G21" s="28" t="n">
        <f aca="false">E21-F21</f>
        <v>-0.212545000000001</v>
      </c>
      <c r="H21" s="25" t="n">
        <f aca="false">IF(G21&gt;=-0.0000001,A21,H20)</f>
        <v>45841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23697.08</v>
      </c>
      <c r="L21" s="28" t="n">
        <f aca="false">L20+K21/$T$1*100</f>
        <v>7.121743125</v>
      </c>
      <c r="M21" s="28" t="n">
        <f aca="false">MAX(0,MAX($L$2:L21))</f>
        <v>7.121743125</v>
      </c>
      <c r="N21" s="28" t="n">
        <f aca="false">L21-M21</f>
        <v>0</v>
      </c>
      <c r="O21" s="25" t="n">
        <f aca="false">IF(N21&gt;=-0.0000001,A21,O20)</f>
        <v>45852</v>
      </c>
      <c r="P21" s="29" t="n">
        <f aca="false">IF(AND(N21&gt;=-0.0000001,N20&lt;0),1,0)</f>
        <v>1</v>
      </c>
      <c r="Q21" s="30" t="n">
        <f aca="false">IF(P21=1,A21-O20,"")</f>
        <v>4</v>
      </c>
    </row>
    <row r="22" customFormat="false" ht="15" hidden="false" customHeight="false" outlineLevel="0" collapsed="false">
      <c r="A22" s="25" t="n">
        <v>45853</v>
      </c>
      <c r="B22" s="26" t="s">
        <v>80</v>
      </c>
      <c r="C22" s="27" t="n">
        <v>-26783.7</v>
      </c>
      <c r="D22" s="28" t="n">
        <f aca="false">C22/$T$1*100</f>
        <v>-1.67398125</v>
      </c>
      <c r="E22" s="28" t="n">
        <f aca="false">E21+D22</f>
        <v>4.79471375</v>
      </c>
      <c r="F22" s="28" t="n">
        <f aca="false">MAX(0,MAX($E$2:E22))</f>
        <v>6.68124</v>
      </c>
      <c r="G22" s="28" t="n">
        <f aca="false">E22-F22</f>
        <v>-1.88652625</v>
      </c>
      <c r="H22" s="25" t="n">
        <f aca="false">IF(G22&gt;=-0.0000001,A22,H21)</f>
        <v>45841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-26783.7</v>
      </c>
      <c r="L22" s="28" t="n">
        <f aca="false">L21+K22/$T$1*100</f>
        <v>5.447761875</v>
      </c>
      <c r="M22" s="28" t="n">
        <f aca="false">MAX(0,MAX($L$2:L22))</f>
        <v>7.121743125</v>
      </c>
      <c r="N22" s="28" t="n">
        <f aca="false">L22-M22</f>
        <v>-1.67398125</v>
      </c>
      <c r="O22" s="25" t="n">
        <f aca="false">IF(N22&gt;=-0.0000001,A22,O21)</f>
        <v>45852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45854</v>
      </c>
      <c r="B23" s="26" t="s">
        <v>81</v>
      </c>
      <c r="C23" s="27" t="n">
        <v>13497.36</v>
      </c>
      <c r="D23" s="28" t="n">
        <f aca="false">C23/$T$1*100</f>
        <v>0.843585</v>
      </c>
      <c r="E23" s="28" t="n">
        <f aca="false">E22+D23</f>
        <v>5.63829875</v>
      </c>
      <c r="F23" s="28" t="n">
        <f aca="false">MAX(0,MAX($E$2:E23))</f>
        <v>6.68124</v>
      </c>
      <c r="G23" s="28" t="n">
        <f aca="false">E23-F23</f>
        <v>-1.04294125</v>
      </c>
      <c r="H23" s="25" t="n">
        <f aca="false">IF(G23&gt;=-0.0000001,A23,H22)</f>
        <v>45841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0</v>
      </c>
      <c r="L23" s="28" t="n">
        <f aca="false">L22+K23/$T$1*100</f>
        <v>5.447761875</v>
      </c>
      <c r="M23" s="28" t="n">
        <f aca="false">MAX(0,MAX($L$2:L23))</f>
        <v>7.121743125</v>
      </c>
      <c r="N23" s="28" t="n">
        <f aca="false">L23-M23</f>
        <v>-1.67398125</v>
      </c>
      <c r="O23" s="25" t="n">
        <f aca="false">IF(N23&gt;=-0.0000001,A23,O22)</f>
        <v>45852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45855</v>
      </c>
      <c r="B24" s="26" t="s">
        <v>82</v>
      </c>
      <c r="C24" s="27" t="n">
        <v>-14708.18</v>
      </c>
      <c r="D24" s="28" t="n">
        <f aca="false">C24/$T$1*100</f>
        <v>-0.91926125</v>
      </c>
      <c r="E24" s="28" t="n">
        <f aca="false">E23+D24</f>
        <v>4.7190375</v>
      </c>
      <c r="F24" s="28" t="n">
        <f aca="false">MAX(0,MAX($E$2:E24))</f>
        <v>6.68124</v>
      </c>
      <c r="G24" s="28" t="n">
        <f aca="false">E24-F24</f>
        <v>-1.9622025</v>
      </c>
      <c r="H24" s="25" t="n">
        <f aca="false">IF(G24&gt;=-0.0000001,A24,H23)</f>
        <v>45841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-14708.18</v>
      </c>
      <c r="L24" s="28" t="n">
        <f aca="false">L23+K24/$T$1*100</f>
        <v>4.528500625</v>
      </c>
      <c r="M24" s="28" t="n">
        <f aca="false">MAX(0,MAX($L$2:L24))</f>
        <v>7.121743125</v>
      </c>
      <c r="N24" s="28" t="n">
        <f aca="false">L24-M24</f>
        <v>-2.5932425</v>
      </c>
      <c r="O24" s="25" t="n">
        <f aca="false">IF(N24&gt;=-0.0000001,A24,O23)</f>
        <v>45852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45859</v>
      </c>
      <c r="B25" s="26" t="s">
        <v>79</v>
      </c>
      <c r="C25" s="27" t="n">
        <v>14454.48</v>
      </c>
      <c r="D25" s="28" t="n">
        <f aca="false">C25/$T$1*100</f>
        <v>0.903405</v>
      </c>
      <c r="E25" s="28" t="n">
        <f aca="false">E24+D25</f>
        <v>5.6224425</v>
      </c>
      <c r="F25" s="28" t="n">
        <f aca="false">MAX(0,MAX($E$2:E25))</f>
        <v>6.68124</v>
      </c>
      <c r="G25" s="28" t="n">
        <f aca="false">E25-F25</f>
        <v>-1.0587975</v>
      </c>
      <c r="H25" s="25" t="n">
        <f aca="false">IF(G25&gt;=-0.0000001,A25,H24)</f>
        <v>45841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14454.48</v>
      </c>
      <c r="L25" s="28" t="n">
        <f aca="false">L24+K25/$T$1*100</f>
        <v>5.431905625</v>
      </c>
      <c r="M25" s="28" t="n">
        <f aca="false">MAX(0,MAX($L$2:L25))</f>
        <v>7.121743125</v>
      </c>
      <c r="N25" s="28" t="n">
        <f aca="false">L25-M25</f>
        <v>-1.6898375</v>
      </c>
      <c r="O25" s="25" t="n">
        <f aca="false">IF(N25&gt;=-0.0000001,A25,O24)</f>
        <v>45852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45860</v>
      </c>
      <c r="B26" s="26" t="s">
        <v>80</v>
      </c>
      <c r="C26" s="27" t="n">
        <v>-14085</v>
      </c>
      <c r="D26" s="28" t="n">
        <f aca="false">C26/$T$1*100</f>
        <v>-0.8803125</v>
      </c>
      <c r="E26" s="28" t="n">
        <f aca="false">E25+D26</f>
        <v>4.74213</v>
      </c>
      <c r="F26" s="28" t="n">
        <f aca="false">MAX(0,MAX($E$2:E26))</f>
        <v>6.68124</v>
      </c>
      <c r="G26" s="28" t="n">
        <f aca="false">E26-F26</f>
        <v>-1.93911</v>
      </c>
      <c r="H26" s="25" t="n">
        <f aca="false">IF(G26&gt;=-0.0000001,A26,H25)</f>
        <v>45841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-14085</v>
      </c>
      <c r="L26" s="28" t="n">
        <f aca="false">L25+K26/$T$1*100</f>
        <v>4.551593125</v>
      </c>
      <c r="M26" s="28" t="n">
        <f aca="false">MAX(0,MAX($L$2:L26))</f>
        <v>7.121743125</v>
      </c>
      <c r="N26" s="28" t="n">
        <f aca="false">L26-M26</f>
        <v>-2.57015</v>
      </c>
      <c r="O26" s="25" t="n">
        <f aca="false">IF(N26&gt;=-0.0000001,A26,O25)</f>
        <v>45852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45861</v>
      </c>
      <c r="B27" s="26" t="s">
        <v>81</v>
      </c>
      <c r="C27" s="27" t="n">
        <v>-26684.52</v>
      </c>
      <c r="D27" s="28" t="n">
        <f aca="false">C27/$T$1*100</f>
        <v>-1.6677825</v>
      </c>
      <c r="E27" s="28" t="n">
        <f aca="false">E26+D27</f>
        <v>3.0743475</v>
      </c>
      <c r="F27" s="28" t="n">
        <f aca="false">MAX(0,MAX($E$2:E27))</f>
        <v>6.68124</v>
      </c>
      <c r="G27" s="28" t="n">
        <f aca="false">E27-F27</f>
        <v>-3.6068925</v>
      </c>
      <c r="H27" s="25" t="n">
        <f aca="false">IF(G27&gt;=-0.0000001,A27,H26)</f>
        <v>45841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0</v>
      </c>
      <c r="L27" s="28" t="n">
        <f aca="false">L26+K27/$T$1*100</f>
        <v>4.551593125</v>
      </c>
      <c r="M27" s="28" t="n">
        <f aca="false">MAX(0,MAX($L$2:L27))</f>
        <v>7.121743125</v>
      </c>
      <c r="N27" s="28" t="n">
        <f aca="false">L27-M27</f>
        <v>-2.57015</v>
      </c>
      <c r="O27" s="25" t="n">
        <f aca="false">IF(N27&gt;=-0.0000001,A27,O26)</f>
        <v>45852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45862</v>
      </c>
      <c r="B28" s="26" t="s">
        <v>82</v>
      </c>
      <c r="C28" s="27" t="n">
        <v>-2592.16</v>
      </c>
      <c r="D28" s="28" t="n">
        <f aca="false">C28/$T$1*100</f>
        <v>-0.16201</v>
      </c>
      <c r="E28" s="28" t="n">
        <f aca="false">E27+D28</f>
        <v>2.9123375</v>
      </c>
      <c r="F28" s="28" t="n">
        <f aca="false">MAX(0,MAX($E$2:E28))</f>
        <v>6.68124</v>
      </c>
      <c r="G28" s="28" t="n">
        <f aca="false">E28-F28</f>
        <v>-3.7689025</v>
      </c>
      <c r="H28" s="25" t="n">
        <f aca="false">IF(G28&gt;=-0.0000001,A28,H27)</f>
        <v>45841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-2592.16</v>
      </c>
      <c r="L28" s="28" t="n">
        <f aca="false">L27+K28/$T$1*100</f>
        <v>4.389583125</v>
      </c>
      <c r="M28" s="28" t="n">
        <f aca="false">MAX(0,MAX($L$2:L28))</f>
        <v>7.121743125</v>
      </c>
      <c r="N28" s="28" t="n">
        <f aca="false">L28-M28</f>
        <v>-2.73216</v>
      </c>
      <c r="O28" s="25" t="n">
        <f aca="false">IF(N28&gt;=-0.0000001,A28,O27)</f>
        <v>45852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45863</v>
      </c>
      <c r="B29" s="26" t="s">
        <v>83</v>
      </c>
      <c r="C29" s="27" t="n">
        <v>16481.25</v>
      </c>
      <c r="D29" s="28" t="n">
        <f aca="false">C29/$T$1*100</f>
        <v>1.030078125</v>
      </c>
      <c r="E29" s="28" t="n">
        <f aca="false">E28+D29</f>
        <v>3.942415625</v>
      </c>
      <c r="F29" s="28" t="n">
        <f aca="false">MAX(0,MAX($E$2:E29))</f>
        <v>6.68124</v>
      </c>
      <c r="G29" s="28" t="n">
        <f aca="false">E29-F29</f>
        <v>-2.738824375</v>
      </c>
      <c r="H29" s="25" t="n">
        <f aca="false">IF(G29&gt;=-0.0000001,A29,H28)</f>
        <v>45841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16481.25</v>
      </c>
      <c r="L29" s="28" t="n">
        <f aca="false">L28+K29/$T$1*100</f>
        <v>5.41966125</v>
      </c>
      <c r="M29" s="28" t="n">
        <f aca="false">MAX(0,MAX($L$2:L29))</f>
        <v>7.121743125</v>
      </c>
      <c r="N29" s="28" t="n">
        <f aca="false">L29-M29</f>
        <v>-1.702081875</v>
      </c>
      <c r="O29" s="25" t="n">
        <f aca="false">IF(N29&gt;=-0.0000001,A29,O28)</f>
        <v>45852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45866</v>
      </c>
      <c r="B30" s="26" t="s">
        <v>79</v>
      </c>
      <c r="C30" s="27" t="n">
        <v>79927.77</v>
      </c>
      <c r="D30" s="28" t="n">
        <f aca="false">C30/$T$1*100</f>
        <v>4.995485625</v>
      </c>
      <c r="E30" s="28" t="n">
        <f aca="false">E29+D30</f>
        <v>8.93790125</v>
      </c>
      <c r="F30" s="28" t="n">
        <f aca="false">MAX(0,MAX($E$2:E30))</f>
        <v>8.93790125</v>
      </c>
      <c r="G30" s="28" t="n">
        <f aca="false">E30-F30</f>
        <v>0</v>
      </c>
      <c r="H30" s="25" t="n">
        <f aca="false">IF(G30&gt;=-0.0000001,A30,H29)</f>
        <v>45866</v>
      </c>
      <c r="I30" s="29" t="n">
        <f aca="false">IF(AND(G30&gt;=-0.0000001,G29&lt;0),1,0)</f>
        <v>1</v>
      </c>
      <c r="J30" s="30" t="n">
        <f aca="false">IF(I30=1,A30-H29,"")</f>
        <v>25</v>
      </c>
      <c r="K30" s="27" t="n">
        <f aca="false">IF(B30="Wednesday",0,C30)</f>
        <v>79927.77</v>
      </c>
      <c r="L30" s="28" t="n">
        <f aca="false">L29+K30/$T$1*100</f>
        <v>10.415146875</v>
      </c>
      <c r="M30" s="28" t="n">
        <f aca="false">MAX(0,MAX($L$2:L30))</f>
        <v>10.415146875</v>
      </c>
      <c r="N30" s="28" t="n">
        <f aca="false">L30-M30</f>
        <v>0</v>
      </c>
      <c r="O30" s="25" t="n">
        <f aca="false">IF(N30&gt;=-0.0000001,A30,O29)</f>
        <v>45866</v>
      </c>
      <c r="P30" s="29" t="n">
        <f aca="false">IF(AND(N30&gt;=-0.0000001,N29&lt;0),1,0)</f>
        <v>1</v>
      </c>
      <c r="Q30" s="30" t="n">
        <f aca="false">IF(P30=1,A30-O29,"")</f>
        <v>14</v>
      </c>
    </row>
    <row r="31" customFormat="false" ht="15" hidden="false" customHeight="false" outlineLevel="0" collapsed="false">
      <c r="A31" s="25" t="n">
        <v>45867</v>
      </c>
      <c r="B31" s="26" t="s">
        <v>80</v>
      </c>
      <c r="C31" s="27" t="n">
        <v>-14310</v>
      </c>
      <c r="D31" s="28" t="n">
        <f aca="false">C31/$T$1*100</f>
        <v>-0.894375</v>
      </c>
      <c r="E31" s="28" t="n">
        <f aca="false">E30+D31</f>
        <v>8.04352625</v>
      </c>
      <c r="F31" s="28" t="n">
        <f aca="false">MAX(0,MAX($E$2:E31))</f>
        <v>8.93790125</v>
      </c>
      <c r="G31" s="28" t="n">
        <f aca="false">E31-F31</f>
        <v>-0.894375</v>
      </c>
      <c r="H31" s="25" t="n">
        <f aca="false">IF(G31&gt;=-0.0000001,A31,H30)</f>
        <v>45866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-14310</v>
      </c>
      <c r="L31" s="28" t="n">
        <f aca="false">L30+K31/$T$1*100</f>
        <v>9.520771875</v>
      </c>
      <c r="M31" s="28" t="n">
        <f aca="false">MAX(0,MAX($L$2:L31))</f>
        <v>10.415146875</v>
      </c>
      <c r="N31" s="28" t="n">
        <f aca="false">L31-M31</f>
        <v>-0.894375</v>
      </c>
      <c r="O31" s="25" t="n">
        <f aca="false">IF(N31&gt;=-0.0000001,A31,O30)</f>
        <v>45866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45868</v>
      </c>
      <c r="B32" s="26" t="s">
        <v>81</v>
      </c>
      <c r="C32" s="27" t="n">
        <v>19953.77</v>
      </c>
      <c r="D32" s="28" t="n">
        <f aca="false">C32/$T$1*100</f>
        <v>1.247110625</v>
      </c>
      <c r="E32" s="28" t="n">
        <f aca="false">E31+D32</f>
        <v>9.290636875</v>
      </c>
      <c r="F32" s="28" t="n">
        <f aca="false">MAX(0,MAX($E$2:E32))</f>
        <v>9.290636875</v>
      </c>
      <c r="G32" s="28" t="n">
        <f aca="false">E32-F32</f>
        <v>0</v>
      </c>
      <c r="H32" s="25" t="n">
        <f aca="false">IF(G32&gt;=-0.0000001,A32,H31)</f>
        <v>45868</v>
      </c>
      <c r="I32" s="29" t="n">
        <f aca="false">IF(AND(G32&gt;=-0.0000001,G31&lt;0),1,0)</f>
        <v>1</v>
      </c>
      <c r="J32" s="30" t="n">
        <f aca="false">IF(I32=1,A32-H31,"")</f>
        <v>2</v>
      </c>
      <c r="K32" s="27" t="n">
        <f aca="false">IF(B32="Wednesday",0,C32)</f>
        <v>0</v>
      </c>
      <c r="L32" s="28" t="n">
        <f aca="false">L31+K32/$T$1*100</f>
        <v>9.520771875</v>
      </c>
      <c r="M32" s="28" t="n">
        <f aca="false">MAX(0,MAX($L$2:L32))</f>
        <v>10.415146875</v>
      </c>
      <c r="N32" s="28" t="n">
        <f aca="false">L32-M32</f>
        <v>-0.894375</v>
      </c>
      <c r="O32" s="25" t="n">
        <f aca="false">IF(N32&gt;=-0.0000001,A32,O31)</f>
        <v>45866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45869</v>
      </c>
      <c r="B33" s="26" t="s">
        <v>82</v>
      </c>
      <c r="C33" s="27" t="n">
        <v>-50199.95</v>
      </c>
      <c r="D33" s="28" t="n">
        <f aca="false">C33/$T$1*100</f>
        <v>-3.137496875</v>
      </c>
      <c r="E33" s="28" t="n">
        <f aca="false">E32+D33</f>
        <v>6.15314</v>
      </c>
      <c r="F33" s="28" t="n">
        <f aca="false">MAX(0,MAX($E$2:E33))</f>
        <v>9.290636875</v>
      </c>
      <c r="G33" s="28" t="n">
        <f aca="false">E33-F33</f>
        <v>-3.137496875</v>
      </c>
      <c r="H33" s="25" t="n">
        <f aca="false">IF(G33&gt;=-0.0000001,A33,H32)</f>
        <v>45868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-50199.95</v>
      </c>
      <c r="L33" s="28" t="n">
        <f aca="false">L32+K33/$T$1*100</f>
        <v>6.383275</v>
      </c>
      <c r="M33" s="28" t="n">
        <f aca="false">MAX(0,MAX($L$2:L33))</f>
        <v>10.415146875</v>
      </c>
      <c r="N33" s="28" t="n">
        <f aca="false">L33-M33</f>
        <v>-4.031871875</v>
      </c>
      <c r="O33" s="25" t="n">
        <f aca="false">IF(N33&gt;=-0.0000001,A33,O32)</f>
        <v>45866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45870</v>
      </c>
      <c r="B34" s="26" t="s">
        <v>83</v>
      </c>
      <c r="C34" s="27" t="n">
        <v>-20861.65</v>
      </c>
      <c r="D34" s="28" t="n">
        <f aca="false">C34/$T$1*100</f>
        <v>-1.303853125</v>
      </c>
      <c r="E34" s="28" t="n">
        <f aca="false">E33+D34</f>
        <v>4.849286875</v>
      </c>
      <c r="F34" s="28" t="n">
        <f aca="false">MAX(0,MAX($E$2:E34))</f>
        <v>9.290636875</v>
      </c>
      <c r="G34" s="28" t="n">
        <f aca="false">E34-F34</f>
        <v>-4.44135</v>
      </c>
      <c r="H34" s="25" t="n">
        <f aca="false">IF(G34&gt;=-0.0000001,A34,H33)</f>
        <v>45868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-20861.65</v>
      </c>
      <c r="L34" s="28" t="n">
        <f aca="false">L33+K34/$T$1*100</f>
        <v>5.079421875</v>
      </c>
      <c r="M34" s="28" t="n">
        <f aca="false">MAX(0,MAX($L$2:L34))</f>
        <v>10.415146875</v>
      </c>
      <c r="N34" s="28" t="n">
        <f aca="false">L34-M34</f>
        <v>-5.335725</v>
      </c>
      <c r="O34" s="25" t="n">
        <f aca="false">IF(N34&gt;=-0.0000001,A34,O33)</f>
        <v>45866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45873</v>
      </c>
      <c r="B35" s="26" t="s">
        <v>79</v>
      </c>
      <c r="C35" s="27" t="n">
        <v>32632.3</v>
      </c>
      <c r="D35" s="28" t="n">
        <f aca="false">C35/$T$1*100</f>
        <v>2.03951875</v>
      </c>
      <c r="E35" s="28" t="n">
        <f aca="false">E34+D35</f>
        <v>6.888805625</v>
      </c>
      <c r="F35" s="28" t="n">
        <f aca="false">MAX(0,MAX($E$2:E35))</f>
        <v>9.290636875</v>
      </c>
      <c r="G35" s="28" t="n">
        <f aca="false">E35-F35</f>
        <v>-2.40183125</v>
      </c>
      <c r="H35" s="25" t="n">
        <f aca="false">IF(G35&gt;=-0.0000001,A35,H34)</f>
        <v>45868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32632.3</v>
      </c>
      <c r="L35" s="28" t="n">
        <f aca="false">L34+K35/$T$1*100</f>
        <v>7.118940625</v>
      </c>
      <c r="M35" s="28" t="n">
        <f aca="false">MAX(0,MAX($L$2:L35))</f>
        <v>10.415146875</v>
      </c>
      <c r="N35" s="28" t="n">
        <f aca="false">L35-M35</f>
        <v>-3.29620625</v>
      </c>
      <c r="O35" s="25" t="n">
        <f aca="false">IF(N35&gt;=-0.0000001,A35,O34)</f>
        <v>45866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45875</v>
      </c>
      <c r="B36" s="26" t="s">
        <v>81</v>
      </c>
      <c r="C36" s="27" t="n">
        <v>47388.37</v>
      </c>
      <c r="D36" s="28" t="n">
        <f aca="false">C36/$T$1*100</f>
        <v>2.961773125</v>
      </c>
      <c r="E36" s="28" t="n">
        <f aca="false">E35+D36</f>
        <v>9.85057875</v>
      </c>
      <c r="F36" s="28" t="n">
        <f aca="false">MAX(0,MAX($E$2:E36))</f>
        <v>9.85057875</v>
      </c>
      <c r="G36" s="28" t="n">
        <f aca="false">E36-F36</f>
        <v>0</v>
      </c>
      <c r="H36" s="25" t="n">
        <f aca="false">IF(G36&gt;=-0.0000001,A36,H35)</f>
        <v>45875</v>
      </c>
      <c r="I36" s="29" t="n">
        <f aca="false">IF(AND(G36&gt;=-0.0000001,G35&lt;0),1,0)</f>
        <v>1</v>
      </c>
      <c r="J36" s="30" t="n">
        <f aca="false">IF(I36=1,A36-H35,"")</f>
        <v>7</v>
      </c>
      <c r="K36" s="27" t="n">
        <f aca="false">IF(B36="Wednesday",0,C36)</f>
        <v>0</v>
      </c>
      <c r="L36" s="28" t="n">
        <f aca="false">L35+K36/$T$1*100</f>
        <v>7.118940625</v>
      </c>
      <c r="M36" s="28" t="n">
        <f aca="false">MAX(0,MAX($L$2:L36))</f>
        <v>10.415146875</v>
      </c>
      <c r="N36" s="28" t="n">
        <f aca="false">L36-M36</f>
        <v>-3.29620625</v>
      </c>
      <c r="O36" s="25" t="n">
        <f aca="false">IF(N36&gt;=-0.0000001,A36,O35)</f>
        <v>45866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45876</v>
      </c>
      <c r="B37" s="26" t="s">
        <v>82</v>
      </c>
      <c r="C37" s="27" t="n">
        <v>12145.02</v>
      </c>
      <c r="D37" s="28" t="n">
        <f aca="false">C37/$T$1*100</f>
        <v>0.75906375</v>
      </c>
      <c r="E37" s="28" t="n">
        <f aca="false">E36+D37</f>
        <v>10.6096425</v>
      </c>
      <c r="F37" s="28" t="n">
        <f aca="false">MAX(0,MAX($E$2:E37))</f>
        <v>10.6096425</v>
      </c>
      <c r="G37" s="28" t="n">
        <f aca="false">E37-F37</f>
        <v>0</v>
      </c>
      <c r="H37" s="25" t="n">
        <f aca="false">IF(G37&gt;=-0.0000001,A37,H36)</f>
        <v>45876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12145.02</v>
      </c>
      <c r="L37" s="28" t="n">
        <f aca="false">L36+K37/$T$1*100</f>
        <v>7.878004375</v>
      </c>
      <c r="M37" s="28" t="n">
        <f aca="false">MAX(0,MAX($L$2:L37))</f>
        <v>10.415146875</v>
      </c>
      <c r="N37" s="28" t="n">
        <f aca="false">L37-M37</f>
        <v>-2.5371425</v>
      </c>
      <c r="O37" s="25" t="n">
        <f aca="false">IF(N37&gt;=-0.0000001,A37,O36)</f>
        <v>45866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45877</v>
      </c>
      <c r="B38" s="26" t="s">
        <v>83</v>
      </c>
      <c r="C38" s="27" t="n">
        <v>-13890</v>
      </c>
      <c r="D38" s="28" t="n">
        <f aca="false">C38/$T$1*100</f>
        <v>-0.868125</v>
      </c>
      <c r="E38" s="28" t="n">
        <f aca="false">E37+D38</f>
        <v>9.7415175</v>
      </c>
      <c r="F38" s="28" t="n">
        <f aca="false">MAX(0,MAX($E$2:E38))</f>
        <v>10.6096425</v>
      </c>
      <c r="G38" s="28" t="n">
        <f aca="false">E38-F38</f>
        <v>-0.868124999999999</v>
      </c>
      <c r="H38" s="25" t="n">
        <f aca="false">IF(G38&gt;=-0.0000001,A38,H37)</f>
        <v>45876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-13890</v>
      </c>
      <c r="L38" s="28" t="n">
        <f aca="false">L37+K38/$T$1*100</f>
        <v>7.009879375</v>
      </c>
      <c r="M38" s="28" t="n">
        <f aca="false">MAX(0,MAX($L$2:L38))</f>
        <v>10.415146875</v>
      </c>
      <c r="N38" s="28" t="n">
        <f aca="false">L38-M38</f>
        <v>-3.4052675</v>
      </c>
      <c r="O38" s="25" t="n">
        <f aca="false">IF(N38&gt;=-0.0000001,A38,O37)</f>
        <v>45866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45880</v>
      </c>
      <c r="B39" s="26" t="s">
        <v>79</v>
      </c>
      <c r="C39" s="27" t="n">
        <v>-24512.39</v>
      </c>
      <c r="D39" s="28" t="n">
        <f aca="false">C39/$T$1*100</f>
        <v>-1.532024375</v>
      </c>
      <c r="E39" s="28" t="n">
        <f aca="false">E38+D39</f>
        <v>8.209493125</v>
      </c>
      <c r="F39" s="28" t="n">
        <f aca="false">MAX(0,MAX($E$2:E39))</f>
        <v>10.6096425</v>
      </c>
      <c r="G39" s="28" t="n">
        <f aca="false">E39-F39</f>
        <v>-2.400149375</v>
      </c>
      <c r="H39" s="25" t="n">
        <f aca="false">IF(G39&gt;=-0.0000001,A39,H38)</f>
        <v>45876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-24512.39</v>
      </c>
      <c r="L39" s="28" t="n">
        <f aca="false">L38+K39/$T$1*100</f>
        <v>5.477855</v>
      </c>
      <c r="M39" s="28" t="n">
        <f aca="false">MAX(0,MAX($L$2:L39))</f>
        <v>10.415146875</v>
      </c>
      <c r="N39" s="28" t="n">
        <f aca="false">L39-M39</f>
        <v>-4.937291875</v>
      </c>
      <c r="O39" s="25" t="n">
        <f aca="false">IF(N39&gt;=-0.0000001,A39,O38)</f>
        <v>45866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45881</v>
      </c>
      <c r="B40" s="26" t="s">
        <v>80</v>
      </c>
      <c r="C40" s="27" t="n">
        <v>-13433.17</v>
      </c>
      <c r="D40" s="28" t="n">
        <f aca="false">C40/$T$1*100</f>
        <v>-0.839573125</v>
      </c>
      <c r="E40" s="28" t="n">
        <f aca="false">E39+D40</f>
        <v>7.36992</v>
      </c>
      <c r="F40" s="28" t="n">
        <f aca="false">MAX(0,MAX($E$2:E40))</f>
        <v>10.6096425</v>
      </c>
      <c r="G40" s="28" t="n">
        <f aca="false">E40-F40</f>
        <v>-3.2397225</v>
      </c>
      <c r="H40" s="25" t="n">
        <f aca="false">IF(G40&gt;=-0.0000001,A40,H39)</f>
        <v>45876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-13433.17</v>
      </c>
      <c r="L40" s="28" t="n">
        <f aca="false">L39+K40/$T$1*100</f>
        <v>4.638281875</v>
      </c>
      <c r="M40" s="28" t="n">
        <f aca="false">MAX(0,MAX($L$2:L40))</f>
        <v>10.415146875</v>
      </c>
      <c r="N40" s="28" t="n">
        <f aca="false">L40-M40</f>
        <v>-5.776865</v>
      </c>
      <c r="O40" s="25" t="n">
        <f aca="false">IF(N40&gt;=-0.0000001,A40,O39)</f>
        <v>45866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45882</v>
      </c>
      <c r="B41" s="26" t="s">
        <v>81</v>
      </c>
      <c r="C41" s="27" t="n">
        <v>21283.4</v>
      </c>
      <c r="D41" s="28" t="n">
        <f aca="false">C41/$T$1*100</f>
        <v>1.3302125</v>
      </c>
      <c r="E41" s="28" t="n">
        <f aca="false">E40+D41</f>
        <v>8.7001325</v>
      </c>
      <c r="F41" s="28" t="n">
        <f aca="false">MAX(0,MAX($E$2:E41))</f>
        <v>10.6096425</v>
      </c>
      <c r="G41" s="28" t="n">
        <f aca="false">E41-F41</f>
        <v>-1.90951</v>
      </c>
      <c r="H41" s="25" t="n">
        <f aca="false">IF(G41&gt;=-0.0000001,A41,H40)</f>
        <v>45876</v>
      </c>
      <c r="I41" s="29" t="n">
        <f aca="false">IF(AND(G41&gt;=-0.0000001,G40&lt;0),1,0)</f>
        <v>0</v>
      </c>
      <c r="J41" s="30" t="str">
        <f aca="false">IF(I41=1,A41-H40,"")</f>
        <v/>
      </c>
      <c r="K41" s="27" t="n">
        <f aca="false">IF(B41="Wednesday",0,C41)</f>
        <v>0</v>
      </c>
      <c r="L41" s="28" t="n">
        <f aca="false">L40+K41/$T$1*100</f>
        <v>4.638281875</v>
      </c>
      <c r="M41" s="28" t="n">
        <f aca="false">MAX(0,MAX($L$2:L41))</f>
        <v>10.415146875</v>
      </c>
      <c r="N41" s="28" t="n">
        <f aca="false">L41-M41</f>
        <v>-5.776865</v>
      </c>
      <c r="O41" s="25" t="n">
        <f aca="false">IF(N41&gt;=-0.0000001,A41,O40)</f>
        <v>45866</v>
      </c>
      <c r="P41" s="29" t="n">
        <f aca="false">IF(AND(N41&gt;=-0.0000001,N40&lt;0),1,0)</f>
        <v>0</v>
      </c>
      <c r="Q41" s="30" t="str">
        <f aca="false">IF(P41=1,A41-O40,"")</f>
        <v/>
      </c>
    </row>
    <row r="42" customFormat="false" ht="15" hidden="false" customHeight="false" outlineLevel="0" collapsed="false">
      <c r="A42" s="25" t="n">
        <v>45883</v>
      </c>
      <c r="B42" s="26" t="s">
        <v>82</v>
      </c>
      <c r="C42" s="27" t="n">
        <v>12293.63</v>
      </c>
      <c r="D42" s="28" t="n">
        <f aca="false">C42/$T$1*100</f>
        <v>0.768351875</v>
      </c>
      <c r="E42" s="28" t="n">
        <f aca="false">E41+D42</f>
        <v>9.468484375</v>
      </c>
      <c r="F42" s="28" t="n">
        <f aca="false">MAX(0,MAX($E$2:E42))</f>
        <v>10.6096425</v>
      </c>
      <c r="G42" s="28" t="n">
        <f aca="false">E42-F42</f>
        <v>-1.141158125</v>
      </c>
      <c r="H42" s="25" t="n">
        <f aca="false">IF(G42&gt;=-0.0000001,A42,H41)</f>
        <v>45876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12293.63</v>
      </c>
      <c r="L42" s="28" t="n">
        <f aca="false">L41+K42/$T$1*100</f>
        <v>5.40663375</v>
      </c>
      <c r="M42" s="28" t="n">
        <f aca="false">MAX(0,MAX($L$2:L42))</f>
        <v>10.415146875</v>
      </c>
      <c r="N42" s="28" t="n">
        <f aca="false">L42-M42</f>
        <v>-5.008513125</v>
      </c>
      <c r="O42" s="25" t="n">
        <f aca="false">IF(N42&gt;=-0.0000001,A42,O41)</f>
        <v>45866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45884</v>
      </c>
      <c r="B43" s="26" t="s">
        <v>83</v>
      </c>
      <c r="C43" s="27" t="n">
        <v>13590</v>
      </c>
      <c r="D43" s="28" t="n">
        <f aca="false">C43/$T$1*100</f>
        <v>0.849375</v>
      </c>
      <c r="E43" s="28" t="n">
        <f aca="false">E42+D43</f>
        <v>10.317859375</v>
      </c>
      <c r="F43" s="28" t="n">
        <f aca="false">MAX(0,MAX($E$2:E43))</f>
        <v>10.6096425</v>
      </c>
      <c r="G43" s="28" t="n">
        <f aca="false">E43-F43</f>
        <v>-0.291783124999999</v>
      </c>
      <c r="H43" s="25" t="n">
        <f aca="false">IF(G43&gt;=-0.0000001,A43,H42)</f>
        <v>45876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13590</v>
      </c>
      <c r="L43" s="28" t="n">
        <f aca="false">L42+K43/$T$1*100</f>
        <v>6.25600875</v>
      </c>
      <c r="M43" s="28" t="n">
        <f aca="false">MAX(0,MAX($L$2:L43))</f>
        <v>10.415146875</v>
      </c>
      <c r="N43" s="28" t="n">
        <f aca="false">L43-M43</f>
        <v>-4.159138125</v>
      </c>
      <c r="O43" s="25" t="n">
        <f aca="false">IF(N43&gt;=-0.0000001,A43,O42)</f>
        <v>45866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45887</v>
      </c>
      <c r="B44" s="26" t="s">
        <v>79</v>
      </c>
      <c r="C44" s="27" t="n">
        <v>-27959.6</v>
      </c>
      <c r="D44" s="28" t="n">
        <f aca="false">C44/$T$1*100</f>
        <v>-1.747475</v>
      </c>
      <c r="E44" s="28" t="n">
        <f aca="false">E43+D44</f>
        <v>8.570384375</v>
      </c>
      <c r="F44" s="28" t="n">
        <f aca="false">MAX(0,MAX($E$2:E44))</f>
        <v>10.6096425</v>
      </c>
      <c r="G44" s="28" t="n">
        <f aca="false">E44-F44</f>
        <v>-2.039258125</v>
      </c>
      <c r="H44" s="25" t="n">
        <f aca="false">IF(G44&gt;=-0.0000001,A44,H43)</f>
        <v>45876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-27959.6</v>
      </c>
      <c r="L44" s="28" t="n">
        <f aca="false">L43+K44/$T$1*100</f>
        <v>4.50853375</v>
      </c>
      <c r="M44" s="28" t="n">
        <f aca="false">MAX(0,MAX($L$2:L44))</f>
        <v>10.415146875</v>
      </c>
      <c r="N44" s="28" t="n">
        <f aca="false">L44-M44</f>
        <v>-5.906613125</v>
      </c>
      <c r="O44" s="25" t="n">
        <f aca="false">IF(N44&gt;=-0.0000001,A44,O43)</f>
        <v>45866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45888</v>
      </c>
      <c r="B45" s="26" t="s">
        <v>80</v>
      </c>
      <c r="C45" s="27" t="n">
        <v>45008.36</v>
      </c>
      <c r="D45" s="28" t="n">
        <f aca="false">C45/$T$1*100</f>
        <v>2.8130225</v>
      </c>
      <c r="E45" s="28" t="n">
        <f aca="false">E44+D45</f>
        <v>11.383406875</v>
      </c>
      <c r="F45" s="28" t="n">
        <f aca="false">MAX(0,MAX($E$2:E45))</f>
        <v>11.383406875</v>
      </c>
      <c r="G45" s="28" t="n">
        <f aca="false">E45-F45</f>
        <v>0</v>
      </c>
      <c r="H45" s="25" t="n">
        <f aca="false">IF(G45&gt;=-0.0000001,A45,H44)</f>
        <v>45888</v>
      </c>
      <c r="I45" s="29" t="n">
        <f aca="false">IF(AND(G45&gt;=-0.0000001,G44&lt;0),1,0)</f>
        <v>1</v>
      </c>
      <c r="J45" s="30" t="n">
        <f aca="false">IF(I45=1,A45-H44,"")</f>
        <v>12</v>
      </c>
      <c r="K45" s="27" t="n">
        <f aca="false">IF(B45="Wednesday",0,C45)</f>
        <v>45008.36</v>
      </c>
      <c r="L45" s="28" t="n">
        <f aca="false">L44+K45/$T$1*100</f>
        <v>7.32155625</v>
      </c>
      <c r="M45" s="28" t="n">
        <f aca="false">MAX(0,MAX($L$2:L45))</f>
        <v>10.415146875</v>
      </c>
      <c r="N45" s="28" t="n">
        <f aca="false">L45-M45</f>
        <v>-3.093590625</v>
      </c>
      <c r="O45" s="25" t="n">
        <f aca="false">IF(N45&gt;=-0.0000001,A45,O44)</f>
        <v>45866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45889</v>
      </c>
      <c r="B46" s="26" t="s">
        <v>81</v>
      </c>
      <c r="C46" s="27" t="n">
        <v>8385.36</v>
      </c>
      <c r="D46" s="28" t="n">
        <f aca="false">C46/$T$1*100</f>
        <v>0.524085</v>
      </c>
      <c r="E46" s="28" t="n">
        <f aca="false">E45+D46</f>
        <v>11.907491875</v>
      </c>
      <c r="F46" s="28" t="n">
        <f aca="false">MAX(0,MAX($E$2:E46))</f>
        <v>11.907491875</v>
      </c>
      <c r="G46" s="28" t="n">
        <f aca="false">E46-F46</f>
        <v>0</v>
      </c>
      <c r="H46" s="25" t="n">
        <f aca="false">IF(G46&gt;=-0.0000001,A46,H45)</f>
        <v>45889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0</v>
      </c>
      <c r="L46" s="28" t="n">
        <f aca="false">L45+K46/$T$1*100</f>
        <v>7.32155625</v>
      </c>
      <c r="M46" s="28" t="n">
        <f aca="false">MAX(0,MAX($L$2:L46))</f>
        <v>10.415146875</v>
      </c>
      <c r="N46" s="28" t="n">
        <f aca="false">L46-M46</f>
        <v>-3.093590625</v>
      </c>
      <c r="O46" s="25" t="n">
        <f aca="false">IF(N46&gt;=-0.0000001,A46,O45)</f>
        <v>45866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45890</v>
      </c>
      <c r="B47" s="26" t="s">
        <v>82</v>
      </c>
      <c r="C47" s="27" t="n">
        <v>25956.14</v>
      </c>
      <c r="D47" s="28" t="n">
        <f aca="false">C47/$T$1*100</f>
        <v>1.62225875</v>
      </c>
      <c r="E47" s="28" t="n">
        <f aca="false">E46+D47</f>
        <v>13.529750625</v>
      </c>
      <c r="F47" s="28" t="n">
        <f aca="false">MAX(0,MAX($E$2:E47))</f>
        <v>13.529750625</v>
      </c>
      <c r="G47" s="28" t="n">
        <f aca="false">E47-F47</f>
        <v>0</v>
      </c>
      <c r="H47" s="25" t="n">
        <f aca="false">IF(G47&gt;=-0.0000001,A47,H46)</f>
        <v>45890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25956.14</v>
      </c>
      <c r="L47" s="28" t="n">
        <f aca="false">L46+K47/$T$1*100</f>
        <v>8.943815</v>
      </c>
      <c r="M47" s="28" t="n">
        <f aca="false">MAX(0,MAX($L$2:L47))</f>
        <v>10.415146875</v>
      </c>
      <c r="N47" s="28" t="n">
        <f aca="false">L47-M47</f>
        <v>-1.471331875</v>
      </c>
      <c r="O47" s="25" t="n">
        <f aca="false">IF(N47&gt;=-0.0000001,A47,O46)</f>
        <v>45866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45891</v>
      </c>
      <c r="B48" s="26" t="s">
        <v>83</v>
      </c>
      <c r="C48" s="27" t="n">
        <v>5636.25</v>
      </c>
      <c r="D48" s="28" t="n">
        <f aca="false">C48/$T$1*100</f>
        <v>0.352265625</v>
      </c>
      <c r="E48" s="28" t="n">
        <f aca="false">E47+D48</f>
        <v>13.88201625</v>
      </c>
      <c r="F48" s="28" t="n">
        <f aca="false">MAX(0,MAX($E$2:E48))</f>
        <v>13.88201625</v>
      </c>
      <c r="G48" s="28" t="n">
        <f aca="false">E48-F48</f>
        <v>0</v>
      </c>
      <c r="H48" s="25" t="n">
        <f aca="false">IF(G48&gt;=-0.0000001,A48,H47)</f>
        <v>45891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5636.25</v>
      </c>
      <c r="L48" s="28" t="n">
        <f aca="false">L47+K48/$T$1*100</f>
        <v>9.296080625</v>
      </c>
      <c r="M48" s="28" t="n">
        <f aca="false">MAX(0,MAX($L$2:L48))</f>
        <v>10.415146875</v>
      </c>
      <c r="N48" s="28" t="n">
        <f aca="false">L48-M48</f>
        <v>-1.11906625</v>
      </c>
      <c r="O48" s="25" t="n">
        <f aca="false">IF(N48&gt;=-0.0000001,A48,O47)</f>
        <v>45866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45894</v>
      </c>
      <c r="B49" s="26" t="s">
        <v>79</v>
      </c>
      <c r="C49" s="27" t="n">
        <v>1749.9</v>
      </c>
      <c r="D49" s="28" t="n">
        <f aca="false">C49/$T$1*100</f>
        <v>0.10936875</v>
      </c>
      <c r="E49" s="28" t="n">
        <f aca="false">E48+D49</f>
        <v>13.991385</v>
      </c>
      <c r="F49" s="28" t="n">
        <f aca="false">MAX(0,MAX($E$2:E49))</f>
        <v>13.991385</v>
      </c>
      <c r="G49" s="28" t="n">
        <f aca="false">E49-F49</f>
        <v>0</v>
      </c>
      <c r="H49" s="25" t="n">
        <f aca="false">IF(G49&gt;=-0.0000001,A49,H48)</f>
        <v>45894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1749.9</v>
      </c>
      <c r="L49" s="28" t="n">
        <f aca="false">L48+K49/$T$1*100</f>
        <v>9.405449375</v>
      </c>
      <c r="M49" s="28" t="n">
        <f aca="false">MAX(0,MAX($L$2:L49))</f>
        <v>10.415146875</v>
      </c>
      <c r="N49" s="28" t="n">
        <f aca="false">L49-M49</f>
        <v>-1.0096975</v>
      </c>
      <c r="O49" s="25" t="n">
        <f aca="false">IF(N49&gt;=-0.0000001,A49,O48)</f>
        <v>45866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45895</v>
      </c>
      <c r="B50" s="26" t="s">
        <v>80</v>
      </c>
      <c r="C50" s="27" t="n">
        <v>-14505.21</v>
      </c>
      <c r="D50" s="28" t="n">
        <f aca="false">C50/$T$1*100</f>
        <v>-0.906575625</v>
      </c>
      <c r="E50" s="28" t="n">
        <f aca="false">E49+D50</f>
        <v>13.084809375</v>
      </c>
      <c r="F50" s="28" t="n">
        <f aca="false">MAX(0,MAX($E$2:E50))</f>
        <v>13.991385</v>
      </c>
      <c r="G50" s="28" t="n">
        <f aca="false">E50-F50</f>
        <v>-0.906575625</v>
      </c>
      <c r="H50" s="25" t="n">
        <f aca="false">IF(G50&gt;=-0.0000001,A50,H49)</f>
        <v>45894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-14505.21</v>
      </c>
      <c r="L50" s="28" t="n">
        <f aca="false">L49+K50/$T$1*100</f>
        <v>8.49887375</v>
      </c>
      <c r="M50" s="28" t="n">
        <f aca="false">MAX(0,MAX($L$2:L50))</f>
        <v>10.415146875</v>
      </c>
      <c r="N50" s="28" t="n">
        <f aca="false">L50-M50</f>
        <v>-1.916273125</v>
      </c>
      <c r="O50" s="25" t="n">
        <f aca="false">IF(N50&gt;=-0.0000001,A50,O49)</f>
        <v>45866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45896</v>
      </c>
      <c r="B51" s="26" t="s">
        <v>81</v>
      </c>
      <c r="C51" s="27" t="n">
        <v>11550</v>
      </c>
      <c r="D51" s="28" t="n">
        <f aca="false">C51/$T$1*100</f>
        <v>0.721875</v>
      </c>
      <c r="E51" s="28" t="n">
        <f aca="false">E50+D51</f>
        <v>13.806684375</v>
      </c>
      <c r="F51" s="28" t="n">
        <f aca="false">MAX(0,MAX($E$2:E51))</f>
        <v>13.991385</v>
      </c>
      <c r="G51" s="28" t="n">
        <f aca="false">E51-F51</f>
        <v>-0.184700625</v>
      </c>
      <c r="H51" s="25" t="n">
        <f aca="false">IF(G51&gt;=-0.0000001,A51,H50)</f>
        <v>45894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0</v>
      </c>
      <c r="L51" s="28" t="n">
        <f aca="false">L50+K51/$T$1*100</f>
        <v>8.49887375</v>
      </c>
      <c r="M51" s="28" t="n">
        <f aca="false">MAX(0,MAX($L$2:L51))</f>
        <v>10.415146875</v>
      </c>
      <c r="N51" s="28" t="n">
        <f aca="false">L51-M51</f>
        <v>-1.916273125</v>
      </c>
      <c r="O51" s="25" t="n">
        <f aca="false">IF(N51&gt;=-0.0000001,A51,O50)</f>
        <v>45866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45897</v>
      </c>
      <c r="B52" s="26" t="s">
        <v>82</v>
      </c>
      <c r="C52" s="27" t="n">
        <v>30021.41</v>
      </c>
      <c r="D52" s="28" t="n">
        <f aca="false">C52/$T$1*100</f>
        <v>1.876338125</v>
      </c>
      <c r="E52" s="28" t="n">
        <f aca="false">E51+D52</f>
        <v>15.6830225</v>
      </c>
      <c r="F52" s="28" t="n">
        <f aca="false">MAX(0,MAX($E$2:E52))</f>
        <v>15.6830225</v>
      </c>
      <c r="G52" s="28" t="n">
        <f aca="false">E52-F52</f>
        <v>0</v>
      </c>
      <c r="H52" s="25" t="n">
        <f aca="false">IF(G52&gt;=-0.0000001,A52,H51)</f>
        <v>45897</v>
      </c>
      <c r="I52" s="29" t="n">
        <f aca="false">IF(AND(G52&gt;=-0.0000001,G51&lt;0),1,0)</f>
        <v>1</v>
      </c>
      <c r="J52" s="30" t="n">
        <f aca="false">IF(I52=1,A52-H51,"")</f>
        <v>3</v>
      </c>
      <c r="K52" s="27" t="n">
        <f aca="false">IF(B52="Wednesday",0,C52)</f>
        <v>30021.41</v>
      </c>
      <c r="L52" s="28" t="n">
        <f aca="false">L51+K52/$T$1*100</f>
        <v>10.375211875</v>
      </c>
      <c r="M52" s="28" t="n">
        <f aca="false">MAX(0,MAX($L$2:L52))</f>
        <v>10.415146875</v>
      </c>
      <c r="N52" s="28" t="n">
        <f aca="false">L52-M52</f>
        <v>-0.0399349999999998</v>
      </c>
      <c r="O52" s="25" t="n">
        <f aca="false">IF(N52&gt;=-0.0000001,A52,O51)</f>
        <v>45866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45898</v>
      </c>
      <c r="B53" s="26" t="s">
        <v>83</v>
      </c>
      <c r="C53" s="27" t="n">
        <v>-5944.92</v>
      </c>
      <c r="D53" s="28" t="n">
        <f aca="false">C53/$T$1*100</f>
        <v>-0.3715575</v>
      </c>
      <c r="E53" s="28" t="n">
        <f aca="false">E52+D53</f>
        <v>15.311465</v>
      </c>
      <c r="F53" s="28" t="n">
        <f aca="false">MAX(0,MAX($E$2:E53))</f>
        <v>15.6830225</v>
      </c>
      <c r="G53" s="28" t="n">
        <f aca="false">E53-F53</f>
        <v>-0.3715575</v>
      </c>
      <c r="H53" s="25" t="n">
        <f aca="false">IF(G53&gt;=-0.0000001,A53,H52)</f>
        <v>45897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-5944.92</v>
      </c>
      <c r="L53" s="28" t="n">
        <f aca="false">L52+K53/$T$1*100</f>
        <v>10.003654375</v>
      </c>
      <c r="M53" s="28" t="n">
        <f aca="false">MAX(0,MAX($L$2:L53))</f>
        <v>10.415146875</v>
      </c>
      <c r="N53" s="28" t="n">
        <f aca="false">L53-M53</f>
        <v>-0.4114925</v>
      </c>
      <c r="O53" s="25" t="n">
        <f aca="false">IF(N53&gt;=-0.0000001,A53,O52)</f>
        <v>45866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45901</v>
      </c>
      <c r="B54" s="26" t="s">
        <v>79</v>
      </c>
      <c r="C54" s="27" t="n">
        <v>-4569.1</v>
      </c>
      <c r="D54" s="28" t="n">
        <f aca="false">C54/$T$1*100</f>
        <v>-0.28556875</v>
      </c>
      <c r="E54" s="28" t="n">
        <f aca="false">E53+D54</f>
        <v>15.02589625</v>
      </c>
      <c r="F54" s="28" t="n">
        <f aca="false">MAX(0,MAX($E$2:E54))</f>
        <v>15.6830225</v>
      </c>
      <c r="G54" s="28" t="n">
        <f aca="false">E54-F54</f>
        <v>-0.657126249999999</v>
      </c>
      <c r="H54" s="25" t="n">
        <f aca="false">IF(G54&gt;=-0.0000001,A54,H53)</f>
        <v>45897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-4569.1</v>
      </c>
      <c r="L54" s="28" t="n">
        <f aca="false">L53+K54/$T$1*100</f>
        <v>9.718085625</v>
      </c>
      <c r="M54" s="28" t="n">
        <f aca="false">MAX(0,MAX($L$2:L54))</f>
        <v>10.415146875</v>
      </c>
      <c r="N54" s="28" t="n">
        <f aca="false">L54-M54</f>
        <v>-0.697061249999999</v>
      </c>
      <c r="O54" s="25" t="n">
        <f aca="false">IF(N54&gt;=-0.0000001,A54,O53)</f>
        <v>45866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45902</v>
      </c>
      <c r="B55" s="26" t="s">
        <v>80</v>
      </c>
      <c r="C55" s="27" t="n">
        <v>7854.01</v>
      </c>
      <c r="D55" s="28" t="n">
        <f aca="false">C55/$T$1*100</f>
        <v>0.490875625</v>
      </c>
      <c r="E55" s="28" t="n">
        <f aca="false">E54+D55</f>
        <v>15.516771875</v>
      </c>
      <c r="F55" s="28" t="n">
        <f aca="false">MAX(0,MAX($E$2:E55))</f>
        <v>15.6830225</v>
      </c>
      <c r="G55" s="28" t="n">
        <f aca="false">E55-F55</f>
        <v>-0.166250625</v>
      </c>
      <c r="H55" s="25" t="n">
        <f aca="false">IF(G55&gt;=-0.0000001,A55,H54)</f>
        <v>45897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7854.01</v>
      </c>
      <c r="L55" s="28" t="n">
        <f aca="false">L54+K55/$T$1*100</f>
        <v>10.20896125</v>
      </c>
      <c r="M55" s="28" t="n">
        <f aca="false">MAX(0,MAX($L$2:L55))</f>
        <v>10.415146875</v>
      </c>
      <c r="N55" s="28" t="n">
        <f aca="false">L55-M55</f>
        <v>-0.206185625</v>
      </c>
      <c r="O55" s="25" t="n">
        <f aca="false">IF(N55&gt;=-0.0000001,A55,O54)</f>
        <v>45866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45903</v>
      </c>
      <c r="B56" s="26" t="s">
        <v>81</v>
      </c>
      <c r="C56" s="27" t="n">
        <v>-18667.12</v>
      </c>
      <c r="D56" s="28" t="n">
        <f aca="false">C56/$T$1*100</f>
        <v>-1.166695</v>
      </c>
      <c r="E56" s="28" t="n">
        <f aca="false">E55+D56</f>
        <v>14.350076875</v>
      </c>
      <c r="F56" s="28" t="n">
        <f aca="false">MAX(0,MAX($E$2:E56))</f>
        <v>15.6830225</v>
      </c>
      <c r="G56" s="28" t="n">
        <f aca="false">E56-F56</f>
        <v>-1.332945625</v>
      </c>
      <c r="H56" s="25" t="n">
        <f aca="false">IF(G56&gt;=-0.0000001,A56,H55)</f>
        <v>45897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0</v>
      </c>
      <c r="L56" s="28" t="n">
        <f aca="false">L55+K56/$T$1*100</f>
        <v>10.20896125</v>
      </c>
      <c r="M56" s="28" t="n">
        <f aca="false">MAX(0,MAX($L$2:L56))</f>
        <v>10.415146875</v>
      </c>
      <c r="N56" s="28" t="n">
        <f aca="false">L56-M56</f>
        <v>-0.206185625</v>
      </c>
      <c r="O56" s="25" t="n">
        <f aca="false">IF(N56&gt;=-0.0000001,A56,O55)</f>
        <v>45866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45904</v>
      </c>
      <c r="B57" s="26" t="s">
        <v>82</v>
      </c>
      <c r="C57" s="27" t="n">
        <v>12560.38</v>
      </c>
      <c r="D57" s="28" t="n">
        <f aca="false">C57/$T$1*100</f>
        <v>0.78502375</v>
      </c>
      <c r="E57" s="28" t="n">
        <f aca="false">E56+D57</f>
        <v>15.135100625</v>
      </c>
      <c r="F57" s="28" t="n">
        <f aca="false">MAX(0,MAX($E$2:E57))</f>
        <v>15.6830225</v>
      </c>
      <c r="G57" s="28" t="n">
        <f aca="false">E57-F57</f>
        <v>-0.547921875</v>
      </c>
      <c r="H57" s="25" t="n">
        <f aca="false">IF(G57&gt;=-0.0000001,A57,H56)</f>
        <v>45897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12560.38</v>
      </c>
      <c r="L57" s="28" t="n">
        <f aca="false">L56+K57/$T$1*100</f>
        <v>10.993985</v>
      </c>
      <c r="M57" s="28" t="n">
        <f aca="false">MAX(0,MAX($L$2:L57))</f>
        <v>10.993985</v>
      </c>
      <c r="N57" s="28" t="n">
        <f aca="false">L57-M57</f>
        <v>0</v>
      </c>
      <c r="O57" s="25" t="n">
        <f aca="false">IF(N57&gt;=-0.0000001,A57,O56)</f>
        <v>45904</v>
      </c>
      <c r="P57" s="29" t="n">
        <f aca="false">IF(AND(N57&gt;=-0.0000001,N56&lt;0),1,0)</f>
        <v>1</v>
      </c>
      <c r="Q57" s="30" t="n">
        <f aca="false">IF(P57=1,A57-O56,"")</f>
        <v>38</v>
      </c>
    </row>
    <row r="58" customFormat="false" ht="15" hidden="false" customHeight="false" outlineLevel="0" collapsed="false">
      <c r="A58" s="25" t="n">
        <v>45905</v>
      </c>
      <c r="B58" s="26" t="s">
        <v>83</v>
      </c>
      <c r="C58" s="27" t="n">
        <v>22111.38</v>
      </c>
      <c r="D58" s="28" t="n">
        <f aca="false">C58/$T$1*100</f>
        <v>1.38196125</v>
      </c>
      <c r="E58" s="28" t="n">
        <f aca="false">E57+D58</f>
        <v>16.517061875</v>
      </c>
      <c r="F58" s="28" t="n">
        <f aca="false">MAX(0,MAX($E$2:E58))</f>
        <v>16.517061875</v>
      </c>
      <c r="G58" s="28" t="n">
        <f aca="false">E58-F58</f>
        <v>0</v>
      </c>
      <c r="H58" s="25" t="n">
        <f aca="false">IF(G58&gt;=-0.0000001,A58,H57)</f>
        <v>45905</v>
      </c>
      <c r="I58" s="29" t="n">
        <f aca="false">IF(AND(G58&gt;=-0.0000001,G57&lt;0),1,0)</f>
        <v>1</v>
      </c>
      <c r="J58" s="30" t="n">
        <f aca="false">IF(I58=1,A58-H57,"")</f>
        <v>8</v>
      </c>
      <c r="K58" s="27" t="n">
        <f aca="false">IF(B58="Wednesday",0,C58)</f>
        <v>22111.38</v>
      </c>
      <c r="L58" s="28" t="n">
        <f aca="false">L57+K58/$T$1*100</f>
        <v>12.37594625</v>
      </c>
      <c r="M58" s="28" t="n">
        <f aca="false">MAX(0,MAX($L$2:L58))</f>
        <v>12.37594625</v>
      </c>
      <c r="N58" s="28" t="n">
        <f aca="false">L58-M58</f>
        <v>0</v>
      </c>
      <c r="O58" s="25" t="n">
        <f aca="false">IF(N58&gt;=-0.0000001,A58,O57)</f>
        <v>45905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45908</v>
      </c>
      <c r="B59" s="26" t="s">
        <v>79</v>
      </c>
      <c r="C59" s="27" t="n">
        <v>-16433.68</v>
      </c>
      <c r="D59" s="28" t="n">
        <f aca="false">C59/$T$1*100</f>
        <v>-1.027105</v>
      </c>
      <c r="E59" s="28" t="n">
        <f aca="false">E58+D59</f>
        <v>15.489956875</v>
      </c>
      <c r="F59" s="28" t="n">
        <f aca="false">MAX(0,MAX($E$2:E59))</f>
        <v>16.517061875</v>
      </c>
      <c r="G59" s="28" t="n">
        <f aca="false">E59-F59</f>
        <v>-1.027105</v>
      </c>
      <c r="H59" s="25" t="n">
        <f aca="false">IF(G59&gt;=-0.0000001,A59,H58)</f>
        <v>45905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-16433.68</v>
      </c>
      <c r="L59" s="28" t="n">
        <f aca="false">L58+K59/$T$1*100</f>
        <v>11.34884125</v>
      </c>
      <c r="M59" s="28" t="n">
        <f aca="false">MAX(0,MAX($L$2:L59))</f>
        <v>12.37594625</v>
      </c>
      <c r="N59" s="28" t="n">
        <f aca="false">L59-M59</f>
        <v>-1.027105</v>
      </c>
      <c r="O59" s="25" t="n">
        <f aca="false">IF(N59&gt;=-0.0000001,A59,O58)</f>
        <v>45905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45909</v>
      </c>
      <c r="B60" s="26" t="s">
        <v>80</v>
      </c>
      <c r="C60" s="27" t="n">
        <v>19918.42</v>
      </c>
      <c r="D60" s="28" t="n">
        <f aca="false">C60/$T$1*100</f>
        <v>1.24490125</v>
      </c>
      <c r="E60" s="28" t="n">
        <f aca="false">E59+D60</f>
        <v>16.734858125</v>
      </c>
      <c r="F60" s="28" t="n">
        <f aca="false">MAX(0,MAX($E$2:E60))</f>
        <v>16.734858125</v>
      </c>
      <c r="G60" s="28" t="n">
        <f aca="false">E60-F60</f>
        <v>0</v>
      </c>
      <c r="H60" s="25" t="n">
        <f aca="false">IF(G60&gt;=-0.0000001,A60,H59)</f>
        <v>45909</v>
      </c>
      <c r="I60" s="29" t="n">
        <f aca="false">IF(AND(G60&gt;=-0.0000001,G59&lt;0),1,0)</f>
        <v>1</v>
      </c>
      <c r="J60" s="30" t="n">
        <f aca="false">IF(I60=1,A60-H59,"")</f>
        <v>4</v>
      </c>
      <c r="K60" s="27" t="n">
        <f aca="false">IF(B60="Wednesday",0,C60)</f>
        <v>19918.42</v>
      </c>
      <c r="L60" s="28" t="n">
        <f aca="false">L59+K60/$T$1*100</f>
        <v>12.5937425</v>
      </c>
      <c r="M60" s="28" t="n">
        <f aca="false">MAX(0,MAX($L$2:L60))</f>
        <v>12.5937425</v>
      </c>
      <c r="N60" s="28" t="n">
        <f aca="false">L60-M60</f>
        <v>0</v>
      </c>
      <c r="O60" s="25" t="n">
        <f aca="false">IF(N60&gt;=-0.0000001,A60,O59)</f>
        <v>45909</v>
      </c>
      <c r="P60" s="29" t="n">
        <f aca="false">IF(AND(N60&gt;=-0.0000001,N59&lt;0),1,0)</f>
        <v>1</v>
      </c>
      <c r="Q60" s="30" t="n">
        <f aca="false">IF(P60=1,A60-O59,"")</f>
        <v>4</v>
      </c>
    </row>
    <row r="61" customFormat="false" ht="15" hidden="false" customHeight="false" outlineLevel="0" collapsed="false">
      <c r="A61" s="25" t="n">
        <v>45910</v>
      </c>
      <c r="B61" s="26" t="s">
        <v>81</v>
      </c>
      <c r="C61" s="27" t="n">
        <v>2576.25</v>
      </c>
      <c r="D61" s="28" t="n">
        <f aca="false">C61/$T$1*100</f>
        <v>0.161015625</v>
      </c>
      <c r="E61" s="28" t="n">
        <f aca="false">E60+D61</f>
        <v>16.89587375</v>
      </c>
      <c r="F61" s="28" t="n">
        <f aca="false">MAX(0,MAX($E$2:E61))</f>
        <v>16.89587375</v>
      </c>
      <c r="G61" s="28" t="n">
        <f aca="false">E61-F61</f>
        <v>0</v>
      </c>
      <c r="H61" s="25" t="n">
        <f aca="false">IF(G61&gt;=-0.0000001,A61,H60)</f>
        <v>45910</v>
      </c>
      <c r="I61" s="29" t="n">
        <f aca="false">IF(AND(G61&gt;=-0.0000001,G60&lt;0),1,0)</f>
        <v>0</v>
      </c>
      <c r="J61" s="30" t="str">
        <f aca="false">IF(I61=1,A61-H60,"")</f>
        <v/>
      </c>
      <c r="K61" s="27" t="n">
        <f aca="false">IF(B61="Wednesday",0,C61)</f>
        <v>0</v>
      </c>
      <c r="L61" s="28" t="n">
        <f aca="false">L60+K61/$T$1*100</f>
        <v>12.5937425</v>
      </c>
      <c r="M61" s="28" t="n">
        <f aca="false">MAX(0,MAX($L$2:L61))</f>
        <v>12.5937425</v>
      </c>
      <c r="N61" s="28" t="n">
        <f aca="false">L61-M61</f>
        <v>0</v>
      </c>
      <c r="O61" s="25" t="n">
        <f aca="false">IF(N61&gt;=-0.0000001,A61,O60)</f>
        <v>45910</v>
      </c>
      <c r="P61" s="29" t="n">
        <f aca="false">IF(AND(N61&gt;=-0.0000001,N60&lt;0),1,0)</f>
        <v>0</v>
      </c>
      <c r="Q61" s="30" t="str">
        <f aca="false">IF(P61=1,A61-O60,"")</f>
        <v/>
      </c>
    </row>
    <row r="62" customFormat="false" ht="15" hidden="false" customHeight="false" outlineLevel="0" collapsed="false">
      <c r="A62" s="25" t="n">
        <v>45911</v>
      </c>
      <c r="B62" s="26" t="s">
        <v>82</v>
      </c>
      <c r="C62" s="27" t="n">
        <v>-929.89</v>
      </c>
      <c r="D62" s="28" t="n">
        <f aca="false">C62/$T$1*100</f>
        <v>-0.058118125</v>
      </c>
      <c r="E62" s="28" t="n">
        <f aca="false">E61+D62</f>
        <v>16.837755625</v>
      </c>
      <c r="F62" s="28" t="n">
        <f aca="false">MAX(0,MAX($E$2:E62))</f>
        <v>16.89587375</v>
      </c>
      <c r="G62" s="28" t="n">
        <f aca="false">E62-F62</f>
        <v>-0.058118125</v>
      </c>
      <c r="H62" s="25" t="n">
        <f aca="false">IF(G62&gt;=-0.0000001,A62,H61)</f>
        <v>45910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-929.89</v>
      </c>
      <c r="L62" s="28" t="n">
        <f aca="false">L61+K62/$T$1*100</f>
        <v>12.535624375</v>
      </c>
      <c r="M62" s="28" t="n">
        <f aca="false">MAX(0,MAX($L$2:L62))</f>
        <v>12.5937425</v>
      </c>
      <c r="N62" s="28" t="n">
        <f aca="false">L62-M62</f>
        <v>-0.058118125</v>
      </c>
      <c r="O62" s="25" t="n">
        <f aca="false">IF(N62&gt;=-0.0000001,A62,O61)</f>
        <v>45910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45912</v>
      </c>
      <c r="B63" s="26" t="s">
        <v>83</v>
      </c>
      <c r="C63" s="27" t="n">
        <v>10585.45</v>
      </c>
      <c r="D63" s="28" t="n">
        <f aca="false">C63/$T$1*100</f>
        <v>0.661590625</v>
      </c>
      <c r="E63" s="28" t="n">
        <f aca="false">E62+D63</f>
        <v>17.49934625</v>
      </c>
      <c r="F63" s="28" t="n">
        <f aca="false">MAX(0,MAX($E$2:E63))</f>
        <v>17.49934625</v>
      </c>
      <c r="G63" s="28" t="n">
        <f aca="false">E63-F63</f>
        <v>0</v>
      </c>
      <c r="H63" s="25" t="n">
        <f aca="false">IF(G63&gt;=-0.0000001,A63,H62)</f>
        <v>45912</v>
      </c>
      <c r="I63" s="29" t="n">
        <f aca="false">IF(AND(G63&gt;=-0.0000001,G62&lt;0),1,0)</f>
        <v>1</v>
      </c>
      <c r="J63" s="30" t="n">
        <f aca="false">IF(I63=1,A63-H62,"")</f>
        <v>2</v>
      </c>
      <c r="K63" s="27" t="n">
        <f aca="false">IF(B63="Wednesday",0,C63)</f>
        <v>10585.45</v>
      </c>
      <c r="L63" s="28" t="n">
        <f aca="false">L62+K63/$T$1*100</f>
        <v>13.197215</v>
      </c>
      <c r="M63" s="28" t="n">
        <f aca="false">MAX(0,MAX($L$2:L63))</f>
        <v>13.197215</v>
      </c>
      <c r="N63" s="28" t="n">
        <f aca="false">L63-M63</f>
        <v>0</v>
      </c>
      <c r="O63" s="25" t="n">
        <f aca="false">IF(N63&gt;=-0.0000001,A63,O62)</f>
        <v>45912</v>
      </c>
      <c r="P63" s="29" t="n">
        <f aca="false">IF(AND(N63&gt;=-0.0000001,N62&lt;0),1,0)</f>
        <v>1</v>
      </c>
      <c r="Q63" s="30" t="n">
        <f aca="false">IF(P63=1,A63-O62,"")</f>
        <v>2</v>
      </c>
    </row>
    <row r="64" customFormat="false" ht="15" hidden="false" customHeight="false" outlineLevel="0" collapsed="false">
      <c r="A64" s="25" t="n">
        <v>45915</v>
      </c>
      <c r="B64" s="26" t="s">
        <v>79</v>
      </c>
      <c r="C64" s="27" t="n">
        <v>26945</v>
      </c>
      <c r="D64" s="28" t="n">
        <f aca="false">C64/$T$1*100</f>
        <v>1.6840625</v>
      </c>
      <c r="E64" s="28" t="n">
        <f aca="false">E63+D64</f>
        <v>19.18340875</v>
      </c>
      <c r="F64" s="28" t="n">
        <f aca="false">MAX(0,MAX($E$2:E64))</f>
        <v>19.18340875</v>
      </c>
      <c r="G64" s="28" t="n">
        <f aca="false">E64-F64</f>
        <v>0</v>
      </c>
      <c r="H64" s="25" t="n">
        <f aca="false">IF(G64&gt;=-0.0000001,A64,H63)</f>
        <v>45915</v>
      </c>
      <c r="I64" s="29" t="n">
        <f aca="false">IF(AND(G64&gt;=-0.0000001,G63&lt;0),1,0)</f>
        <v>0</v>
      </c>
      <c r="J64" s="30" t="str">
        <f aca="false">IF(I64=1,A64-H63,"")</f>
        <v/>
      </c>
      <c r="K64" s="27" t="n">
        <f aca="false">IF(B64="Wednesday",0,C64)</f>
        <v>26945</v>
      </c>
      <c r="L64" s="28" t="n">
        <f aca="false">L63+K64/$T$1*100</f>
        <v>14.8812775</v>
      </c>
      <c r="M64" s="28" t="n">
        <f aca="false">MAX(0,MAX($L$2:L64))</f>
        <v>14.8812775</v>
      </c>
      <c r="N64" s="28" t="n">
        <f aca="false">L64-M64</f>
        <v>0</v>
      </c>
      <c r="O64" s="25" t="n">
        <f aca="false">IF(N64&gt;=-0.0000001,A64,O63)</f>
        <v>45915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45916</v>
      </c>
      <c r="B65" s="26" t="s">
        <v>80</v>
      </c>
      <c r="C65" s="27" t="n">
        <v>5881.3</v>
      </c>
      <c r="D65" s="28" t="n">
        <f aca="false">C65/$T$1*100</f>
        <v>0.36758125</v>
      </c>
      <c r="E65" s="28" t="n">
        <f aca="false">E64+D65</f>
        <v>19.55099</v>
      </c>
      <c r="F65" s="28" t="n">
        <f aca="false">MAX(0,MAX($E$2:E65))</f>
        <v>19.55099</v>
      </c>
      <c r="G65" s="28" t="n">
        <f aca="false">E65-F65</f>
        <v>0</v>
      </c>
      <c r="H65" s="25" t="n">
        <f aca="false">IF(G65&gt;=-0.0000001,A65,H64)</f>
        <v>45916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5881.3</v>
      </c>
      <c r="L65" s="28" t="n">
        <f aca="false">L64+K65/$T$1*100</f>
        <v>15.24885875</v>
      </c>
      <c r="M65" s="28" t="n">
        <f aca="false">MAX(0,MAX($L$2:L65))</f>
        <v>15.24885875</v>
      </c>
      <c r="N65" s="28" t="n">
        <f aca="false">L65-M65</f>
        <v>0</v>
      </c>
      <c r="O65" s="25" t="n">
        <f aca="false">IF(N65&gt;=-0.0000001,A65,O64)</f>
        <v>45916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45917</v>
      </c>
      <c r="B66" s="26" t="s">
        <v>81</v>
      </c>
      <c r="C66" s="27" t="n">
        <v>-4492.5</v>
      </c>
      <c r="D66" s="28" t="n">
        <f aca="false">C66/$T$1*100</f>
        <v>-0.28078125</v>
      </c>
      <c r="E66" s="28" t="n">
        <f aca="false">E65+D66</f>
        <v>19.27020875</v>
      </c>
      <c r="F66" s="28" t="n">
        <f aca="false">MAX(0,MAX($E$2:E66))</f>
        <v>19.55099</v>
      </c>
      <c r="G66" s="28" t="n">
        <f aca="false">E66-F66</f>
        <v>-0.28078125</v>
      </c>
      <c r="H66" s="25" t="n">
        <f aca="false">IF(G66&gt;=-0.0000001,A66,H65)</f>
        <v>45916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0</v>
      </c>
      <c r="L66" s="28" t="n">
        <f aca="false">L65+K66/$T$1*100</f>
        <v>15.24885875</v>
      </c>
      <c r="M66" s="28" t="n">
        <f aca="false">MAX(0,MAX($L$2:L66))</f>
        <v>15.24885875</v>
      </c>
      <c r="N66" s="28" t="n">
        <f aca="false">L66-M66</f>
        <v>0</v>
      </c>
      <c r="O66" s="25" t="n">
        <f aca="false">IF(N66&gt;=-0.0000001,A66,O65)</f>
        <v>45917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45918</v>
      </c>
      <c r="B67" s="26" t="s">
        <v>82</v>
      </c>
      <c r="C67" s="27" t="n">
        <v>-45657.81</v>
      </c>
      <c r="D67" s="28" t="n">
        <f aca="false">C67/$T$1*100</f>
        <v>-2.853613125</v>
      </c>
      <c r="E67" s="28" t="n">
        <f aca="false">E66+D67</f>
        <v>16.416595625</v>
      </c>
      <c r="F67" s="28" t="n">
        <f aca="false">MAX(0,MAX($E$2:E67))</f>
        <v>19.55099</v>
      </c>
      <c r="G67" s="28" t="n">
        <f aca="false">E67-F67</f>
        <v>-3.134394375</v>
      </c>
      <c r="H67" s="25" t="n">
        <f aca="false">IF(G67&gt;=-0.0000001,A67,H66)</f>
        <v>45916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-45657.81</v>
      </c>
      <c r="L67" s="28" t="n">
        <f aca="false">L66+K67/$T$1*100</f>
        <v>12.395245625</v>
      </c>
      <c r="M67" s="28" t="n">
        <f aca="false">MAX(0,MAX($L$2:L67))</f>
        <v>15.24885875</v>
      </c>
      <c r="N67" s="28" t="n">
        <f aca="false">L67-M67</f>
        <v>-2.853613125</v>
      </c>
      <c r="O67" s="25" t="n">
        <f aca="false">IF(N67&gt;=-0.0000001,A67,O66)</f>
        <v>45917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45919</v>
      </c>
      <c r="B68" s="26" t="s">
        <v>83</v>
      </c>
      <c r="C68" s="27" t="n">
        <v>35922.6</v>
      </c>
      <c r="D68" s="28" t="n">
        <f aca="false">C68/$T$1*100</f>
        <v>2.2451625</v>
      </c>
      <c r="E68" s="28" t="n">
        <f aca="false">E67+D68</f>
        <v>18.661758125</v>
      </c>
      <c r="F68" s="28" t="n">
        <f aca="false">MAX(0,MAX($E$2:E68))</f>
        <v>19.55099</v>
      </c>
      <c r="G68" s="28" t="n">
        <f aca="false">E68-F68</f>
        <v>-0.889231875</v>
      </c>
      <c r="H68" s="25" t="n">
        <f aca="false">IF(G68&gt;=-0.0000001,A68,H67)</f>
        <v>45916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35922.6</v>
      </c>
      <c r="L68" s="28" t="n">
        <f aca="false">L67+K68/$T$1*100</f>
        <v>14.640408125</v>
      </c>
      <c r="M68" s="28" t="n">
        <f aca="false">MAX(0,MAX($L$2:L68))</f>
        <v>15.24885875</v>
      </c>
      <c r="N68" s="28" t="n">
        <f aca="false">L68-M68</f>
        <v>-0.608450625000002</v>
      </c>
      <c r="O68" s="25" t="n">
        <f aca="false">IF(N68&gt;=-0.0000001,A68,O67)</f>
        <v>45917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45922</v>
      </c>
      <c r="B69" s="26" t="s">
        <v>79</v>
      </c>
      <c r="C69" s="27" t="n">
        <v>46623.53</v>
      </c>
      <c r="D69" s="28" t="n">
        <f aca="false">C69/$T$1*100</f>
        <v>2.913970625</v>
      </c>
      <c r="E69" s="28" t="n">
        <f aca="false">E68+D69</f>
        <v>21.57572875</v>
      </c>
      <c r="F69" s="28" t="n">
        <f aca="false">MAX(0,MAX($E$2:E69))</f>
        <v>21.57572875</v>
      </c>
      <c r="G69" s="28" t="n">
        <f aca="false">E69-F69</f>
        <v>0</v>
      </c>
      <c r="H69" s="25" t="n">
        <f aca="false">IF(G69&gt;=-0.0000001,A69,H68)</f>
        <v>45922</v>
      </c>
      <c r="I69" s="29" t="n">
        <f aca="false">IF(AND(G69&gt;=-0.0000001,G68&lt;0),1,0)</f>
        <v>1</v>
      </c>
      <c r="J69" s="30" t="n">
        <f aca="false">IF(I69=1,A69-H68,"")</f>
        <v>6</v>
      </c>
      <c r="K69" s="27" t="n">
        <f aca="false">IF(B69="Wednesday",0,C69)</f>
        <v>46623.53</v>
      </c>
      <c r="L69" s="28" t="n">
        <f aca="false">L68+K69/$T$1*100</f>
        <v>17.55437875</v>
      </c>
      <c r="M69" s="28" t="n">
        <f aca="false">MAX(0,MAX($L$2:L69))</f>
        <v>17.55437875</v>
      </c>
      <c r="N69" s="28" t="n">
        <f aca="false">L69-M69</f>
        <v>0</v>
      </c>
      <c r="O69" s="25" t="n">
        <f aca="false">IF(N69&gt;=-0.0000001,A69,O68)</f>
        <v>45922</v>
      </c>
      <c r="P69" s="29" t="n">
        <f aca="false">IF(AND(N69&gt;=-0.0000001,N68&lt;0),1,0)</f>
        <v>1</v>
      </c>
      <c r="Q69" s="30" t="n">
        <f aca="false">IF(P69=1,A69-O68,"")</f>
        <v>5</v>
      </c>
    </row>
    <row r="70" customFormat="false" ht="15" hidden="false" customHeight="false" outlineLevel="0" collapsed="false">
      <c r="A70" s="25" t="n">
        <v>45923</v>
      </c>
      <c r="B70" s="26" t="s">
        <v>80</v>
      </c>
      <c r="C70" s="27" t="n">
        <v>60754.38</v>
      </c>
      <c r="D70" s="28" t="n">
        <f aca="false">C70/$T$1*100</f>
        <v>3.79714875</v>
      </c>
      <c r="E70" s="28" t="n">
        <f aca="false">E69+D70</f>
        <v>25.3728775</v>
      </c>
      <c r="F70" s="28" t="n">
        <f aca="false">MAX(0,MAX($E$2:E70))</f>
        <v>25.3728775</v>
      </c>
      <c r="G70" s="28" t="n">
        <f aca="false">E70-F70</f>
        <v>0</v>
      </c>
      <c r="H70" s="25" t="n">
        <f aca="false">IF(G70&gt;=-0.0000001,A70,H69)</f>
        <v>45923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60754.38</v>
      </c>
      <c r="L70" s="28" t="n">
        <f aca="false">L69+K70/$T$1*100</f>
        <v>21.3515275</v>
      </c>
      <c r="M70" s="28" t="n">
        <f aca="false">MAX(0,MAX($L$2:L70))</f>
        <v>21.3515275</v>
      </c>
      <c r="N70" s="28" t="n">
        <f aca="false">L70-M70</f>
        <v>0</v>
      </c>
      <c r="O70" s="25" t="n">
        <f aca="false">IF(N70&gt;=-0.0000001,A70,O69)</f>
        <v>45923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45924</v>
      </c>
      <c r="B71" s="26" t="s">
        <v>81</v>
      </c>
      <c r="C71" s="27" t="n">
        <v>-5737.5</v>
      </c>
      <c r="D71" s="28" t="n">
        <f aca="false">C71/$T$1*100</f>
        <v>-0.35859375</v>
      </c>
      <c r="E71" s="28" t="n">
        <f aca="false">E70+D71</f>
        <v>25.01428375</v>
      </c>
      <c r="F71" s="28" t="n">
        <f aca="false">MAX(0,MAX($E$2:E71))</f>
        <v>25.3728775</v>
      </c>
      <c r="G71" s="28" t="n">
        <f aca="false">E71-F71</f>
        <v>-0.358593750000001</v>
      </c>
      <c r="H71" s="25" t="n">
        <f aca="false">IF(G71&gt;=-0.0000001,A71,H70)</f>
        <v>45923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0</v>
      </c>
      <c r="L71" s="28" t="n">
        <f aca="false">L70+K71/$T$1*100</f>
        <v>21.3515275</v>
      </c>
      <c r="M71" s="28" t="n">
        <f aca="false">MAX(0,MAX($L$2:L71))</f>
        <v>21.3515275</v>
      </c>
      <c r="N71" s="28" t="n">
        <f aca="false">L71-M71</f>
        <v>0</v>
      </c>
      <c r="O71" s="25" t="n">
        <f aca="false">IF(N71&gt;=-0.0000001,A71,O70)</f>
        <v>45924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45925</v>
      </c>
      <c r="B72" s="26" t="s">
        <v>82</v>
      </c>
      <c r="C72" s="27" t="n">
        <v>-15567.23</v>
      </c>
      <c r="D72" s="28" t="n">
        <f aca="false">C72/$T$1*100</f>
        <v>-0.972951875</v>
      </c>
      <c r="E72" s="28" t="n">
        <f aca="false">E71+D72</f>
        <v>24.041331875</v>
      </c>
      <c r="F72" s="28" t="n">
        <f aca="false">MAX(0,MAX($E$2:E72))</f>
        <v>25.3728775</v>
      </c>
      <c r="G72" s="28" t="n">
        <f aca="false">E72-F72</f>
        <v>-1.331545625</v>
      </c>
      <c r="H72" s="25" t="n">
        <f aca="false">IF(G72&gt;=-0.0000001,A72,H71)</f>
        <v>45923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-15567.23</v>
      </c>
      <c r="L72" s="28" t="n">
        <f aca="false">L71+K72/$T$1*100</f>
        <v>20.378575625</v>
      </c>
      <c r="M72" s="28" t="n">
        <f aca="false">MAX(0,MAX($L$2:L72))</f>
        <v>21.3515275</v>
      </c>
      <c r="N72" s="28" t="n">
        <f aca="false">L72-M72</f>
        <v>-0.972951875</v>
      </c>
      <c r="O72" s="25" t="n">
        <f aca="false">IF(N72&gt;=-0.0000001,A72,O71)</f>
        <v>45924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45926</v>
      </c>
      <c r="B73" s="26" t="s">
        <v>83</v>
      </c>
      <c r="C73" s="27" t="n">
        <v>22765.18</v>
      </c>
      <c r="D73" s="28" t="n">
        <f aca="false">C73/$T$1*100</f>
        <v>1.42282375</v>
      </c>
      <c r="E73" s="28" t="n">
        <f aca="false">E72+D73</f>
        <v>25.464155625</v>
      </c>
      <c r="F73" s="28" t="n">
        <f aca="false">MAX(0,MAX($E$2:E73))</f>
        <v>25.464155625</v>
      </c>
      <c r="G73" s="28" t="n">
        <f aca="false">E73-F73</f>
        <v>0</v>
      </c>
      <c r="H73" s="25" t="n">
        <f aca="false">IF(G73&gt;=-0.0000001,A73,H72)</f>
        <v>45926</v>
      </c>
      <c r="I73" s="29" t="n">
        <f aca="false">IF(AND(G73&gt;=-0.0000001,G72&lt;0),1,0)</f>
        <v>1</v>
      </c>
      <c r="J73" s="30" t="n">
        <f aca="false">IF(I73=1,A73-H72,"")</f>
        <v>3</v>
      </c>
      <c r="K73" s="27" t="n">
        <f aca="false">IF(B73="Wednesday",0,C73)</f>
        <v>22765.18</v>
      </c>
      <c r="L73" s="28" t="n">
        <f aca="false">L72+K73/$T$1*100</f>
        <v>21.801399375</v>
      </c>
      <c r="M73" s="28" t="n">
        <f aca="false">MAX(0,MAX($L$2:L73))</f>
        <v>21.801399375</v>
      </c>
      <c r="N73" s="28" t="n">
        <f aca="false">L73-M73</f>
        <v>0</v>
      </c>
      <c r="O73" s="25" t="n">
        <f aca="false">IF(N73&gt;=-0.0000001,A73,O72)</f>
        <v>45926</v>
      </c>
      <c r="P73" s="29" t="n">
        <f aca="false">IF(AND(N73&gt;=-0.0000001,N72&lt;0),1,0)</f>
        <v>1</v>
      </c>
      <c r="Q73" s="30" t="n">
        <f aca="false">IF(P73=1,A73-O72,"")</f>
        <v>2</v>
      </c>
    </row>
    <row r="74" customFormat="false" ht="15" hidden="false" customHeight="false" outlineLevel="0" collapsed="false">
      <c r="A74" s="25" t="n">
        <v>45929</v>
      </c>
      <c r="B74" s="26" t="s">
        <v>79</v>
      </c>
      <c r="C74" s="27" t="n">
        <v>35639.05</v>
      </c>
      <c r="D74" s="28" t="n">
        <f aca="false">C74/$T$1*100</f>
        <v>2.227440625</v>
      </c>
      <c r="E74" s="28" t="n">
        <f aca="false">E73+D74</f>
        <v>27.69159625</v>
      </c>
      <c r="F74" s="28" t="n">
        <f aca="false">MAX(0,MAX($E$2:E74))</f>
        <v>27.69159625</v>
      </c>
      <c r="G74" s="28" t="n">
        <f aca="false">E74-F74</f>
        <v>0</v>
      </c>
      <c r="H74" s="25" t="n">
        <f aca="false">IF(G74&gt;=-0.0000001,A74,H73)</f>
        <v>45929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35639.05</v>
      </c>
      <c r="L74" s="28" t="n">
        <f aca="false">L73+K74/$T$1*100</f>
        <v>24.02884</v>
      </c>
      <c r="M74" s="28" t="n">
        <f aca="false">MAX(0,MAX($L$2:L74))</f>
        <v>24.02884</v>
      </c>
      <c r="N74" s="28" t="n">
        <f aca="false">L74-M74</f>
        <v>0</v>
      </c>
      <c r="O74" s="25" t="n">
        <f aca="false">IF(N74&gt;=-0.0000001,A74,O73)</f>
        <v>45929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45930</v>
      </c>
      <c r="B75" s="26" t="s">
        <v>80</v>
      </c>
      <c r="C75" s="27" t="n">
        <v>76585.24</v>
      </c>
      <c r="D75" s="28" t="n">
        <f aca="false">C75/$T$1*100</f>
        <v>4.7865775</v>
      </c>
      <c r="E75" s="28" t="n">
        <f aca="false">E74+D75</f>
        <v>32.47817375</v>
      </c>
      <c r="F75" s="28" t="n">
        <f aca="false">MAX(0,MAX($E$2:E75))</f>
        <v>32.47817375</v>
      </c>
      <c r="G75" s="28" t="n">
        <f aca="false">E75-F75</f>
        <v>0</v>
      </c>
      <c r="H75" s="25" t="n">
        <f aca="false">IF(G75&gt;=-0.0000001,A75,H74)</f>
        <v>45930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76585.24</v>
      </c>
      <c r="L75" s="28" t="n">
        <f aca="false">L74+K75/$T$1*100</f>
        <v>28.8154175</v>
      </c>
      <c r="M75" s="28" t="n">
        <f aca="false">MAX(0,MAX($L$2:L75))</f>
        <v>28.8154175</v>
      </c>
      <c r="N75" s="28" t="n">
        <f aca="false">L75-M75</f>
        <v>0</v>
      </c>
      <c r="O75" s="25" t="n">
        <f aca="false">IF(N75&gt;=-0.0000001,A75,O74)</f>
        <v>45930</v>
      </c>
      <c r="P75" s="29" t="n">
        <f aca="false">IF(AND(N75&gt;=-0.0000001,N74&lt;0),1,0)</f>
        <v>0</v>
      </c>
      <c r="Q75" s="30" t="str">
        <f aca="false">IF(P75=1,A75-O74,"")</f>
        <v/>
      </c>
    </row>
    <row r="76" customFormat="false" ht="15" hidden="false" customHeight="false" outlineLevel="0" collapsed="false">
      <c r="A76" s="25" t="n">
        <v>45931</v>
      </c>
      <c r="B76" s="26" t="s">
        <v>81</v>
      </c>
      <c r="C76" s="27" t="n">
        <v>-29981.75</v>
      </c>
      <c r="D76" s="28" t="n">
        <f aca="false">C76/$T$1*100</f>
        <v>-1.873859375</v>
      </c>
      <c r="E76" s="28" t="n">
        <f aca="false">E75+D76</f>
        <v>30.604314375</v>
      </c>
      <c r="F76" s="28" t="n">
        <f aca="false">MAX(0,MAX($E$2:E76))</f>
        <v>32.47817375</v>
      </c>
      <c r="G76" s="28" t="n">
        <f aca="false">E76-F76</f>
        <v>-1.873859375</v>
      </c>
      <c r="H76" s="25" t="n">
        <f aca="false">IF(G76&gt;=-0.0000001,A76,H75)</f>
        <v>45930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0</v>
      </c>
      <c r="L76" s="28" t="n">
        <f aca="false">L75+K76/$T$1*100</f>
        <v>28.8154175</v>
      </c>
      <c r="M76" s="28" t="n">
        <f aca="false">MAX(0,MAX($L$2:L76))</f>
        <v>28.8154175</v>
      </c>
      <c r="N76" s="28" t="n">
        <f aca="false">L76-M76</f>
        <v>0</v>
      </c>
      <c r="O76" s="25" t="n">
        <f aca="false">IF(N76&gt;=-0.0000001,A76,O75)</f>
        <v>45931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45933</v>
      </c>
      <c r="B77" s="26" t="s">
        <v>83</v>
      </c>
      <c r="C77" s="27" t="n">
        <v>-9315</v>
      </c>
      <c r="D77" s="28" t="n">
        <f aca="false">C77/$T$1*100</f>
        <v>-0.5821875</v>
      </c>
      <c r="E77" s="28" t="n">
        <f aca="false">E76+D77</f>
        <v>30.022126875</v>
      </c>
      <c r="F77" s="28" t="n">
        <f aca="false">MAX(0,MAX($E$2:E77))</f>
        <v>32.47817375</v>
      </c>
      <c r="G77" s="28" t="n">
        <f aca="false">E77-F77</f>
        <v>-2.456046875</v>
      </c>
      <c r="H77" s="25" t="n">
        <f aca="false">IF(G77&gt;=-0.0000001,A77,H76)</f>
        <v>45930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-9315</v>
      </c>
      <c r="L77" s="28" t="n">
        <f aca="false">L76+K77/$T$1*100</f>
        <v>28.23323</v>
      </c>
      <c r="M77" s="28" t="n">
        <f aca="false">MAX(0,MAX($L$2:L77))</f>
        <v>28.8154175</v>
      </c>
      <c r="N77" s="28" t="n">
        <f aca="false">L77-M77</f>
        <v>-0.5821875</v>
      </c>
      <c r="O77" s="25" t="n">
        <f aca="false">IF(N77&gt;=-0.0000001,A77,O76)</f>
        <v>45931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45936</v>
      </c>
      <c r="B78" s="26" t="s">
        <v>79</v>
      </c>
      <c r="C78" s="27" t="n">
        <v>-18116.69</v>
      </c>
      <c r="D78" s="28" t="n">
        <f aca="false">C78/$T$1*100</f>
        <v>-1.132293125</v>
      </c>
      <c r="E78" s="28" t="n">
        <f aca="false">E77+D78</f>
        <v>28.88983375</v>
      </c>
      <c r="F78" s="28" t="n">
        <f aca="false">MAX(0,MAX($E$2:E78))</f>
        <v>32.47817375</v>
      </c>
      <c r="G78" s="28" t="n">
        <f aca="false">E78-F78</f>
        <v>-3.58834</v>
      </c>
      <c r="H78" s="25" t="n">
        <f aca="false">IF(G78&gt;=-0.0000001,A78,H77)</f>
        <v>45930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-18116.69</v>
      </c>
      <c r="L78" s="28" t="n">
        <f aca="false">L77+K78/$T$1*100</f>
        <v>27.100936875</v>
      </c>
      <c r="M78" s="28" t="n">
        <f aca="false">MAX(0,MAX($L$2:L78))</f>
        <v>28.8154175</v>
      </c>
      <c r="N78" s="28" t="n">
        <f aca="false">L78-M78</f>
        <v>-1.714480625</v>
      </c>
      <c r="O78" s="25" t="n">
        <f aca="false">IF(N78&gt;=-0.0000001,A78,O77)</f>
        <v>45931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45937</v>
      </c>
      <c r="B79" s="26" t="s">
        <v>80</v>
      </c>
      <c r="C79" s="27" t="n">
        <v>22691.87</v>
      </c>
      <c r="D79" s="28" t="n">
        <f aca="false">C79/$T$1*100</f>
        <v>1.418241875</v>
      </c>
      <c r="E79" s="28" t="n">
        <f aca="false">E78+D79</f>
        <v>30.308075625</v>
      </c>
      <c r="F79" s="28" t="n">
        <f aca="false">MAX(0,MAX($E$2:E79))</f>
        <v>32.47817375</v>
      </c>
      <c r="G79" s="28" t="n">
        <f aca="false">E79-F79</f>
        <v>-2.170098125</v>
      </c>
      <c r="H79" s="25" t="n">
        <f aca="false">IF(G79&gt;=-0.0000001,A79,H78)</f>
        <v>45930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22691.87</v>
      </c>
      <c r="L79" s="28" t="n">
        <f aca="false">L78+K79/$T$1*100</f>
        <v>28.51917875</v>
      </c>
      <c r="M79" s="28" t="n">
        <f aca="false">MAX(0,MAX($L$2:L79))</f>
        <v>28.8154175</v>
      </c>
      <c r="N79" s="28" t="n">
        <f aca="false">L79-M79</f>
        <v>-0.296238750000001</v>
      </c>
      <c r="O79" s="25" t="n">
        <f aca="false">IF(N79&gt;=-0.0000001,A79,O78)</f>
        <v>45931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45938</v>
      </c>
      <c r="B80" s="26" t="s">
        <v>81</v>
      </c>
      <c r="C80" s="27" t="n">
        <v>6140.17</v>
      </c>
      <c r="D80" s="28" t="n">
        <f aca="false">C80/$T$1*100</f>
        <v>0.383760625</v>
      </c>
      <c r="E80" s="28" t="n">
        <f aca="false">E79+D80</f>
        <v>30.69183625</v>
      </c>
      <c r="F80" s="28" t="n">
        <f aca="false">MAX(0,MAX($E$2:E80))</f>
        <v>32.47817375</v>
      </c>
      <c r="G80" s="28" t="n">
        <f aca="false">E80-F80</f>
        <v>-1.7863375</v>
      </c>
      <c r="H80" s="25" t="n">
        <f aca="false">IF(G80&gt;=-0.0000001,A80,H79)</f>
        <v>45930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0</v>
      </c>
      <c r="L80" s="28" t="n">
        <f aca="false">L79+K80/$T$1*100</f>
        <v>28.51917875</v>
      </c>
      <c r="M80" s="28" t="n">
        <f aca="false">MAX(0,MAX($L$2:L80))</f>
        <v>28.8154175</v>
      </c>
      <c r="N80" s="28" t="n">
        <f aca="false">L80-M80</f>
        <v>-0.296238750000001</v>
      </c>
      <c r="O80" s="25" t="n">
        <f aca="false">IF(N80&gt;=-0.0000001,A80,O79)</f>
        <v>45931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45939</v>
      </c>
      <c r="B81" s="26" t="s">
        <v>82</v>
      </c>
      <c r="C81" s="27" t="n">
        <v>25540.75</v>
      </c>
      <c r="D81" s="28" t="n">
        <f aca="false">C81/$T$1*100</f>
        <v>1.596296875</v>
      </c>
      <c r="E81" s="28" t="n">
        <f aca="false">E80+D81</f>
        <v>32.288133125</v>
      </c>
      <c r="F81" s="28" t="n">
        <f aca="false">MAX(0,MAX($E$2:E81))</f>
        <v>32.47817375</v>
      </c>
      <c r="G81" s="28" t="n">
        <f aca="false">E81-F81</f>
        <v>-0.190040625000002</v>
      </c>
      <c r="H81" s="25" t="n">
        <f aca="false">IF(G81&gt;=-0.0000001,A81,H80)</f>
        <v>45930</v>
      </c>
      <c r="I81" s="29" t="n">
        <f aca="false">IF(AND(G81&gt;=-0.0000001,G80&lt;0),1,0)</f>
        <v>0</v>
      </c>
      <c r="J81" s="30" t="str">
        <f aca="false">IF(I81=1,A81-H80,"")</f>
        <v/>
      </c>
      <c r="K81" s="27" t="n">
        <f aca="false">IF(B81="Wednesday",0,C81)</f>
        <v>25540.75</v>
      </c>
      <c r="L81" s="28" t="n">
        <f aca="false">L80+K81/$T$1*100</f>
        <v>30.115475625</v>
      </c>
      <c r="M81" s="28" t="n">
        <f aca="false">MAX(0,MAX($L$2:L81))</f>
        <v>30.115475625</v>
      </c>
      <c r="N81" s="28" t="n">
        <f aca="false">L81-M81</f>
        <v>0</v>
      </c>
      <c r="O81" s="25" t="n">
        <f aca="false">IF(N81&gt;=-0.0000001,A81,O80)</f>
        <v>45939</v>
      </c>
      <c r="P81" s="29" t="n">
        <f aca="false">IF(AND(N81&gt;=-0.0000001,N80&lt;0),1,0)</f>
        <v>1</v>
      </c>
      <c r="Q81" s="30" t="n">
        <f aca="false">IF(P81=1,A81-O80,"")</f>
        <v>8</v>
      </c>
    </row>
    <row r="82" customFormat="false" ht="15" hidden="false" customHeight="false" outlineLevel="0" collapsed="false">
      <c r="A82" s="25" t="n">
        <v>45940</v>
      </c>
      <c r="B82" s="26" t="s">
        <v>83</v>
      </c>
      <c r="C82" s="27" t="n">
        <v>-11577.05</v>
      </c>
      <c r="D82" s="28" t="n">
        <f aca="false">C82/$T$1*100</f>
        <v>-0.723565625</v>
      </c>
      <c r="E82" s="28" t="n">
        <f aca="false">E81+D82</f>
        <v>31.5645675</v>
      </c>
      <c r="F82" s="28" t="n">
        <f aca="false">MAX(0,MAX($E$2:E82))</f>
        <v>32.47817375</v>
      </c>
      <c r="G82" s="28" t="n">
        <f aca="false">E82-F82</f>
        <v>-0.913606250000001</v>
      </c>
      <c r="H82" s="25" t="n">
        <f aca="false">IF(G82&gt;=-0.0000001,A82,H81)</f>
        <v>45930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-11577.05</v>
      </c>
      <c r="L82" s="28" t="n">
        <f aca="false">L81+K82/$T$1*100</f>
        <v>29.39191</v>
      </c>
      <c r="M82" s="28" t="n">
        <f aca="false">MAX(0,MAX($L$2:L82))</f>
        <v>30.115475625</v>
      </c>
      <c r="N82" s="28" t="n">
        <f aca="false">L82-M82</f>
        <v>-0.723565624999999</v>
      </c>
      <c r="O82" s="25" t="n">
        <f aca="false">IF(N82&gt;=-0.0000001,A82,O81)</f>
        <v>45939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45943</v>
      </c>
      <c r="B83" s="26" t="s">
        <v>79</v>
      </c>
      <c r="C83" s="27" t="n">
        <v>-1222.39</v>
      </c>
      <c r="D83" s="28" t="n">
        <f aca="false">C83/$T$1*100</f>
        <v>-0.076399375</v>
      </c>
      <c r="E83" s="28" t="n">
        <f aca="false">E82+D83</f>
        <v>31.488168125</v>
      </c>
      <c r="F83" s="28" t="n">
        <f aca="false">MAX(0,MAX($E$2:E83))</f>
        <v>32.47817375</v>
      </c>
      <c r="G83" s="28" t="n">
        <f aca="false">E83-F83</f>
        <v>-0.990005625000002</v>
      </c>
      <c r="H83" s="25" t="n">
        <f aca="false">IF(G83&gt;=-0.0000001,A83,H82)</f>
        <v>45930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-1222.39</v>
      </c>
      <c r="L83" s="28" t="n">
        <f aca="false">L82+K83/$T$1*100</f>
        <v>29.315510625</v>
      </c>
      <c r="M83" s="28" t="n">
        <f aca="false">MAX(0,MAX($L$2:L83))</f>
        <v>30.115475625</v>
      </c>
      <c r="N83" s="28" t="n">
        <f aca="false">L83-M83</f>
        <v>-0.799965</v>
      </c>
      <c r="O83" s="25" t="n">
        <f aca="false">IF(N83&gt;=-0.0000001,A83,O82)</f>
        <v>45939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45944</v>
      </c>
      <c r="B84" s="26" t="s">
        <v>80</v>
      </c>
      <c r="C84" s="27" t="n">
        <v>7921.51</v>
      </c>
      <c r="D84" s="28" t="n">
        <f aca="false">C84/$T$1*100</f>
        <v>0.495094375</v>
      </c>
      <c r="E84" s="28" t="n">
        <f aca="false">E83+D84</f>
        <v>31.9832625</v>
      </c>
      <c r="F84" s="28" t="n">
        <f aca="false">MAX(0,MAX($E$2:E84))</f>
        <v>32.47817375</v>
      </c>
      <c r="G84" s="28" t="n">
        <f aca="false">E84-F84</f>
        <v>-0.494911250000001</v>
      </c>
      <c r="H84" s="25" t="n">
        <f aca="false">IF(G84&gt;=-0.0000001,A84,H83)</f>
        <v>45930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7921.51</v>
      </c>
      <c r="L84" s="28" t="n">
        <f aca="false">L83+K84/$T$1*100</f>
        <v>29.810605</v>
      </c>
      <c r="M84" s="28" t="n">
        <f aca="false">MAX(0,MAX($L$2:L84))</f>
        <v>30.115475625</v>
      </c>
      <c r="N84" s="28" t="n">
        <f aca="false">L84-M84</f>
        <v>-0.304870625</v>
      </c>
      <c r="O84" s="25" t="n">
        <f aca="false">IF(N84&gt;=-0.0000001,A84,O83)</f>
        <v>45939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45945</v>
      </c>
      <c r="B85" s="26" t="s">
        <v>81</v>
      </c>
      <c r="C85" s="27" t="n">
        <v>7725</v>
      </c>
      <c r="D85" s="28" t="n">
        <f aca="false">C85/$T$1*100</f>
        <v>0.4828125</v>
      </c>
      <c r="E85" s="28" t="n">
        <f aca="false">E84+D85</f>
        <v>32.466075</v>
      </c>
      <c r="F85" s="28" t="n">
        <f aca="false">MAX(0,MAX($E$2:E85))</f>
        <v>32.47817375</v>
      </c>
      <c r="G85" s="28" t="n">
        <f aca="false">E85-F85</f>
        <v>-0.0120987499999998</v>
      </c>
      <c r="H85" s="25" t="n">
        <f aca="false">IF(G85&gt;=-0.0000001,A85,H84)</f>
        <v>45930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0</v>
      </c>
      <c r="L85" s="28" t="n">
        <f aca="false">L84+K85/$T$1*100</f>
        <v>29.810605</v>
      </c>
      <c r="M85" s="28" t="n">
        <f aca="false">MAX(0,MAX($L$2:L85))</f>
        <v>30.115475625</v>
      </c>
      <c r="N85" s="28" t="n">
        <f aca="false">L85-M85</f>
        <v>-0.304870625</v>
      </c>
      <c r="O85" s="25" t="n">
        <f aca="false">IF(N85&gt;=-0.0000001,A85,O84)</f>
        <v>45939</v>
      </c>
      <c r="P85" s="29" t="n">
        <f aca="false">IF(AND(N85&gt;=-0.0000001,N84&lt;0),1,0)</f>
        <v>0</v>
      </c>
      <c r="Q85" s="30" t="str">
        <f aca="false">IF(P85=1,A85-O84,"")</f>
        <v/>
      </c>
    </row>
    <row r="86" customFormat="false" ht="15" hidden="false" customHeight="false" outlineLevel="0" collapsed="false">
      <c r="A86" s="25" t="n">
        <v>45946</v>
      </c>
      <c r="B86" s="26" t="s">
        <v>82</v>
      </c>
      <c r="C86" s="27" t="n">
        <v>31701.01</v>
      </c>
      <c r="D86" s="28" t="n">
        <f aca="false">C86/$T$1*100</f>
        <v>1.981313125</v>
      </c>
      <c r="E86" s="28" t="n">
        <f aca="false">E85+D86</f>
        <v>34.447388125</v>
      </c>
      <c r="F86" s="28" t="n">
        <f aca="false">MAX(0,MAX($E$2:E86))</f>
        <v>34.447388125</v>
      </c>
      <c r="G86" s="28" t="n">
        <f aca="false">E86-F86</f>
        <v>0</v>
      </c>
      <c r="H86" s="25" t="n">
        <f aca="false">IF(G86&gt;=-0.0000001,A86,H85)</f>
        <v>45946</v>
      </c>
      <c r="I86" s="29" t="n">
        <f aca="false">IF(AND(G86&gt;=-0.0000001,G85&lt;0),1,0)</f>
        <v>1</v>
      </c>
      <c r="J86" s="30" t="n">
        <f aca="false">IF(I86=1,A86-H85,"")</f>
        <v>16</v>
      </c>
      <c r="K86" s="27" t="n">
        <f aca="false">IF(B86="Wednesday",0,C86)</f>
        <v>31701.01</v>
      </c>
      <c r="L86" s="28" t="n">
        <f aca="false">L85+K86/$T$1*100</f>
        <v>31.791918125</v>
      </c>
      <c r="M86" s="28" t="n">
        <f aca="false">MAX(0,MAX($L$2:L86))</f>
        <v>31.791918125</v>
      </c>
      <c r="N86" s="28" t="n">
        <f aca="false">L86-M86</f>
        <v>0</v>
      </c>
      <c r="O86" s="25" t="n">
        <f aca="false">IF(N86&gt;=-0.0000001,A86,O85)</f>
        <v>45946</v>
      </c>
      <c r="P86" s="29" t="n">
        <f aca="false">IF(AND(N86&gt;=-0.0000001,N85&lt;0),1,0)</f>
        <v>1</v>
      </c>
      <c r="Q86" s="30" t="n">
        <f aca="false">IF(P86=1,A86-O85,"")</f>
        <v>7</v>
      </c>
    </row>
    <row r="87" customFormat="false" ht="15" hidden="false" customHeight="false" outlineLevel="0" collapsed="false">
      <c r="A87" s="25" t="n">
        <v>45947</v>
      </c>
      <c r="B87" s="26" t="s">
        <v>83</v>
      </c>
      <c r="C87" s="27" t="n">
        <v>-96417.87</v>
      </c>
      <c r="D87" s="28" t="n">
        <f aca="false">C87/$T$1*100</f>
        <v>-6.026116875</v>
      </c>
      <c r="E87" s="28" t="n">
        <f aca="false">E86+D87</f>
        <v>28.42127125</v>
      </c>
      <c r="F87" s="28" t="n">
        <f aca="false">MAX(0,MAX($E$2:E87))</f>
        <v>34.447388125</v>
      </c>
      <c r="G87" s="28" t="n">
        <f aca="false">E87-F87</f>
        <v>-6.026116875</v>
      </c>
      <c r="H87" s="25" t="n">
        <f aca="false">IF(G87&gt;=-0.0000001,A87,H86)</f>
        <v>45946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-96417.87</v>
      </c>
      <c r="L87" s="28" t="n">
        <f aca="false">L86+K87/$T$1*100</f>
        <v>25.76580125</v>
      </c>
      <c r="M87" s="28" t="n">
        <f aca="false">MAX(0,MAX($L$2:L87))</f>
        <v>31.791918125</v>
      </c>
      <c r="N87" s="28" t="n">
        <f aca="false">L87-M87</f>
        <v>-6.026116875</v>
      </c>
      <c r="O87" s="25" t="n">
        <f aca="false">IF(N87&gt;=-0.0000001,A87,O86)</f>
        <v>45946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45950</v>
      </c>
      <c r="B88" s="26" t="s">
        <v>79</v>
      </c>
      <c r="C88" s="27" t="n">
        <v>30823.57</v>
      </c>
      <c r="D88" s="28" t="n">
        <f aca="false">C88/$T$1*100</f>
        <v>1.926473125</v>
      </c>
      <c r="E88" s="28" t="n">
        <f aca="false">E87+D88</f>
        <v>30.347744375</v>
      </c>
      <c r="F88" s="28" t="n">
        <f aca="false">MAX(0,MAX($E$2:E88))</f>
        <v>34.447388125</v>
      </c>
      <c r="G88" s="28" t="n">
        <f aca="false">E88-F88</f>
        <v>-4.09964375</v>
      </c>
      <c r="H88" s="25" t="n">
        <f aca="false">IF(G88&gt;=-0.0000001,A88,H87)</f>
        <v>45946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30823.57</v>
      </c>
      <c r="L88" s="28" t="n">
        <f aca="false">L87+K88/$T$1*100</f>
        <v>27.692274375</v>
      </c>
      <c r="M88" s="28" t="n">
        <f aca="false">MAX(0,MAX($L$2:L88))</f>
        <v>31.791918125</v>
      </c>
      <c r="N88" s="28" t="n">
        <f aca="false">L88-M88</f>
        <v>-4.09964375</v>
      </c>
      <c r="O88" s="25" t="n">
        <f aca="false">IF(N88&gt;=-0.0000001,A88,O87)</f>
        <v>45946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45953</v>
      </c>
      <c r="B89" s="26" t="s">
        <v>82</v>
      </c>
      <c r="C89" s="27" t="n">
        <v>-34462.34</v>
      </c>
      <c r="D89" s="28" t="n">
        <f aca="false">C89/$T$1*100</f>
        <v>-2.15389625</v>
      </c>
      <c r="E89" s="28" t="n">
        <f aca="false">E88+D89</f>
        <v>28.193848125</v>
      </c>
      <c r="F89" s="28" t="n">
        <f aca="false">MAX(0,MAX($E$2:E89))</f>
        <v>34.447388125</v>
      </c>
      <c r="G89" s="28" t="n">
        <f aca="false">E89-F89</f>
        <v>-6.25354</v>
      </c>
      <c r="H89" s="25" t="n">
        <f aca="false">IF(G89&gt;=-0.0000001,A89,H88)</f>
        <v>45946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-34462.34</v>
      </c>
      <c r="L89" s="28" t="n">
        <f aca="false">L88+K89/$T$1*100</f>
        <v>25.538378125</v>
      </c>
      <c r="M89" s="28" t="n">
        <f aca="false">MAX(0,MAX($L$2:L89))</f>
        <v>31.791918125</v>
      </c>
      <c r="N89" s="28" t="n">
        <f aca="false">L89-M89</f>
        <v>-6.25354</v>
      </c>
      <c r="O89" s="25" t="n">
        <f aca="false">IF(N89&gt;=-0.0000001,A89,O88)</f>
        <v>45946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45954</v>
      </c>
      <c r="B90" s="26" t="s">
        <v>83</v>
      </c>
      <c r="C90" s="27" t="n">
        <v>101760</v>
      </c>
      <c r="D90" s="28" t="n">
        <f aca="false">C90/$T$1*100</f>
        <v>6.36</v>
      </c>
      <c r="E90" s="28" t="n">
        <f aca="false">E89+D90</f>
        <v>34.553848125</v>
      </c>
      <c r="F90" s="28" t="n">
        <f aca="false">MAX(0,MAX($E$2:E90))</f>
        <v>34.553848125</v>
      </c>
      <c r="G90" s="28" t="n">
        <f aca="false">E90-F90</f>
        <v>0</v>
      </c>
      <c r="H90" s="25" t="n">
        <f aca="false">IF(G90&gt;=-0.0000001,A90,H89)</f>
        <v>45954</v>
      </c>
      <c r="I90" s="29" t="n">
        <f aca="false">IF(AND(G90&gt;=-0.0000001,G89&lt;0),1,0)</f>
        <v>1</v>
      </c>
      <c r="J90" s="30" t="n">
        <f aca="false">IF(I90=1,A90-H89,"")</f>
        <v>8</v>
      </c>
      <c r="K90" s="27" t="n">
        <f aca="false">IF(B90="Wednesday",0,C90)</f>
        <v>101760</v>
      </c>
      <c r="L90" s="28" t="n">
        <f aca="false">L89+K90/$T$1*100</f>
        <v>31.898378125</v>
      </c>
      <c r="M90" s="28" t="n">
        <f aca="false">MAX(0,MAX($L$2:L90))</f>
        <v>31.898378125</v>
      </c>
      <c r="N90" s="28" t="n">
        <f aca="false">L90-M90</f>
        <v>0</v>
      </c>
      <c r="O90" s="25" t="n">
        <f aca="false">IF(N90&gt;=-0.0000001,A90,O89)</f>
        <v>45954</v>
      </c>
      <c r="P90" s="29" t="n">
        <f aca="false">IF(AND(N90&gt;=-0.0000001,N89&lt;0),1,0)</f>
        <v>1</v>
      </c>
      <c r="Q90" s="30" t="n">
        <f aca="false">IF(P90=1,A90-O89,"")</f>
        <v>8</v>
      </c>
    </row>
    <row r="91" customFormat="false" ht="15" hidden="false" customHeight="false" outlineLevel="0" collapsed="false">
      <c r="A91" s="25" t="n">
        <v>45957</v>
      </c>
      <c r="B91" s="26" t="s">
        <v>79</v>
      </c>
      <c r="C91" s="27" t="n">
        <v>-24954.79</v>
      </c>
      <c r="D91" s="28" t="n">
        <f aca="false">C91/$T$1*100</f>
        <v>-1.559674375</v>
      </c>
      <c r="E91" s="28" t="n">
        <f aca="false">E90+D91</f>
        <v>32.99417375</v>
      </c>
      <c r="F91" s="28" t="n">
        <f aca="false">MAX(0,MAX($E$2:E91))</f>
        <v>34.553848125</v>
      </c>
      <c r="G91" s="28" t="n">
        <f aca="false">E91-F91</f>
        <v>-1.559674375</v>
      </c>
      <c r="H91" s="25" t="n">
        <f aca="false">IF(G91&gt;=-0.0000001,A91,H90)</f>
        <v>45954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-24954.79</v>
      </c>
      <c r="L91" s="28" t="n">
        <f aca="false">L90+K91/$T$1*100</f>
        <v>30.33870375</v>
      </c>
      <c r="M91" s="28" t="n">
        <f aca="false">MAX(0,MAX($L$2:L91))</f>
        <v>31.898378125</v>
      </c>
      <c r="N91" s="28" t="n">
        <f aca="false">L91-M91</f>
        <v>-1.559674375</v>
      </c>
      <c r="O91" s="25" t="n">
        <f aca="false">IF(N91&gt;=-0.0000001,A91,O90)</f>
        <v>45954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45958</v>
      </c>
      <c r="B92" s="26" t="s">
        <v>80</v>
      </c>
      <c r="C92" s="27" t="n">
        <v>90161.71</v>
      </c>
      <c r="D92" s="28" t="n">
        <f aca="false">C92/$T$1*100</f>
        <v>5.635106875</v>
      </c>
      <c r="E92" s="28" t="n">
        <f aca="false">E91+D92</f>
        <v>38.629280625</v>
      </c>
      <c r="F92" s="28" t="n">
        <f aca="false">MAX(0,MAX($E$2:E92))</f>
        <v>38.629280625</v>
      </c>
      <c r="G92" s="28" t="n">
        <f aca="false">E92-F92</f>
        <v>0</v>
      </c>
      <c r="H92" s="25" t="n">
        <f aca="false">IF(G92&gt;=-0.0000001,A92,H91)</f>
        <v>45958</v>
      </c>
      <c r="I92" s="29" t="n">
        <f aca="false">IF(AND(G92&gt;=-0.0000001,G91&lt;0),1,0)</f>
        <v>1</v>
      </c>
      <c r="J92" s="30" t="n">
        <f aca="false">IF(I92=1,A92-H91,"")</f>
        <v>4</v>
      </c>
      <c r="K92" s="27" t="n">
        <f aca="false">IF(B92="Wednesday",0,C92)</f>
        <v>90161.71</v>
      </c>
      <c r="L92" s="28" t="n">
        <f aca="false">L91+K92/$T$1*100</f>
        <v>35.973810625</v>
      </c>
      <c r="M92" s="28" t="n">
        <f aca="false">MAX(0,MAX($L$2:L92))</f>
        <v>35.973810625</v>
      </c>
      <c r="N92" s="28" t="n">
        <f aca="false">L92-M92</f>
        <v>0</v>
      </c>
      <c r="O92" s="25" t="n">
        <f aca="false">IF(N92&gt;=-0.0000001,A92,O91)</f>
        <v>45958</v>
      </c>
      <c r="P92" s="29" t="n">
        <f aca="false">IF(AND(N92&gt;=-0.0000001,N91&lt;0),1,0)</f>
        <v>1</v>
      </c>
      <c r="Q92" s="30" t="n">
        <f aca="false">IF(P92=1,A92-O91,"")</f>
        <v>4</v>
      </c>
    </row>
    <row r="93" customFormat="false" ht="15" hidden="false" customHeight="false" outlineLevel="0" collapsed="false">
      <c r="A93" s="25" t="n">
        <v>45959</v>
      </c>
      <c r="B93" s="26" t="s">
        <v>81</v>
      </c>
      <c r="C93" s="27" t="n">
        <v>-20949.3</v>
      </c>
      <c r="D93" s="28" t="n">
        <f aca="false">C93/$T$1*100</f>
        <v>-1.30933125</v>
      </c>
      <c r="E93" s="28" t="n">
        <f aca="false">E92+D93</f>
        <v>37.319949375</v>
      </c>
      <c r="F93" s="28" t="n">
        <f aca="false">MAX(0,MAX($E$2:E93))</f>
        <v>38.629280625</v>
      </c>
      <c r="G93" s="28" t="n">
        <f aca="false">E93-F93</f>
        <v>-1.30933125</v>
      </c>
      <c r="H93" s="25" t="n">
        <f aca="false">IF(G93&gt;=-0.0000001,A93,H92)</f>
        <v>45958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0</v>
      </c>
      <c r="L93" s="28" t="n">
        <f aca="false">L92+K93/$T$1*100</f>
        <v>35.973810625</v>
      </c>
      <c r="M93" s="28" t="n">
        <f aca="false">MAX(0,MAX($L$2:L93))</f>
        <v>35.973810625</v>
      </c>
      <c r="N93" s="28" t="n">
        <f aca="false">L93-M93</f>
        <v>0</v>
      </c>
      <c r="O93" s="25" t="n">
        <f aca="false">IF(N93&gt;=-0.0000001,A93,O92)</f>
        <v>45959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45960</v>
      </c>
      <c r="B94" s="26" t="s">
        <v>82</v>
      </c>
      <c r="C94" s="27" t="n">
        <v>9169.06</v>
      </c>
      <c r="D94" s="28" t="n">
        <f aca="false">C94/$T$1*100</f>
        <v>0.57306625</v>
      </c>
      <c r="E94" s="28" t="n">
        <f aca="false">E93+D94</f>
        <v>37.893015625</v>
      </c>
      <c r="F94" s="28" t="n">
        <f aca="false">MAX(0,MAX($E$2:E94))</f>
        <v>38.629280625</v>
      </c>
      <c r="G94" s="28" t="n">
        <f aca="false">E94-F94</f>
        <v>-0.736265000000003</v>
      </c>
      <c r="H94" s="25" t="n">
        <f aca="false">IF(G94&gt;=-0.0000001,A94,H93)</f>
        <v>45958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9169.06</v>
      </c>
      <c r="L94" s="28" t="n">
        <f aca="false">L93+K94/$T$1*100</f>
        <v>36.546876875</v>
      </c>
      <c r="M94" s="28" t="n">
        <f aca="false">MAX(0,MAX($L$2:L94))</f>
        <v>36.546876875</v>
      </c>
      <c r="N94" s="28" t="n">
        <f aca="false">L94-M94</f>
        <v>0</v>
      </c>
      <c r="O94" s="25" t="n">
        <f aca="false">IF(N94&gt;=-0.0000001,A94,O93)</f>
        <v>45960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45961</v>
      </c>
      <c r="B95" s="26" t="s">
        <v>83</v>
      </c>
      <c r="C95" s="27" t="n">
        <v>2250</v>
      </c>
      <c r="D95" s="28" t="n">
        <f aca="false">C95/$T$1*100</f>
        <v>0.140625</v>
      </c>
      <c r="E95" s="28" t="n">
        <f aca="false">E94+D95</f>
        <v>38.033640625</v>
      </c>
      <c r="F95" s="28" t="n">
        <f aca="false">MAX(0,MAX($E$2:E95))</f>
        <v>38.629280625</v>
      </c>
      <c r="G95" s="28" t="n">
        <f aca="false">E95-F95</f>
        <v>-0.595640000000003</v>
      </c>
      <c r="H95" s="25" t="n">
        <f aca="false">IF(G95&gt;=-0.0000001,A95,H94)</f>
        <v>45958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2250</v>
      </c>
      <c r="L95" s="28" t="n">
        <f aca="false">L94+K95/$T$1*100</f>
        <v>36.687501875</v>
      </c>
      <c r="M95" s="28" t="n">
        <f aca="false">MAX(0,MAX($L$2:L95))</f>
        <v>36.687501875</v>
      </c>
      <c r="N95" s="28" t="n">
        <f aca="false">L95-M95</f>
        <v>0</v>
      </c>
      <c r="O95" s="25" t="n">
        <f aca="false">IF(N95&gt;=-0.0000001,A95,O94)</f>
        <v>45961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45964</v>
      </c>
      <c r="B96" s="26" t="s">
        <v>79</v>
      </c>
      <c r="C96" s="27" t="n">
        <v>38955</v>
      </c>
      <c r="D96" s="28" t="n">
        <f aca="false">C96/$T$1*100</f>
        <v>2.4346875</v>
      </c>
      <c r="E96" s="28" t="n">
        <f aca="false">E95+D96</f>
        <v>40.468328125</v>
      </c>
      <c r="F96" s="28" t="n">
        <f aca="false">MAX(0,MAX($E$2:E96))</f>
        <v>40.468328125</v>
      </c>
      <c r="G96" s="28" t="n">
        <f aca="false">E96-F96</f>
        <v>0</v>
      </c>
      <c r="H96" s="25" t="n">
        <f aca="false">IF(G96&gt;=-0.0000001,A96,H95)</f>
        <v>45964</v>
      </c>
      <c r="I96" s="29" t="n">
        <f aca="false">IF(AND(G96&gt;=-0.0000001,G95&lt;0),1,0)</f>
        <v>1</v>
      </c>
      <c r="J96" s="30" t="n">
        <f aca="false">IF(I96=1,A96-H95,"")</f>
        <v>6</v>
      </c>
      <c r="K96" s="27" t="n">
        <f aca="false">IF(B96="Wednesday",0,C96)</f>
        <v>38955</v>
      </c>
      <c r="L96" s="28" t="n">
        <f aca="false">L95+K96/$T$1*100</f>
        <v>39.122189375</v>
      </c>
      <c r="M96" s="28" t="n">
        <f aca="false">MAX(0,MAX($L$2:L96))</f>
        <v>39.122189375</v>
      </c>
      <c r="N96" s="28" t="n">
        <f aca="false">L96-M96</f>
        <v>0</v>
      </c>
      <c r="O96" s="25" t="n">
        <f aca="false">IF(N96&gt;=-0.0000001,A96,O95)</f>
        <v>45964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45965</v>
      </c>
      <c r="B97" s="26" t="s">
        <v>80</v>
      </c>
      <c r="C97" s="27" t="n">
        <v>39417.79</v>
      </c>
      <c r="D97" s="28" t="n">
        <f aca="false">C97/$T$1*100</f>
        <v>2.463611875</v>
      </c>
      <c r="E97" s="28" t="n">
        <f aca="false">E96+D97</f>
        <v>42.93194</v>
      </c>
      <c r="F97" s="28" t="n">
        <f aca="false">MAX(0,MAX($E$2:E97))</f>
        <v>42.93194</v>
      </c>
      <c r="G97" s="28" t="n">
        <f aca="false">E97-F97</f>
        <v>0</v>
      </c>
      <c r="H97" s="25" t="n">
        <f aca="false">IF(G97&gt;=-0.0000001,A97,H96)</f>
        <v>45965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39417.79</v>
      </c>
      <c r="L97" s="28" t="n">
        <f aca="false">L96+K97/$T$1*100</f>
        <v>41.58580125</v>
      </c>
      <c r="M97" s="28" t="n">
        <f aca="false">MAX(0,MAX($L$2:L97))</f>
        <v>41.58580125</v>
      </c>
      <c r="N97" s="28" t="n">
        <f aca="false">L97-M97</f>
        <v>0</v>
      </c>
      <c r="O97" s="25" t="n">
        <f aca="false">IF(N97&gt;=-0.0000001,A97,O96)</f>
        <v>45965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45967</v>
      </c>
      <c r="B98" s="26" t="s">
        <v>82</v>
      </c>
      <c r="C98" s="27" t="n">
        <v>3627.56</v>
      </c>
      <c r="D98" s="28" t="n">
        <f aca="false">C98/$T$1*100</f>
        <v>0.2267225</v>
      </c>
      <c r="E98" s="28" t="n">
        <f aca="false">E97+D98</f>
        <v>43.1586625</v>
      </c>
      <c r="F98" s="28" t="n">
        <f aca="false">MAX(0,MAX($E$2:E98))</f>
        <v>43.1586625</v>
      </c>
      <c r="G98" s="28" t="n">
        <f aca="false">E98-F98</f>
        <v>0</v>
      </c>
      <c r="H98" s="25" t="n">
        <f aca="false">IF(G98&gt;=-0.0000001,A98,H97)</f>
        <v>45967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3627.56</v>
      </c>
      <c r="L98" s="28" t="n">
        <f aca="false">L97+K98/$T$1*100</f>
        <v>41.81252375</v>
      </c>
      <c r="M98" s="28" t="n">
        <f aca="false">MAX(0,MAX($L$2:L98))</f>
        <v>41.81252375</v>
      </c>
      <c r="N98" s="28" t="n">
        <f aca="false">L98-M98</f>
        <v>0</v>
      </c>
      <c r="O98" s="25" t="n">
        <f aca="false">IF(N98&gt;=-0.0000001,A98,O97)</f>
        <v>45967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45968</v>
      </c>
      <c r="B99" s="26" t="s">
        <v>83</v>
      </c>
      <c r="C99" s="27" t="n">
        <v>-16296.95</v>
      </c>
      <c r="D99" s="28" t="n">
        <f aca="false">C99/$T$1*100</f>
        <v>-1.018559375</v>
      </c>
      <c r="E99" s="28" t="n">
        <f aca="false">E98+D99</f>
        <v>42.140103125</v>
      </c>
      <c r="F99" s="28" t="n">
        <f aca="false">MAX(0,MAX($E$2:E99))</f>
        <v>43.1586625</v>
      </c>
      <c r="G99" s="28" t="n">
        <f aca="false">E99-F99</f>
        <v>-1.018559375</v>
      </c>
      <c r="H99" s="25" t="n">
        <f aca="false">IF(G99&gt;=-0.0000001,A99,H98)</f>
        <v>45967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-16296.95</v>
      </c>
      <c r="L99" s="28" t="n">
        <f aca="false">L98+K99/$T$1*100</f>
        <v>40.793964375</v>
      </c>
      <c r="M99" s="28" t="n">
        <f aca="false">MAX(0,MAX($L$2:L99))</f>
        <v>41.81252375</v>
      </c>
      <c r="N99" s="28" t="n">
        <f aca="false">L99-M99</f>
        <v>-1.018559375</v>
      </c>
      <c r="O99" s="25" t="n">
        <f aca="false">IF(N99&gt;=-0.0000001,A99,O98)</f>
        <v>45967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45971</v>
      </c>
      <c r="B100" s="26" t="s">
        <v>79</v>
      </c>
      <c r="C100" s="27" t="n">
        <v>46122.95</v>
      </c>
      <c r="D100" s="28" t="n">
        <f aca="false">C100/$T$1*100</f>
        <v>2.882684375</v>
      </c>
      <c r="E100" s="28" t="n">
        <f aca="false">E99+D100</f>
        <v>45.0227875</v>
      </c>
      <c r="F100" s="28" t="n">
        <f aca="false">MAX(0,MAX($E$2:E100))</f>
        <v>45.0227875</v>
      </c>
      <c r="G100" s="28" t="n">
        <f aca="false">E100-F100</f>
        <v>0</v>
      </c>
      <c r="H100" s="25" t="n">
        <f aca="false">IF(G100&gt;=-0.0000001,A100,H99)</f>
        <v>45971</v>
      </c>
      <c r="I100" s="29" t="n">
        <f aca="false">IF(AND(G100&gt;=-0.0000001,G99&lt;0),1,0)</f>
        <v>1</v>
      </c>
      <c r="J100" s="30" t="n">
        <f aca="false">IF(I100=1,A100-H99,"")</f>
        <v>4</v>
      </c>
      <c r="K100" s="27" t="n">
        <f aca="false">IF(B100="Wednesday",0,C100)</f>
        <v>46122.95</v>
      </c>
      <c r="L100" s="28" t="n">
        <f aca="false">L99+K100/$T$1*100</f>
        <v>43.67664875</v>
      </c>
      <c r="M100" s="28" t="n">
        <f aca="false">MAX(0,MAX($L$2:L100))</f>
        <v>43.67664875</v>
      </c>
      <c r="N100" s="28" t="n">
        <f aca="false">L100-M100</f>
        <v>0</v>
      </c>
      <c r="O100" s="25" t="n">
        <f aca="false">IF(N100&gt;=-0.0000001,A100,O99)</f>
        <v>45971</v>
      </c>
      <c r="P100" s="29" t="n">
        <f aca="false">IF(AND(N100&gt;=-0.0000001,N99&lt;0),1,0)</f>
        <v>1</v>
      </c>
      <c r="Q100" s="30" t="n">
        <f aca="false">IF(P100=1,A100-O99,"")</f>
        <v>4</v>
      </c>
    </row>
    <row r="101" customFormat="false" ht="15" hidden="false" customHeight="false" outlineLevel="0" collapsed="false">
      <c r="A101" s="25" t="n">
        <v>45972</v>
      </c>
      <c r="B101" s="26" t="s">
        <v>80</v>
      </c>
      <c r="C101" s="27" t="n">
        <v>33065.57</v>
      </c>
      <c r="D101" s="28" t="n">
        <f aca="false">C101/$T$1*100</f>
        <v>2.066598125</v>
      </c>
      <c r="E101" s="28" t="n">
        <f aca="false">E100+D101</f>
        <v>47.089385625</v>
      </c>
      <c r="F101" s="28" t="n">
        <f aca="false">MAX(0,MAX($E$2:E101))</f>
        <v>47.089385625</v>
      </c>
      <c r="G101" s="28" t="n">
        <f aca="false">E101-F101</f>
        <v>0</v>
      </c>
      <c r="H101" s="25" t="n">
        <f aca="false">IF(G101&gt;=-0.0000001,A101,H100)</f>
        <v>45972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33065.57</v>
      </c>
      <c r="L101" s="28" t="n">
        <f aca="false">L100+K101/$T$1*100</f>
        <v>45.743246875</v>
      </c>
      <c r="M101" s="28" t="n">
        <f aca="false">MAX(0,MAX($L$2:L101))</f>
        <v>45.743246875</v>
      </c>
      <c r="N101" s="28" t="n">
        <f aca="false">L101-M101</f>
        <v>0</v>
      </c>
      <c r="O101" s="25" t="n">
        <f aca="false">IF(N101&gt;=-0.0000001,A101,O100)</f>
        <v>45972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45974</v>
      </c>
      <c r="B102" s="26" t="s">
        <v>82</v>
      </c>
      <c r="C102" s="27" t="n">
        <v>-63389.12</v>
      </c>
      <c r="D102" s="28" t="n">
        <f aca="false">C102/$T$1*100</f>
        <v>-3.96182</v>
      </c>
      <c r="E102" s="28" t="n">
        <f aca="false">E101+D102</f>
        <v>43.127565625</v>
      </c>
      <c r="F102" s="28" t="n">
        <f aca="false">MAX(0,MAX($E$2:E102))</f>
        <v>47.089385625</v>
      </c>
      <c r="G102" s="28" t="n">
        <f aca="false">E102-F102</f>
        <v>-3.96182</v>
      </c>
      <c r="H102" s="25" t="n">
        <f aca="false">IF(G102&gt;=-0.0000001,A102,H101)</f>
        <v>45972</v>
      </c>
      <c r="I102" s="29" t="n">
        <f aca="false">IF(AND(G102&gt;=-0.0000001,G101&lt;0),1,0)</f>
        <v>0</v>
      </c>
      <c r="J102" s="30" t="str">
        <f aca="false">IF(I102=1,A102-H101,"")</f>
        <v/>
      </c>
      <c r="K102" s="27" t="n">
        <f aca="false">IF(B102="Wednesday",0,C102)</f>
        <v>-63389.12</v>
      </c>
      <c r="L102" s="28" t="n">
        <f aca="false">L101+K102/$T$1*100</f>
        <v>41.781426875</v>
      </c>
      <c r="M102" s="28" t="n">
        <f aca="false">MAX(0,MAX($L$2:L102))</f>
        <v>45.743246875</v>
      </c>
      <c r="N102" s="28" t="n">
        <f aca="false">L102-M102</f>
        <v>-3.96182</v>
      </c>
      <c r="O102" s="25" t="n">
        <f aca="false">IF(N102&gt;=-0.0000001,A102,O101)</f>
        <v>45972</v>
      </c>
      <c r="P102" s="29" t="n">
        <f aca="false">IF(AND(N102&gt;=-0.0000001,N101&lt;0),1,0)</f>
        <v>0</v>
      </c>
      <c r="Q102" s="30" t="str">
        <f aca="false">IF(P102=1,A102-O101,"")</f>
        <v/>
      </c>
    </row>
    <row r="103" customFormat="false" ht="15" hidden="false" customHeight="false" outlineLevel="0" collapsed="false">
      <c r="A103" s="25" t="n">
        <v>45975</v>
      </c>
      <c r="B103" s="26" t="s">
        <v>83</v>
      </c>
      <c r="C103" s="27" t="n">
        <v>24327.38</v>
      </c>
      <c r="D103" s="28" t="n">
        <f aca="false">C103/$T$1*100</f>
        <v>1.52046125</v>
      </c>
      <c r="E103" s="28" t="n">
        <f aca="false">E102+D103</f>
        <v>44.648026875</v>
      </c>
      <c r="F103" s="28" t="n">
        <f aca="false">MAX(0,MAX($E$2:E103))</f>
        <v>47.089385625</v>
      </c>
      <c r="G103" s="28" t="n">
        <f aca="false">E103-F103</f>
        <v>-2.44135875000001</v>
      </c>
      <c r="H103" s="25" t="n">
        <f aca="false">IF(G103&gt;=-0.0000001,A103,H102)</f>
        <v>45972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24327.38</v>
      </c>
      <c r="L103" s="28" t="n">
        <f aca="false">L102+K103/$T$1*100</f>
        <v>43.301888125</v>
      </c>
      <c r="M103" s="28" t="n">
        <f aca="false">MAX(0,MAX($L$2:L103))</f>
        <v>45.743246875</v>
      </c>
      <c r="N103" s="28" t="n">
        <f aca="false">L103-M103</f>
        <v>-2.44135875000001</v>
      </c>
      <c r="O103" s="25" t="n">
        <f aca="false">IF(N103&gt;=-0.0000001,A103,O102)</f>
        <v>45972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45978</v>
      </c>
      <c r="B104" s="26" t="s">
        <v>79</v>
      </c>
      <c r="C104" s="27" t="n">
        <v>30510</v>
      </c>
      <c r="D104" s="28" t="n">
        <f aca="false">C104/$T$1*100</f>
        <v>1.906875</v>
      </c>
      <c r="E104" s="28" t="n">
        <f aca="false">E103+D104</f>
        <v>46.554901875</v>
      </c>
      <c r="F104" s="28" t="n">
        <f aca="false">MAX(0,MAX($E$2:E104))</f>
        <v>47.089385625</v>
      </c>
      <c r="G104" s="28" t="n">
        <f aca="false">E104-F104</f>
        <v>-0.534483750000007</v>
      </c>
      <c r="H104" s="25" t="n">
        <f aca="false">IF(G104&gt;=-0.0000001,A104,H103)</f>
        <v>45972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30510</v>
      </c>
      <c r="L104" s="28" t="n">
        <f aca="false">L103+K104/$T$1*100</f>
        <v>45.208763125</v>
      </c>
      <c r="M104" s="28" t="n">
        <f aca="false">MAX(0,MAX($L$2:L104))</f>
        <v>45.743246875</v>
      </c>
      <c r="N104" s="28" t="n">
        <f aca="false">L104-M104</f>
        <v>-0.534483750000007</v>
      </c>
      <c r="O104" s="25" t="n">
        <f aca="false">IF(N104&gt;=-0.0000001,A104,O103)</f>
        <v>45972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45979</v>
      </c>
      <c r="B105" s="26" t="s">
        <v>80</v>
      </c>
      <c r="C105" s="27" t="n">
        <v>66074.79</v>
      </c>
      <c r="D105" s="28" t="n">
        <f aca="false">C105/$T$1*100</f>
        <v>4.129674375</v>
      </c>
      <c r="E105" s="28" t="n">
        <f aca="false">E104+D105</f>
        <v>50.68457625</v>
      </c>
      <c r="F105" s="28" t="n">
        <f aca="false">MAX(0,MAX($E$2:E105))</f>
        <v>50.68457625</v>
      </c>
      <c r="G105" s="28" t="n">
        <f aca="false">E105-F105</f>
        <v>0</v>
      </c>
      <c r="H105" s="25" t="n">
        <f aca="false">IF(G105&gt;=-0.0000001,A105,H104)</f>
        <v>45979</v>
      </c>
      <c r="I105" s="29" t="n">
        <f aca="false">IF(AND(G105&gt;=-0.0000001,G104&lt;0),1,0)</f>
        <v>1</v>
      </c>
      <c r="J105" s="30" t="n">
        <f aca="false">IF(I105=1,A105-H104,"")</f>
        <v>7</v>
      </c>
      <c r="K105" s="27" t="n">
        <f aca="false">IF(B105="Wednesday",0,C105)</f>
        <v>66074.79</v>
      </c>
      <c r="L105" s="28" t="n">
        <f aca="false">L104+K105/$T$1*100</f>
        <v>49.3384375</v>
      </c>
      <c r="M105" s="28" t="n">
        <f aca="false">MAX(0,MAX($L$2:L105))</f>
        <v>49.3384375</v>
      </c>
      <c r="N105" s="28" t="n">
        <f aca="false">L105-M105</f>
        <v>0</v>
      </c>
      <c r="O105" s="25" t="n">
        <f aca="false">IF(N105&gt;=-0.0000001,A105,O104)</f>
        <v>45979</v>
      </c>
      <c r="P105" s="29" t="n">
        <f aca="false">IF(AND(N105&gt;=-0.0000001,N104&lt;0),1,0)</f>
        <v>1</v>
      </c>
      <c r="Q105" s="30" t="n">
        <f aca="false">IF(P105=1,A105-O104,"")</f>
        <v>7</v>
      </c>
    </row>
    <row r="106" customFormat="false" ht="15" hidden="false" customHeight="false" outlineLevel="0" collapsed="false">
      <c r="A106" s="25" t="n">
        <v>45980</v>
      </c>
      <c r="B106" s="26" t="s">
        <v>81</v>
      </c>
      <c r="C106" s="27" t="n">
        <v>-14250</v>
      </c>
      <c r="D106" s="28" t="n">
        <f aca="false">C106/$T$1*100</f>
        <v>-0.890625</v>
      </c>
      <c r="E106" s="28" t="n">
        <f aca="false">E105+D106</f>
        <v>49.79395125</v>
      </c>
      <c r="F106" s="28" t="n">
        <f aca="false">MAX(0,MAX($E$2:E106))</f>
        <v>50.68457625</v>
      </c>
      <c r="G106" s="28" t="n">
        <f aca="false">E106-F106</f>
        <v>-0.890625</v>
      </c>
      <c r="H106" s="25" t="n">
        <f aca="false">IF(G106&gt;=-0.0000001,A106,H105)</f>
        <v>45979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0</v>
      </c>
      <c r="L106" s="28" t="n">
        <f aca="false">L105+K106/$T$1*100</f>
        <v>49.3384375</v>
      </c>
      <c r="M106" s="28" t="n">
        <f aca="false">MAX(0,MAX($L$2:L106))</f>
        <v>49.3384375</v>
      </c>
      <c r="N106" s="28" t="n">
        <f aca="false">L106-M106</f>
        <v>0</v>
      </c>
      <c r="O106" s="25" t="n">
        <f aca="false">IF(N106&gt;=-0.0000001,A106,O105)</f>
        <v>45980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45981</v>
      </c>
      <c r="B107" s="26" t="s">
        <v>82</v>
      </c>
      <c r="C107" s="27" t="n">
        <v>45021.31</v>
      </c>
      <c r="D107" s="28" t="n">
        <f aca="false">C107/$T$1*100</f>
        <v>2.813831875</v>
      </c>
      <c r="E107" s="28" t="n">
        <f aca="false">E106+D107</f>
        <v>52.607783125</v>
      </c>
      <c r="F107" s="28" t="n">
        <f aca="false">MAX(0,MAX($E$2:E107))</f>
        <v>52.607783125</v>
      </c>
      <c r="G107" s="28" t="n">
        <f aca="false">E107-F107</f>
        <v>0</v>
      </c>
      <c r="H107" s="25" t="n">
        <f aca="false">IF(G107&gt;=-0.0000001,A107,H106)</f>
        <v>45981</v>
      </c>
      <c r="I107" s="29" t="n">
        <f aca="false">IF(AND(G107&gt;=-0.0000001,G106&lt;0),1,0)</f>
        <v>1</v>
      </c>
      <c r="J107" s="30" t="n">
        <f aca="false">IF(I107=1,A107-H106,"")</f>
        <v>2</v>
      </c>
      <c r="K107" s="27" t="n">
        <f aca="false">IF(B107="Wednesday",0,C107)</f>
        <v>45021.31</v>
      </c>
      <c r="L107" s="28" t="n">
        <f aca="false">L106+K107/$T$1*100</f>
        <v>52.152269375</v>
      </c>
      <c r="M107" s="28" t="n">
        <f aca="false">MAX(0,MAX($L$2:L107))</f>
        <v>52.152269375</v>
      </c>
      <c r="N107" s="28" t="n">
        <f aca="false">L107-M107</f>
        <v>0</v>
      </c>
      <c r="O107" s="25" t="n">
        <f aca="false">IF(N107&gt;=-0.0000001,A107,O106)</f>
        <v>45981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45982</v>
      </c>
      <c r="B108" s="26" t="s">
        <v>83</v>
      </c>
      <c r="C108" s="27" t="n">
        <v>-81118.88</v>
      </c>
      <c r="D108" s="28" t="n">
        <f aca="false">C108/$T$1*100</f>
        <v>-5.06993</v>
      </c>
      <c r="E108" s="28" t="n">
        <f aca="false">E107+D108</f>
        <v>47.537853125</v>
      </c>
      <c r="F108" s="28" t="n">
        <f aca="false">MAX(0,MAX($E$2:E108))</f>
        <v>52.607783125</v>
      </c>
      <c r="G108" s="28" t="n">
        <f aca="false">E108-F108</f>
        <v>-5.06993</v>
      </c>
      <c r="H108" s="25" t="n">
        <f aca="false">IF(G108&gt;=-0.0000001,A108,H107)</f>
        <v>45981</v>
      </c>
      <c r="I108" s="29" t="n">
        <f aca="false">IF(AND(G108&gt;=-0.0000001,G107&lt;0),1,0)</f>
        <v>0</v>
      </c>
      <c r="J108" s="30" t="str">
        <f aca="false">IF(I108=1,A108-H107,"")</f>
        <v/>
      </c>
      <c r="K108" s="27" t="n">
        <f aca="false">IF(B108="Wednesday",0,C108)</f>
        <v>-81118.88</v>
      </c>
      <c r="L108" s="28" t="n">
        <f aca="false">L107+K108/$T$1*100</f>
        <v>47.082339375</v>
      </c>
      <c r="M108" s="28" t="n">
        <f aca="false">MAX(0,MAX($L$2:L108))</f>
        <v>52.152269375</v>
      </c>
      <c r="N108" s="28" t="n">
        <f aca="false">L108-M108</f>
        <v>-5.06993</v>
      </c>
      <c r="O108" s="25" t="n">
        <f aca="false">IF(N108&gt;=-0.0000001,A108,O107)</f>
        <v>45981</v>
      </c>
      <c r="P108" s="29" t="n">
        <f aca="false">IF(AND(N108&gt;=-0.0000001,N107&lt;0),1,0)</f>
        <v>0</v>
      </c>
      <c r="Q108" s="30" t="str">
        <f aca="false">IF(P108=1,A108-O107,"")</f>
        <v/>
      </c>
    </row>
    <row r="109" customFormat="false" ht="15" hidden="false" customHeight="false" outlineLevel="0" collapsed="false">
      <c r="A109" s="25" t="n">
        <v>45983</v>
      </c>
      <c r="B109" s="26" t="s">
        <v>117</v>
      </c>
      <c r="C109" s="27" t="n">
        <v>20869.7</v>
      </c>
      <c r="D109" s="28" t="n">
        <f aca="false">C109/$T$1*100</f>
        <v>1.30435625</v>
      </c>
      <c r="E109" s="28" t="n">
        <f aca="false">E108+D109</f>
        <v>48.842209375</v>
      </c>
      <c r="F109" s="28" t="n">
        <f aca="false">MAX(0,MAX($E$2:E109))</f>
        <v>52.607783125</v>
      </c>
      <c r="G109" s="28" t="n">
        <f aca="false">E109-F109</f>
        <v>-3.76557375</v>
      </c>
      <c r="H109" s="25" t="n">
        <f aca="false">IF(G109&gt;=-0.0000001,A109,H108)</f>
        <v>45981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20869.7</v>
      </c>
      <c r="L109" s="28" t="n">
        <f aca="false">L108+K109/$T$1*100</f>
        <v>48.386695625</v>
      </c>
      <c r="M109" s="28" t="n">
        <f aca="false">MAX(0,MAX($L$2:L109))</f>
        <v>52.152269375</v>
      </c>
      <c r="N109" s="28" t="n">
        <f aca="false">L109-M109</f>
        <v>-3.76557375</v>
      </c>
      <c r="O109" s="25" t="n">
        <f aca="false">IF(N109&gt;=-0.0000001,A109,O108)</f>
        <v>45981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45985</v>
      </c>
      <c r="B110" s="26" t="s">
        <v>79</v>
      </c>
      <c r="C110" s="27" t="n">
        <v>-40884.32</v>
      </c>
      <c r="D110" s="28" t="n">
        <f aca="false">C110/$T$1*100</f>
        <v>-2.55527</v>
      </c>
      <c r="E110" s="28" t="n">
        <f aca="false">E109+D110</f>
        <v>46.286939375</v>
      </c>
      <c r="F110" s="28" t="n">
        <f aca="false">MAX(0,MAX($E$2:E110))</f>
        <v>52.607783125</v>
      </c>
      <c r="G110" s="28" t="n">
        <f aca="false">E110-F110</f>
        <v>-6.32084375</v>
      </c>
      <c r="H110" s="25" t="n">
        <f aca="false">IF(G110&gt;=-0.0000001,A110,H109)</f>
        <v>45981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-40884.32</v>
      </c>
      <c r="L110" s="28" t="n">
        <f aca="false">L109+K110/$T$1*100</f>
        <v>45.831425625</v>
      </c>
      <c r="M110" s="28" t="n">
        <f aca="false">MAX(0,MAX($L$2:L110))</f>
        <v>52.152269375</v>
      </c>
      <c r="N110" s="28" t="n">
        <f aca="false">L110-M110</f>
        <v>-6.32084375</v>
      </c>
      <c r="O110" s="25" t="n">
        <f aca="false">IF(N110&gt;=-0.0000001,A110,O109)</f>
        <v>45981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45986</v>
      </c>
      <c r="B111" s="26" t="s">
        <v>80</v>
      </c>
      <c r="C111" s="27" t="n">
        <v>39783.75</v>
      </c>
      <c r="D111" s="28" t="n">
        <f aca="false">C111/$T$1*100</f>
        <v>2.486484375</v>
      </c>
      <c r="E111" s="28" t="n">
        <f aca="false">E110+D111</f>
        <v>48.77342375</v>
      </c>
      <c r="F111" s="28" t="n">
        <f aca="false">MAX(0,MAX($E$2:E111))</f>
        <v>52.607783125</v>
      </c>
      <c r="G111" s="28" t="n">
        <f aca="false">E111-F111</f>
        <v>-3.834359375</v>
      </c>
      <c r="H111" s="25" t="n">
        <f aca="false">IF(G111&gt;=-0.0000001,A111,H110)</f>
        <v>45981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39783.75</v>
      </c>
      <c r="L111" s="28" t="n">
        <f aca="false">L110+K111/$T$1*100</f>
        <v>48.31791</v>
      </c>
      <c r="M111" s="28" t="n">
        <f aca="false">MAX(0,MAX($L$2:L111))</f>
        <v>52.152269375</v>
      </c>
      <c r="N111" s="28" t="n">
        <f aca="false">L111-M111</f>
        <v>-3.83435937500001</v>
      </c>
      <c r="O111" s="25" t="n">
        <f aca="false">IF(N111&gt;=-0.0000001,A111,O110)</f>
        <v>45981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45987</v>
      </c>
      <c r="B112" s="26" t="s">
        <v>81</v>
      </c>
      <c r="C112" s="27" t="n">
        <v>-31440</v>
      </c>
      <c r="D112" s="28" t="n">
        <f aca="false">C112/$T$1*100</f>
        <v>-1.965</v>
      </c>
      <c r="E112" s="28" t="n">
        <f aca="false">E111+D112</f>
        <v>46.80842375</v>
      </c>
      <c r="F112" s="28" t="n">
        <f aca="false">MAX(0,MAX($E$2:E112))</f>
        <v>52.607783125</v>
      </c>
      <c r="G112" s="28" t="n">
        <f aca="false">E112-F112</f>
        <v>-5.799359375</v>
      </c>
      <c r="H112" s="25" t="n">
        <f aca="false">IF(G112&gt;=-0.0000001,A112,H111)</f>
        <v>45981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0</v>
      </c>
      <c r="L112" s="28" t="n">
        <f aca="false">L111+K112/$T$1*100</f>
        <v>48.31791</v>
      </c>
      <c r="M112" s="28" t="n">
        <f aca="false">MAX(0,MAX($L$2:L112))</f>
        <v>52.152269375</v>
      </c>
      <c r="N112" s="28" t="n">
        <f aca="false">L112-M112</f>
        <v>-3.83435937500001</v>
      </c>
      <c r="O112" s="25" t="n">
        <f aca="false">IF(N112&gt;=-0.0000001,A112,O111)</f>
        <v>45981</v>
      </c>
      <c r="P112" s="29" t="n">
        <f aca="false">IF(AND(N112&gt;=-0.0000001,N111&lt;0),1,0)</f>
        <v>0</v>
      </c>
      <c r="Q112" s="30" t="str">
        <f aca="false">IF(P112=1,A112-O111,"")</f>
        <v/>
      </c>
    </row>
    <row r="113" customFormat="false" ht="15" hidden="false" customHeight="false" outlineLevel="0" collapsed="false">
      <c r="A113" s="25" t="n">
        <v>45988</v>
      </c>
      <c r="B113" s="26" t="s">
        <v>82</v>
      </c>
      <c r="C113" s="27" t="n">
        <v>56048.73</v>
      </c>
      <c r="D113" s="28" t="n">
        <f aca="false">C113/$T$1*100</f>
        <v>3.503045625</v>
      </c>
      <c r="E113" s="28" t="n">
        <f aca="false">E112+D113</f>
        <v>50.311469375</v>
      </c>
      <c r="F113" s="28" t="n">
        <f aca="false">MAX(0,MAX($E$2:E113))</f>
        <v>52.607783125</v>
      </c>
      <c r="G113" s="28" t="n">
        <f aca="false">E113-F113</f>
        <v>-2.29631375</v>
      </c>
      <c r="H113" s="25" t="n">
        <f aca="false">IF(G113&gt;=-0.0000001,A113,H112)</f>
        <v>45981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56048.73</v>
      </c>
      <c r="L113" s="28" t="n">
        <f aca="false">L112+K113/$T$1*100</f>
        <v>51.820955625</v>
      </c>
      <c r="M113" s="28" t="n">
        <f aca="false">MAX(0,MAX($L$2:L113))</f>
        <v>52.152269375</v>
      </c>
      <c r="N113" s="28" t="n">
        <f aca="false">L113-M113</f>
        <v>-0.331313750000007</v>
      </c>
      <c r="O113" s="25" t="n">
        <f aca="false">IF(N113&gt;=-0.0000001,A113,O112)</f>
        <v>45981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45989</v>
      </c>
      <c r="B114" s="26" t="s">
        <v>83</v>
      </c>
      <c r="C114" s="27" t="n">
        <v>7725</v>
      </c>
      <c r="D114" s="28" t="n">
        <f aca="false">C114/$T$1*100</f>
        <v>0.4828125</v>
      </c>
      <c r="E114" s="28" t="n">
        <f aca="false">E113+D114</f>
        <v>50.794281875</v>
      </c>
      <c r="F114" s="28" t="n">
        <f aca="false">MAX(0,MAX($E$2:E114))</f>
        <v>52.607783125</v>
      </c>
      <c r="G114" s="28" t="n">
        <f aca="false">E114-F114</f>
        <v>-1.81350125</v>
      </c>
      <c r="H114" s="25" t="n">
        <f aca="false">IF(G114&gt;=-0.0000001,A114,H113)</f>
        <v>45981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7725</v>
      </c>
      <c r="L114" s="28" t="n">
        <f aca="false">L113+K114/$T$1*100</f>
        <v>52.303768125</v>
      </c>
      <c r="M114" s="28" t="n">
        <f aca="false">MAX(0,MAX($L$2:L114))</f>
        <v>52.303768125</v>
      </c>
      <c r="N114" s="28" t="n">
        <f aca="false">L114-M114</f>
        <v>0</v>
      </c>
      <c r="O114" s="25" t="n">
        <f aca="false">IF(N114&gt;=-0.0000001,A114,O113)</f>
        <v>45989</v>
      </c>
      <c r="P114" s="29" t="n">
        <f aca="false">IF(AND(N114&gt;=-0.0000001,N113&lt;0),1,0)</f>
        <v>1</v>
      </c>
      <c r="Q114" s="30" t="n">
        <f aca="false">IF(P114=1,A114-O113,"")</f>
        <v>8</v>
      </c>
    </row>
    <row r="115" customFormat="false" ht="15" hidden="false" customHeight="false" outlineLevel="0" collapsed="false">
      <c r="A115" s="25" t="n">
        <v>45992</v>
      </c>
      <c r="B115" s="26" t="s">
        <v>79</v>
      </c>
      <c r="C115" s="27" t="n">
        <v>73773.69</v>
      </c>
      <c r="D115" s="28" t="n">
        <f aca="false">C115/$T$1*100</f>
        <v>4.610855625</v>
      </c>
      <c r="E115" s="28" t="n">
        <f aca="false">E114+D115</f>
        <v>55.4051375</v>
      </c>
      <c r="F115" s="28" t="n">
        <f aca="false">MAX(0,MAX($E$2:E115))</f>
        <v>55.4051375</v>
      </c>
      <c r="G115" s="28" t="n">
        <f aca="false">E115-F115</f>
        <v>0</v>
      </c>
      <c r="H115" s="25" t="n">
        <f aca="false">IF(G115&gt;=-0.0000001,A115,H114)</f>
        <v>45992</v>
      </c>
      <c r="I115" s="29" t="n">
        <f aca="false">IF(AND(G115&gt;=-0.0000001,G114&lt;0),1,0)</f>
        <v>1</v>
      </c>
      <c r="J115" s="30" t="n">
        <f aca="false">IF(I115=1,A115-H114,"")</f>
        <v>11</v>
      </c>
      <c r="K115" s="27" t="n">
        <f aca="false">IF(B115="Wednesday",0,C115)</f>
        <v>73773.69</v>
      </c>
      <c r="L115" s="28" t="n">
        <f aca="false">L114+K115/$T$1*100</f>
        <v>56.91462375</v>
      </c>
      <c r="M115" s="28" t="n">
        <f aca="false">MAX(0,MAX($L$2:L115))</f>
        <v>56.91462375</v>
      </c>
      <c r="N115" s="28" t="n">
        <f aca="false">L115-M115</f>
        <v>0</v>
      </c>
      <c r="O115" s="25" t="n">
        <f aca="false">IF(N115&gt;=-0.0000001,A115,O114)</f>
        <v>45992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45993</v>
      </c>
      <c r="B116" s="26" t="s">
        <v>80</v>
      </c>
      <c r="C116" s="27" t="n">
        <v>25485</v>
      </c>
      <c r="D116" s="28" t="n">
        <f aca="false">C116/$T$1*100</f>
        <v>1.5928125</v>
      </c>
      <c r="E116" s="28" t="n">
        <f aca="false">E115+D116</f>
        <v>56.99795</v>
      </c>
      <c r="F116" s="28" t="n">
        <f aca="false">MAX(0,MAX($E$2:E116))</f>
        <v>56.99795</v>
      </c>
      <c r="G116" s="28" t="n">
        <f aca="false">E116-F116</f>
        <v>0</v>
      </c>
      <c r="H116" s="25" t="n">
        <f aca="false">IF(G116&gt;=-0.0000001,A116,H115)</f>
        <v>45993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25485</v>
      </c>
      <c r="L116" s="28" t="n">
        <f aca="false">L115+K116/$T$1*100</f>
        <v>58.50743625</v>
      </c>
      <c r="M116" s="28" t="n">
        <f aca="false">MAX(0,MAX($L$2:L116))</f>
        <v>58.50743625</v>
      </c>
      <c r="N116" s="28" t="n">
        <f aca="false">L116-M116</f>
        <v>0</v>
      </c>
      <c r="O116" s="25" t="n">
        <f aca="false">IF(N116&gt;=-0.0000001,A116,O115)</f>
        <v>45993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45994</v>
      </c>
      <c r="B117" s="26" t="s">
        <v>81</v>
      </c>
      <c r="C117" s="27" t="n">
        <v>9540</v>
      </c>
      <c r="D117" s="28" t="n">
        <f aca="false">C117/$T$1*100</f>
        <v>0.59625</v>
      </c>
      <c r="E117" s="28" t="n">
        <f aca="false">E116+D117</f>
        <v>57.5942</v>
      </c>
      <c r="F117" s="28" t="n">
        <f aca="false">MAX(0,MAX($E$2:E117))</f>
        <v>57.5942</v>
      </c>
      <c r="G117" s="28" t="n">
        <f aca="false">E117-F117</f>
        <v>0</v>
      </c>
      <c r="H117" s="25" t="n">
        <f aca="false">IF(G117&gt;=-0.0000001,A117,H116)</f>
        <v>45994</v>
      </c>
      <c r="I117" s="29" t="n">
        <f aca="false">IF(AND(G117&gt;=-0.0000001,G116&lt;0),1,0)</f>
        <v>0</v>
      </c>
      <c r="J117" s="30" t="str">
        <f aca="false">IF(I117=1,A117-H116,"")</f>
        <v/>
      </c>
      <c r="K117" s="27" t="n">
        <f aca="false">IF(B117="Wednesday",0,C117)</f>
        <v>0</v>
      </c>
      <c r="L117" s="28" t="n">
        <f aca="false">L116+K117/$T$1*100</f>
        <v>58.50743625</v>
      </c>
      <c r="M117" s="28" t="n">
        <f aca="false">MAX(0,MAX($L$2:L117))</f>
        <v>58.50743625</v>
      </c>
      <c r="N117" s="28" t="n">
        <f aca="false">L117-M117</f>
        <v>0</v>
      </c>
      <c r="O117" s="25" t="n">
        <f aca="false">IF(N117&gt;=-0.0000001,A117,O116)</f>
        <v>45994</v>
      </c>
      <c r="P117" s="29" t="n">
        <f aca="false">IF(AND(N117&gt;=-0.0000001,N116&lt;0),1,0)</f>
        <v>0</v>
      </c>
      <c r="Q117" s="30" t="str">
        <f aca="false">IF(P117=1,A117-O116,"")</f>
        <v/>
      </c>
    </row>
    <row r="118" customFormat="false" ht="15" hidden="false" customHeight="false" outlineLevel="0" collapsed="false">
      <c r="A118" s="25" t="n">
        <v>45995</v>
      </c>
      <c r="B118" s="26" t="s">
        <v>82</v>
      </c>
      <c r="C118" s="27" t="n">
        <v>20013.6</v>
      </c>
      <c r="D118" s="28" t="n">
        <f aca="false">C118/$T$1*100</f>
        <v>1.25085</v>
      </c>
      <c r="E118" s="28" t="n">
        <f aca="false">E117+D118</f>
        <v>58.84505</v>
      </c>
      <c r="F118" s="28" t="n">
        <f aca="false">MAX(0,MAX($E$2:E118))</f>
        <v>58.84505</v>
      </c>
      <c r="G118" s="28" t="n">
        <f aca="false">E118-F118</f>
        <v>0</v>
      </c>
      <c r="H118" s="25" t="n">
        <f aca="false">IF(G118&gt;=-0.0000001,A118,H117)</f>
        <v>45995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20013.6</v>
      </c>
      <c r="L118" s="28" t="n">
        <f aca="false">L117+K118/$T$1*100</f>
        <v>59.75828625</v>
      </c>
      <c r="M118" s="28" t="n">
        <f aca="false">MAX(0,MAX($L$2:L118))</f>
        <v>59.75828625</v>
      </c>
      <c r="N118" s="28" t="n">
        <f aca="false">L118-M118</f>
        <v>0</v>
      </c>
      <c r="O118" s="25" t="n">
        <f aca="false">IF(N118&gt;=-0.0000001,A118,O117)</f>
        <v>45995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45996</v>
      </c>
      <c r="B119" s="26" t="s">
        <v>83</v>
      </c>
      <c r="C119" s="27" t="n">
        <v>-68700</v>
      </c>
      <c r="D119" s="28" t="n">
        <f aca="false">C119/$T$1*100</f>
        <v>-4.29375</v>
      </c>
      <c r="E119" s="28" t="n">
        <f aca="false">E118+D119</f>
        <v>54.5513</v>
      </c>
      <c r="F119" s="28" t="n">
        <f aca="false">MAX(0,MAX($E$2:E119))</f>
        <v>58.84505</v>
      </c>
      <c r="G119" s="28" t="n">
        <f aca="false">E119-F119</f>
        <v>-4.29375</v>
      </c>
      <c r="H119" s="25" t="n">
        <f aca="false">IF(G119&gt;=-0.0000001,A119,H118)</f>
        <v>45995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-68700</v>
      </c>
      <c r="L119" s="28" t="n">
        <f aca="false">L118+K119/$T$1*100</f>
        <v>55.46453625</v>
      </c>
      <c r="M119" s="28" t="n">
        <f aca="false">MAX(0,MAX($L$2:L119))</f>
        <v>59.75828625</v>
      </c>
      <c r="N119" s="28" t="n">
        <f aca="false">L119-M119</f>
        <v>-4.29375</v>
      </c>
      <c r="O119" s="25" t="n">
        <f aca="false">IF(N119&gt;=-0.0000001,A119,O118)</f>
        <v>45995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45999</v>
      </c>
      <c r="B120" s="26" t="s">
        <v>79</v>
      </c>
      <c r="C120" s="27" t="n">
        <v>-32856.63</v>
      </c>
      <c r="D120" s="28" t="n">
        <f aca="false">C120/$T$1*100</f>
        <v>-2.053539375</v>
      </c>
      <c r="E120" s="28" t="n">
        <f aca="false">E119+D120</f>
        <v>52.497760625</v>
      </c>
      <c r="F120" s="28" t="n">
        <f aca="false">MAX(0,MAX($E$2:E120))</f>
        <v>58.84505</v>
      </c>
      <c r="G120" s="28" t="n">
        <f aca="false">E120-F120</f>
        <v>-6.347289375</v>
      </c>
      <c r="H120" s="25" t="n">
        <f aca="false">IF(G120&gt;=-0.0000001,A120,H119)</f>
        <v>45995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-32856.63</v>
      </c>
      <c r="L120" s="28" t="n">
        <f aca="false">L119+K120/$T$1*100</f>
        <v>53.410996875</v>
      </c>
      <c r="M120" s="28" t="n">
        <f aca="false">MAX(0,MAX($L$2:L120))</f>
        <v>59.75828625</v>
      </c>
      <c r="N120" s="28" t="n">
        <f aca="false">L120-M120</f>
        <v>-6.347289375</v>
      </c>
      <c r="O120" s="25" t="n">
        <f aca="false">IF(N120&gt;=-0.0000001,A120,O119)</f>
        <v>45995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46000</v>
      </c>
      <c r="B121" s="26" t="s">
        <v>80</v>
      </c>
      <c r="C121" s="27" t="n">
        <v>69701.35</v>
      </c>
      <c r="D121" s="28" t="n">
        <f aca="false">C121/$T$1*100</f>
        <v>4.356334375</v>
      </c>
      <c r="E121" s="28" t="n">
        <f aca="false">E120+D121</f>
        <v>56.854095</v>
      </c>
      <c r="F121" s="28" t="n">
        <f aca="false">MAX(0,MAX($E$2:E121))</f>
        <v>58.84505</v>
      </c>
      <c r="G121" s="28" t="n">
        <f aca="false">E121-F121</f>
        <v>-1.990955</v>
      </c>
      <c r="H121" s="25" t="n">
        <f aca="false">IF(G121&gt;=-0.0000001,A121,H120)</f>
        <v>45995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69701.35</v>
      </c>
      <c r="L121" s="28" t="n">
        <f aca="false">L120+K121/$T$1*100</f>
        <v>57.76733125</v>
      </c>
      <c r="M121" s="28" t="n">
        <f aca="false">MAX(0,MAX($L$2:L121))</f>
        <v>59.75828625</v>
      </c>
      <c r="N121" s="28" t="n">
        <f aca="false">L121-M121</f>
        <v>-1.990955</v>
      </c>
      <c r="O121" s="25" t="n">
        <f aca="false">IF(N121&gt;=-0.0000001,A121,O120)</f>
        <v>45995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46001</v>
      </c>
      <c r="B122" s="26" t="s">
        <v>81</v>
      </c>
      <c r="C122" s="27" t="n">
        <v>-17546.91</v>
      </c>
      <c r="D122" s="28" t="n">
        <f aca="false">C122/$T$1*100</f>
        <v>-1.096681875</v>
      </c>
      <c r="E122" s="28" t="n">
        <f aca="false">E121+D122</f>
        <v>55.757413125</v>
      </c>
      <c r="F122" s="28" t="n">
        <f aca="false">MAX(0,MAX($E$2:E122))</f>
        <v>58.84505</v>
      </c>
      <c r="G122" s="28" t="n">
        <f aca="false">E122-F122</f>
        <v>-3.087636875</v>
      </c>
      <c r="H122" s="25" t="n">
        <f aca="false">IF(G122&gt;=-0.0000001,A122,H121)</f>
        <v>45995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0</v>
      </c>
      <c r="L122" s="28" t="n">
        <f aca="false">L121+K122/$T$1*100</f>
        <v>57.76733125</v>
      </c>
      <c r="M122" s="28" t="n">
        <f aca="false">MAX(0,MAX($L$2:L122))</f>
        <v>59.75828625</v>
      </c>
      <c r="N122" s="28" t="n">
        <f aca="false">L122-M122</f>
        <v>-1.990955</v>
      </c>
      <c r="O122" s="25" t="n">
        <f aca="false">IF(N122&gt;=-0.0000001,A122,O121)</f>
        <v>45995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46002</v>
      </c>
      <c r="B123" s="26" t="s">
        <v>82</v>
      </c>
      <c r="C123" s="27" t="n">
        <v>31005.75</v>
      </c>
      <c r="D123" s="28" t="n">
        <f aca="false">C123/$T$1*100</f>
        <v>1.937859375</v>
      </c>
      <c r="E123" s="28" t="n">
        <f aca="false">E122+D123</f>
        <v>57.6952725</v>
      </c>
      <c r="F123" s="28" t="n">
        <f aca="false">MAX(0,MAX($E$2:E123))</f>
        <v>58.84505</v>
      </c>
      <c r="G123" s="28" t="n">
        <f aca="false">E123-F123</f>
        <v>-1.1497775</v>
      </c>
      <c r="H123" s="25" t="n">
        <f aca="false">IF(G123&gt;=-0.0000001,A123,H122)</f>
        <v>45995</v>
      </c>
      <c r="I123" s="29" t="n">
        <f aca="false">IF(AND(G123&gt;=-0.0000001,G122&lt;0),1,0)</f>
        <v>0</v>
      </c>
      <c r="J123" s="30" t="str">
        <f aca="false">IF(I123=1,A123-H122,"")</f>
        <v/>
      </c>
      <c r="K123" s="27" t="n">
        <f aca="false">IF(B123="Wednesday",0,C123)</f>
        <v>31005.75</v>
      </c>
      <c r="L123" s="28" t="n">
        <f aca="false">L122+K123/$T$1*100</f>
        <v>59.705190625</v>
      </c>
      <c r="M123" s="28" t="n">
        <f aca="false">MAX(0,MAX($L$2:L123))</f>
        <v>59.75828625</v>
      </c>
      <c r="N123" s="28" t="n">
        <f aca="false">L123-M123</f>
        <v>-0.0530956249999974</v>
      </c>
      <c r="O123" s="25" t="n">
        <f aca="false">IF(N123&gt;=-0.0000001,A123,O122)</f>
        <v>45995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46003</v>
      </c>
      <c r="B124" s="26" t="s">
        <v>83</v>
      </c>
      <c r="C124" s="27" t="n">
        <v>-11119.37</v>
      </c>
      <c r="D124" s="28" t="n">
        <f aca="false">C124/$T$1*100</f>
        <v>-0.694960625</v>
      </c>
      <c r="E124" s="28" t="n">
        <f aca="false">E123+D124</f>
        <v>57.000311875</v>
      </c>
      <c r="F124" s="28" t="n">
        <f aca="false">MAX(0,MAX($E$2:E124))</f>
        <v>58.84505</v>
      </c>
      <c r="G124" s="28" t="n">
        <f aca="false">E124-F124</f>
        <v>-1.844738125</v>
      </c>
      <c r="H124" s="25" t="n">
        <f aca="false">IF(G124&gt;=-0.0000001,A124,H123)</f>
        <v>45995</v>
      </c>
      <c r="I124" s="29" t="n">
        <f aca="false">IF(AND(G124&gt;=-0.0000001,G123&lt;0),1,0)</f>
        <v>0</v>
      </c>
      <c r="J124" s="30" t="str">
        <f aca="false">IF(I124=1,A124-H123,"")</f>
        <v/>
      </c>
      <c r="K124" s="27" t="n">
        <f aca="false">IF(B124="Wednesday",0,C124)</f>
        <v>-11119.37</v>
      </c>
      <c r="L124" s="28" t="n">
        <f aca="false">L123+K124/$T$1*100</f>
        <v>59.01023</v>
      </c>
      <c r="M124" s="28" t="n">
        <f aca="false">MAX(0,MAX($L$2:L124))</f>
        <v>59.75828625</v>
      </c>
      <c r="N124" s="28" t="n">
        <f aca="false">L124-M124</f>
        <v>-0.748056249999998</v>
      </c>
      <c r="O124" s="25" t="n">
        <f aca="false">IF(N124&gt;=-0.0000001,A124,O123)</f>
        <v>45995</v>
      </c>
      <c r="P124" s="29" t="n">
        <f aca="false">IF(AND(N124&gt;=-0.0000001,N123&lt;0),1,0)</f>
        <v>0</v>
      </c>
      <c r="Q124" s="30" t="str">
        <f aca="false">IF(P124=1,A124-O123,"")</f>
        <v/>
      </c>
    </row>
    <row r="125" customFormat="false" ht="15" hidden="false" customHeight="false" outlineLevel="0" collapsed="false">
      <c r="A125" s="25" t="n">
        <v>46006</v>
      </c>
      <c r="B125" s="26" t="s">
        <v>79</v>
      </c>
      <c r="C125" s="27" t="n">
        <v>13682.68</v>
      </c>
      <c r="D125" s="28" t="n">
        <f aca="false">C125/$T$1*100</f>
        <v>0.8551675</v>
      </c>
      <c r="E125" s="28" t="n">
        <f aca="false">E124+D125</f>
        <v>57.855479375</v>
      </c>
      <c r="F125" s="28" t="n">
        <f aca="false">MAX(0,MAX($E$2:E125))</f>
        <v>58.84505</v>
      </c>
      <c r="G125" s="28" t="n">
        <f aca="false">E125-F125</f>
        <v>-0.989570624999999</v>
      </c>
      <c r="H125" s="25" t="n">
        <f aca="false">IF(G125&gt;=-0.0000001,A125,H124)</f>
        <v>45995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13682.68</v>
      </c>
      <c r="L125" s="28" t="n">
        <f aca="false">L124+K125/$T$1*100</f>
        <v>59.8653975</v>
      </c>
      <c r="M125" s="28" t="n">
        <f aca="false">MAX(0,MAX($L$2:L125))</f>
        <v>59.8653975</v>
      </c>
      <c r="N125" s="28" t="n">
        <f aca="false">L125-M125</f>
        <v>0</v>
      </c>
      <c r="O125" s="25" t="n">
        <f aca="false">IF(N125&gt;=-0.0000001,A125,O124)</f>
        <v>46006</v>
      </c>
      <c r="P125" s="29" t="n">
        <f aca="false">IF(AND(N125&gt;=-0.0000001,N124&lt;0),1,0)</f>
        <v>1</v>
      </c>
      <c r="Q125" s="30" t="n">
        <f aca="false">IF(P125=1,A125-O124,"")</f>
        <v>11</v>
      </c>
    </row>
    <row r="126" customFormat="false" ht="15" hidden="false" customHeight="false" outlineLevel="0" collapsed="false">
      <c r="A126" s="25" t="n">
        <v>46007</v>
      </c>
      <c r="B126" s="26" t="s">
        <v>80</v>
      </c>
      <c r="C126" s="27" t="n">
        <v>28910.28</v>
      </c>
      <c r="D126" s="28" t="n">
        <f aca="false">C126/$T$1*100</f>
        <v>1.8068925</v>
      </c>
      <c r="E126" s="28" t="n">
        <f aca="false">E125+D126</f>
        <v>59.662371875</v>
      </c>
      <c r="F126" s="28" t="n">
        <f aca="false">MAX(0,MAX($E$2:E126))</f>
        <v>59.662371875</v>
      </c>
      <c r="G126" s="28" t="n">
        <f aca="false">E126-F126</f>
        <v>0</v>
      </c>
      <c r="H126" s="25" t="n">
        <f aca="false">IF(G126&gt;=-0.0000001,A126,H125)</f>
        <v>46007</v>
      </c>
      <c r="I126" s="29" t="n">
        <f aca="false">IF(AND(G126&gt;=-0.0000001,G125&lt;0),1,0)</f>
        <v>1</v>
      </c>
      <c r="J126" s="30" t="n">
        <f aca="false">IF(I126=1,A126-H125,"")</f>
        <v>12</v>
      </c>
      <c r="K126" s="27" t="n">
        <f aca="false">IF(B126="Wednesday",0,C126)</f>
        <v>28910.28</v>
      </c>
      <c r="L126" s="28" t="n">
        <f aca="false">L125+K126/$T$1*100</f>
        <v>61.67229</v>
      </c>
      <c r="M126" s="28" t="n">
        <f aca="false">MAX(0,MAX($L$2:L126))</f>
        <v>61.67229</v>
      </c>
      <c r="N126" s="28" t="n">
        <f aca="false">L126-M126</f>
        <v>0</v>
      </c>
      <c r="O126" s="25" t="n">
        <f aca="false">IF(N126&gt;=-0.0000001,A126,O125)</f>
        <v>46007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46008</v>
      </c>
      <c r="B127" s="26" t="s">
        <v>81</v>
      </c>
      <c r="C127" s="27" t="n">
        <v>2085</v>
      </c>
      <c r="D127" s="28" t="n">
        <f aca="false">C127/$T$1*100</f>
        <v>0.1303125</v>
      </c>
      <c r="E127" s="28" t="n">
        <f aca="false">E126+D127</f>
        <v>59.792684375</v>
      </c>
      <c r="F127" s="28" t="n">
        <f aca="false">MAX(0,MAX($E$2:E127))</f>
        <v>59.792684375</v>
      </c>
      <c r="G127" s="28" t="n">
        <f aca="false">E127-F127</f>
        <v>0</v>
      </c>
      <c r="H127" s="25" t="n">
        <f aca="false">IF(G127&gt;=-0.0000001,A127,H126)</f>
        <v>46008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0</v>
      </c>
      <c r="L127" s="28" t="n">
        <f aca="false">L126+K127/$T$1*100</f>
        <v>61.67229</v>
      </c>
      <c r="M127" s="28" t="n">
        <f aca="false">MAX(0,MAX($L$2:L127))</f>
        <v>61.67229</v>
      </c>
      <c r="N127" s="28" t="n">
        <f aca="false">L127-M127</f>
        <v>0</v>
      </c>
      <c r="O127" s="25" t="n">
        <f aca="false">IF(N127&gt;=-0.0000001,A127,O126)</f>
        <v>46008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46009</v>
      </c>
      <c r="B128" s="26" t="s">
        <v>82</v>
      </c>
      <c r="C128" s="27" t="n">
        <v>21499.31</v>
      </c>
      <c r="D128" s="28" t="n">
        <f aca="false">C128/$T$1*100</f>
        <v>1.343706875</v>
      </c>
      <c r="E128" s="28" t="n">
        <f aca="false">E127+D128</f>
        <v>61.13639125</v>
      </c>
      <c r="F128" s="28" t="n">
        <f aca="false">MAX(0,MAX($E$2:E128))</f>
        <v>61.13639125</v>
      </c>
      <c r="G128" s="28" t="n">
        <f aca="false">E128-F128</f>
        <v>0</v>
      </c>
      <c r="H128" s="25" t="n">
        <f aca="false">IF(G128&gt;=-0.0000001,A128,H127)</f>
        <v>46009</v>
      </c>
      <c r="I128" s="29" t="n">
        <f aca="false">IF(AND(G128&gt;=-0.0000001,G127&lt;0),1,0)</f>
        <v>0</v>
      </c>
      <c r="J128" s="30" t="str">
        <f aca="false">IF(I128=1,A128-H127,"")</f>
        <v/>
      </c>
      <c r="K128" s="27" t="n">
        <f aca="false">IF(B128="Wednesday",0,C128)</f>
        <v>21499.31</v>
      </c>
      <c r="L128" s="28" t="n">
        <f aca="false">L127+K128/$T$1*100</f>
        <v>63.015996875</v>
      </c>
      <c r="M128" s="28" t="n">
        <f aca="false">MAX(0,MAX($L$2:L128))</f>
        <v>63.015996875</v>
      </c>
      <c r="N128" s="28" t="n">
        <f aca="false">L128-M128</f>
        <v>0</v>
      </c>
      <c r="O128" s="25" t="n">
        <f aca="false">IF(N128&gt;=-0.0000001,A128,O127)</f>
        <v>46009</v>
      </c>
      <c r="P128" s="29" t="n">
        <f aca="false">IF(AND(N128&gt;=-0.0000001,N127&lt;0),1,0)</f>
        <v>0</v>
      </c>
      <c r="Q128" s="30" t="str">
        <f aca="false">IF(P128=1,A128-O127,"")</f>
        <v/>
      </c>
    </row>
    <row r="129" customFormat="false" ht="15" hidden="false" customHeight="false" outlineLevel="0" collapsed="false">
      <c r="A129" s="25" t="n">
        <v>46010</v>
      </c>
      <c r="B129" s="26" t="s">
        <v>83</v>
      </c>
      <c r="C129" s="27" t="n">
        <v>12753.88</v>
      </c>
      <c r="D129" s="28" t="n">
        <f aca="false">C129/$T$1*100</f>
        <v>0.7971175</v>
      </c>
      <c r="E129" s="28" t="n">
        <f aca="false">E128+D129</f>
        <v>61.93350875</v>
      </c>
      <c r="F129" s="28" t="n">
        <f aca="false">MAX(0,MAX($E$2:E129))</f>
        <v>61.93350875</v>
      </c>
      <c r="G129" s="28" t="n">
        <f aca="false">E129-F129</f>
        <v>0</v>
      </c>
      <c r="H129" s="25" t="n">
        <f aca="false">IF(G129&gt;=-0.0000001,A129,H128)</f>
        <v>46010</v>
      </c>
      <c r="I129" s="29" t="n">
        <f aca="false">IF(AND(G129&gt;=-0.0000001,G128&lt;0),1,0)</f>
        <v>0</v>
      </c>
      <c r="J129" s="30" t="str">
        <f aca="false">IF(I129=1,A129-H128,"")</f>
        <v/>
      </c>
      <c r="K129" s="27" t="n">
        <f aca="false">IF(B129="Wednesday",0,C129)</f>
        <v>12753.88</v>
      </c>
      <c r="L129" s="28" t="n">
        <f aca="false">L128+K129/$T$1*100</f>
        <v>63.813114375</v>
      </c>
      <c r="M129" s="28" t="n">
        <f aca="false">MAX(0,MAX($L$2:L129))</f>
        <v>63.813114375</v>
      </c>
      <c r="N129" s="28" t="n">
        <f aca="false">L129-M129</f>
        <v>0</v>
      </c>
      <c r="O129" s="25" t="n">
        <f aca="false">IF(N129&gt;=-0.0000001,A129,O128)</f>
        <v>46010</v>
      </c>
      <c r="P129" s="29" t="n">
        <f aca="false">IF(AND(N129&gt;=-0.0000001,N128&lt;0),1,0)</f>
        <v>0</v>
      </c>
      <c r="Q129" s="30" t="str">
        <f aca="false">IF(P129=1,A129-O128,"")</f>
        <v/>
      </c>
    </row>
    <row r="130" customFormat="false" ht="15" hidden="false" customHeight="false" outlineLevel="0" collapsed="false">
      <c r="A130" s="25" t="n">
        <v>46013</v>
      </c>
      <c r="B130" s="26" t="s">
        <v>79</v>
      </c>
      <c r="C130" s="27" t="n">
        <v>16378.89</v>
      </c>
      <c r="D130" s="28" t="n">
        <f aca="false">C130/$T$1*100</f>
        <v>1.023680625</v>
      </c>
      <c r="E130" s="28" t="n">
        <f aca="false">E129+D130</f>
        <v>62.957189375</v>
      </c>
      <c r="F130" s="28" t="n">
        <f aca="false">MAX(0,MAX($E$2:E130))</f>
        <v>62.957189375</v>
      </c>
      <c r="G130" s="28" t="n">
        <f aca="false">E130-F130</f>
        <v>0</v>
      </c>
      <c r="H130" s="25" t="n">
        <f aca="false">IF(G130&gt;=-0.0000001,A130,H129)</f>
        <v>46013</v>
      </c>
      <c r="I130" s="29" t="n">
        <f aca="false">IF(AND(G130&gt;=-0.0000001,G129&lt;0),1,0)</f>
        <v>0</v>
      </c>
      <c r="J130" s="30" t="str">
        <f aca="false">IF(I130=1,A130-H129,"")</f>
        <v/>
      </c>
      <c r="K130" s="27" t="n">
        <f aca="false">IF(B130="Wednesday",0,C130)</f>
        <v>16378.89</v>
      </c>
      <c r="L130" s="28" t="n">
        <f aca="false">L129+K130/$T$1*100</f>
        <v>64.836795</v>
      </c>
      <c r="M130" s="28" t="n">
        <f aca="false">MAX(0,MAX($L$2:L130))</f>
        <v>64.836795</v>
      </c>
      <c r="N130" s="28" t="n">
        <f aca="false">L130-M130</f>
        <v>0</v>
      </c>
      <c r="O130" s="25" t="n">
        <f aca="false">IF(N130&gt;=-0.0000001,A130,O129)</f>
        <v>46013</v>
      </c>
      <c r="P130" s="29" t="n">
        <f aca="false">IF(AND(N130&gt;=-0.0000001,N129&lt;0),1,0)</f>
        <v>0</v>
      </c>
      <c r="Q130" s="30" t="str">
        <f aca="false">IF(P130=1,A130-O129,"")</f>
        <v/>
      </c>
    </row>
    <row r="131" customFormat="false" ht="15" hidden="false" customHeight="false" outlineLevel="0" collapsed="false">
      <c r="A131" s="25" t="n">
        <v>46014</v>
      </c>
      <c r="B131" s="26" t="s">
        <v>80</v>
      </c>
      <c r="C131" s="27" t="n">
        <v>31535.41</v>
      </c>
      <c r="D131" s="28" t="n">
        <f aca="false">C131/$T$1*100</f>
        <v>1.970963125</v>
      </c>
      <c r="E131" s="28" t="n">
        <f aca="false">E130+D131</f>
        <v>64.9281525</v>
      </c>
      <c r="F131" s="28" t="n">
        <f aca="false">MAX(0,MAX($E$2:E131))</f>
        <v>64.9281525</v>
      </c>
      <c r="G131" s="28" t="n">
        <f aca="false">E131-F131</f>
        <v>0</v>
      </c>
      <c r="H131" s="25" t="n">
        <f aca="false">IF(G131&gt;=-0.0000001,A131,H130)</f>
        <v>46014</v>
      </c>
      <c r="I131" s="29" t="n">
        <f aca="false">IF(AND(G131&gt;=-0.0000001,G130&lt;0),1,0)</f>
        <v>0</v>
      </c>
      <c r="J131" s="30" t="str">
        <f aca="false">IF(I131=1,A131-H130,"")</f>
        <v/>
      </c>
      <c r="K131" s="27" t="n">
        <f aca="false">IF(B131="Wednesday",0,C131)</f>
        <v>31535.41</v>
      </c>
      <c r="L131" s="28" t="n">
        <f aca="false">L130+K131/$T$1*100</f>
        <v>66.807758125</v>
      </c>
      <c r="M131" s="28" t="n">
        <f aca="false">MAX(0,MAX($L$2:L131))</f>
        <v>66.807758125</v>
      </c>
      <c r="N131" s="28" t="n">
        <f aca="false">L131-M131</f>
        <v>0</v>
      </c>
      <c r="O131" s="25" t="n">
        <f aca="false">IF(N131&gt;=-0.0000001,A131,O130)</f>
        <v>46014</v>
      </c>
      <c r="P131" s="29" t="n">
        <f aca="false">IF(AND(N131&gt;=-0.0000001,N130&lt;0),1,0)</f>
        <v>0</v>
      </c>
      <c r="Q131" s="30" t="str">
        <f aca="false">IF(P131=1,A131-O130,"")</f>
        <v/>
      </c>
    </row>
    <row r="132" customFormat="false" ht="15" hidden="false" customHeight="false" outlineLevel="0" collapsed="false">
      <c r="A132" s="25" t="n">
        <v>46015</v>
      </c>
      <c r="B132" s="26" t="s">
        <v>81</v>
      </c>
      <c r="C132" s="27" t="n">
        <v>-41288.92</v>
      </c>
      <c r="D132" s="28" t="n">
        <f aca="false">C132/$T$1*100</f>
        <v>-2.5805575</v>
      </c>
      <c r="E132" s="28" t="n">
        <f aca="false">E131+D132</f>
        <v>62.347595</v>
      </c>
      <c r="F132" s="28" t="n">
        <f aca="false">MAX(0,MAX($E$2:E132))</f>
        <v>64.9281525</v>
      </c>
      <c r="G132" s="28" t="n">
        <f aca="false">E132-F132</f>
        <v>-2.5805575</v>
      </c>
      <c r="H132" s="25" t="n">
        <f aca="false">IF(G132&gt;=-0.0000001,A132,H131)</f>
        <v>46014</v>
      </c>
      <c r="I132" s="29" t="n">
        <f aca="false">IF(AND(G132&gt;=-0.0000001,G131&lt;0),1,0)</f>
        <v>0</v>
      </c>
      <c r="J132" s="30" t="str">
        <f aca="false">IF(I132=1,A132-H131,"")</f>
        <v/>
      </c>
      <c r="K132" s="27" t="n">
        <f aca="false">IF(B132="Wednesday",0,C132)</f>
        <v>0</v>
      </c>
      <c r="L132" s="28" t="n">
        <f aca="false">L131+K132/$T$1*100</f>
        <v>66.807758125</v>
      </c>
      <c r="M132" s="28" t="n">
        <f aca="false">MAX(0,MAX($L$2:L132))</f>
        <v>66.807758125</v>
      </c>
      <c r="N132" s="28" t="n">
        <f aca="false">L132-M132</f>
        <v>0</v>
      </c>
      <c r="O132" s="25" t="n">
        <f aca="false">IF(N132&gt;=-0.0000001,A132,O131)</f>
        <v>46015</v>
      </c>
      <c r="P132" s="29" t="n">
        <f aca="false">IF(AND(N132&gt;=-0.0000001,N131&lt;0),1,0)</f>
        <v>0</v>
      </c>
      <c r="Q132" s="30" t="str">
        <f aca="false">IF(P132=1,A132-O131,"")</f>
        <v/>
      </c>
    </row>
    <row r="133" customFormat="false" ht="15" hidden="false" customHeight="false" outlineLevel="0" collapsed="false">
      <c r="A133" s="25" t="n">
        <v>46017</v>
      </c>
      <c r="B133" s="26" t="s">
        <v>83</v>
      </c>
      <c r="C133" s="27" t="n">
        <v>33302.25</v>
      </c>
      <c r="D133" s="28" t="n">
        <f aca="false">C133/$T$1*100</f>
        <v>2.081390625</v>
      </c>
      <c r="E133" s="28" t="n">
        <f aca="false">E132+D133</f>
        <v>64.428985625</v>
      </c>
      <c r="F133" s="28" t="n">
        <f aca="false">MAX(0,MAX($E$2:E133))</f>
        <v>64.9281525</v>
      </c>
      <c r="G133" s="28" t="n">
        <f aca="false">E133-F133</f>
        <v>-0.499166875</v>
      </c>
      <c r="H133" s="25" t="n">
        <f aca="false">IF(G133&gt;=-0.0000001,A133,H132)</f>
        <v>46014</v>
      </c>
      <c r="I133" s="29" t="n">
        <f aca="false">IF(AND(G133&gt;=-0.0000001,G132&lt;0),1,0)</f>
        <v>0</v>
      </c>
      <c r="J133" s="30" t="str">
        <f aca="false">IF(I133=1,A133-H132,"")</f>
        <v/>
      </c>
      <c r="K133" s="27" t="n">
        <f aca="false">IF(B133="Wednesday",0,C133)</f>
        <v>33302.25</v>
      </c>
      <c r="L133" s="28" t="n">
        <f aca="false">L132+K133/$T$1*100</f>
        <v>68.88914875</v>
      </c>
      <c r="M133" s="28" t="n">
        <f aca="false">MAX(0,MAX($L$2:L133))</f>
        <v>68.88914875</v>
      </c>
      <c r="N133" s="28" t="n">
        <f aca="false">L133-M133</f>
        <v>0</v>
      </c>
      <c r="O133" s="25" t="n">
        <f aca="false">IF(N133&gt;=-0.0000001,A133,O132)</f>
        <v>46017</v>
      </c>
      <c r="P133" s="29" t="n">
        <f aca="false">IF(AND(N133&gt;=-0.0000001,N132&lt;0),1,0)</f>
        <v>0</v>
      </c>
      <c r="Q133" s="30" t="str">
        <f aca="false">IF(P133=1,A133-O132,"")</f>
        <v/>
      </c>
    </row>
    <row r="134" customFormat="false" ht="15" hidden="false" customHeight="false" outlineLevel="0" collapsed="false">
      <c r="A134" s="25" t="n">
        <v>46020</v>
      </c>
      <c r="B134" s="26" t="s">
        <v>79</v>
      </c>
      <c r="C134" s="27" t="n">
        <v>40760.08</v>
      </c>
      <c r="D134" s="28" t="n">
        <f aca="false">C134/$T$1*100</f>
        <v>2.547505</v>
      </c>
      <c r="E134" s="28" t="n">
        <f aca="false">E133+D134</f>
        <v>66.976490625</v>
      </c>
      <c r="F134" s="28" t="n">
        <f aca="false">MAX(0,MAX($E$2:E134))</f>
        <v>66.976490625</v>
      </c>
      <c r="G134" s="28" t="n">
        <f aca="false">E134-F134</f>
        <v>0</v>
      </c>
      <c r="H134" s="25" t="n">
        <f aca="false">IF(G134&gt;=-0.0000001,A134,H133)</f>
        <v>46020</v>
      </c>
      <c r="I134" s="29" t="n">
        <f aca="false">IF(AND(G134&gt;=-0.0000001,G133&lt;0),1,0)</f>
        <v>1</v>
      </c>
      <c r="J134" s="30" t="n">
        <f aca="false">IF(I134=1,A134-H133,"")</f>
        <v>6</v>
      </c>
      <c r="K134" s="27" t="n">
        <f aca="false">IF(B134="Wednesday",0,C134)</f>
        <v>40760.08</v>
      </c>
      <c r="L134" s="28" t="n">
        <f aca="false">L133+K134/$T$1*100</f>
        <v>71.43665375</v>
      </c>
      <c r="M134" s="28" t="n">
        <f aca="false">MAX(0,MAX($L$2:L134))</f>
        <v>71.43665375</v>
      </c>
      <c r="N134" s="28" t="n">
        <f aca="false">L134-M134</f>
        <v>0</v>
      </c>
      <c r="O134" s="25" t="n">
        <f aca="false">IF(N134&gt;=-0.0000001,A134,O133)</f>
        <v>46020</v>
      </c>
      <c r="P134" s="29" t="n">
        <f aca="false">IF(AND(N134&gt;=-0.0000001,N133&lt;0),1,0)</f>
        <v>0</v>
      </c>
      <c r="Q134" s="30" t="str">
        <f aca="false">IF(P134=1,A134-O133,"")</f>
        <v/>
      </c>
    </row>
    <row r="135" customFormat="false" ht="15" hidden="false" customHeight="false" outlineLevel="0" collapsed="false">
      <c r="A135" s="25" t="n">
        <v>46021</v>
      </c>
      <c r="B135" s="26" t="s">
        <v>80</v>
      </c>
      <c r="C135" s="27" t="n">
        <v>-12894.25</v>
      </c>
      <c r="D135" s="28" t="n">
        <f aca="false">C135/$T$1*100</f>
        <v>-0.805890625</v>
      </c>
      <c r="E135" s="28" t="n">
        <f aca="false">E134+D135</f>
        <v>66.1706</v>
      </c>
      <c r="F135" s="28" t="n">
        <f aca="false">MAX(0,MAX($E$2:E135))</f>
        <v>66.976490625</v>
      </c>
      <c r="G135" s="28" t="n">
        <f aca="false">E135-F135</f>
        <v>-0.805890625000004</v>
      </c>
      <c r="H135" s="25" t="n">
        <f aca="false">IF(G135&gt;=-0.0000001,A135,H134)</f>
        <v>46020</v>
      </c>
      <c r="I135" s="29" t="n">
        <f aca="false">IF(AND(G135&gt;=-0.0000001,G134&lt;0),1,0)</f>
        <v>0</v>
      </c>
      <c r="J135" s="30" t="str">
        <f aca="false">IF(I135=1,A135-H134,"")</f>
        <v/>
      </c>
      <c r="K135" s="27" t="n">
        <f aca="false">IF(B135="Wednesday",0,C135)</f>
        <v>-12894.25</v>
      </c>
      <c r="L135" s="28" t="n">
        <f aca="false">L134+K135/$T$1*100</f>
        <v>70.630763125</v>
      </c>
      <c r="M135" s="28" t="n">
        <f aca="false">MAX(0,MAX($L$2:L135))</f>
        <v>71.43665375</v>
      </c>
      <c r="N135" s="28" t="n">
        <f aca="false">L135-M135</f>
        <v>-0.805890625000004</v>
      </c>
      <c r="O135" s="25" t="n">
        <f aca="false">IF(N135&gt;=-0.0000001,A135,O134)</f>
        <v>46020</v>
      </c>
      <c r="P135" s="29" t="n">
        <f aca="false">IF(AND(N135&gt;=-0.0000001,N134&lt;0),1,0)</f>
        <v>0</v>
      </c>
      <c r="Q135" s="30" t="str">
        <f aca="false">IF(P135=1,A135-O134,"")</f>
        <v/>
      </c>
    </row>
    <row r="136" customFormat="false" ht="15" hidden="false" customHeight="false" outlineLevel="0" collapsed="false">
      <c r="A136" s="25" t="n">
        <v>46022</v>
      </c>
      <c r="B136" s="26" t="s">
        <v>81</v>
      </c>
      <c r="C136" s="27" t="n">
        <v>18198.07</v>
      </c>
      <c r="D136" s="28" t="n">
        <f aca="false">C136/$T$1*100</f>
        <v>1.137379375</v>
      </c>
      <c r="E136" s="28" t="n">
        <f aca="false">E135+D136</f>
        <v>67.307979375</v>
      </c>
      <c r="F136" s="28" t="n">
        <f aca="false">MAX(0,MAX($E$2:E136))</f>
        <v>67.307979375</v>
      </c>
      <c r="G136" s="28" t="n">
        <f aca="false">E136-F136</f>
        <v>0</v>
      </c>
      <c r="H136" s="25" t="n">
        <f aca="false">IF(G136&gt;=-0.0000001,A136,H135)</f>
        <v>46022</v>
      </c>
      <c r="I136" s="29" t="n">
        <f aca="false">IF(AND(G136&gt;=-0.0000001,G135&lt;0),1,0)</f>
        <v>1</v>
      </c>
      <c r="J136" s="30" t="n">
        <f aca="false">IF(I136=1,A136-H135,"")</f>
        <v>2</v>
      </c>
      <c r="K136" s="27" t="n">
        <f aca="false">IF(B136="Wednesday",0,C136)</f>
        <v>0</v>
      </c>
      <c r="L136" s="28" t="n">
        <f aca="false">L135+K136/$T$1*100</f>
        <v>70.630763125</v>
      </c>
      <c r="M136" s="28" t="n">
        <f aca="false">MAX(0,MAX($L$2:L136))</f>
        <v>71.43665375</v>
      </c>
      <c r="N136" s="28" t="n">
        <f aca="false">L136-M136</f>
        <v>-0.805890625000004</v>
      </c>
      <c r="O136" s="25" t="n">
        <f aca="false">IF(N136&gt;=-0.0000001,A136,O135)</f>
        <v>46020</v>
      </c>
      <c r="P136" s="29" t="n">
        <f aca="false">IF(AND(N136&gt;=-0.0000001,N135&lt;0),1,0)</f>
        <v>0</v>
      </c>
      <c r="Q136" s="30" t="str">
        <f aca="false">IF(P136=1,A136-O135,"")</f>
        <v/>
      </c>
    </row>
    <row r="137" customFormat="false" ht="15" hidden="false" customHeight="false" outlineLevel="0" collapsed="false">
      <c r="A137" s="25" t="n">
        <v>46023</v>
      </c>
      <c r="B137" s="26" t="s">
        <v>82</v>
      </c>
      <c r="C137" s="27" t="n">
        <v>23819.87</v>
      </c>
      <c r="D137" s="28" t="n">
        <f aca="false">C137/$T$1*100</f>
        <v>1.488741875</v>
      </c>
      <c r="E137" s="28" t="n">
        <f aca="false">E136+D137</f>
        <v>68.79672125</v>
      </c>
      <c r="F137" s="28" t="n">
        <f aca="false">MAX(0,MAX($E$2:E137))</f>
        <v>68.79672125</v>
      </c>
      <c r="G137" s="28" t="n">
        <f aca="false">E137-F137</f>
        <v>0</v>
      </c>
      <c r="H137" s="25" t="n">
        <f aca="false">IF(G137&gt;=-0.0000001,A137,H136)</f>
        <v>46023</v>
      </c>
      <c r="I137" s="29" t="n">
        <f aca="false">IF(AND(G137&gt;=-0.0000001,G136&lt;0),1,0)</f>
        <v>0</v>
      </c>
      <c r="J137" s="30" t="str">
        <f aca="false">IF(I137=1,A137-H136,"")</f>
        <v/>
      </c>
      <c r="K137" s="27" t="n">
        <f aca="false">IF(B137="Wednesday",0,C137)</f>
        <v>23819.87</v>
      </c>
      <c r="L137" s="28" t="n">
        <f aca="false">L136+K137/$T$1*100</f>
        <v>72.119505</v>
      </c>
      <c r="M137" s="28" t="n">
        <f aca="false">MAX(0,MAX($L$2:L137))</f>
        <v>72.119505</v>
      </c>
      <c r="N137" s="28" t="n">
        <f aca="false">L137-M137</f>
        <v>0</v>
      </c>
      <c r="O137" s="25" t="n">
        <f aca="false">IF(N137&gt;=-0.0000001,A137,O136)</f>
        <v>46023</v>
      </c>
      <c r="P137" s="29" t="n">
        <f aca="false">IF(AND(N137&gt;=-0.0000001,N136&lt;0),1,0)</f>
        <v>1</v>
      </c>
      <c r="Q137" s="30" t="n">
        <f aca="false">IF(P137=1,A137-O136,"")</f>
        <v>3</v>
      </c>
    </row>
    <row r="138" customFormat="false" ht="15" hidden="false" customHeight="false" outlineLevel="0" collapsed="false">
      <c r="A138" s="25" t="n">
        <v>46024</v>
      </c>
      <c r="B138" s="26" t="s">
        <v>83</v>
      </c>
      <c r="C138" s="27" t="n">
        <v>-24022.45</v>
      </c>
      <c r="D138" s="28" t="n">
        <f aca="false">C138/$T$1*100</f>
        <v>-1.501403125</v>
      </c>
      <c r="E138" s="28" t="n">
        <f aca="false">E137+D138</f>
        <v>67.295318125</v>
      </c>
      <c r="F138" s="28" t="n">
        <f aca="false">MAX(0,MAX($E$2:E138))</f>
        <v>68.79672125</v>
      </c>
      <c r="G138" s="28" t="n">
        <f aca="false">E138-F138</f>
        <v>-1.501403125</v>
      </c>
      <c r="H138" s="25" t="n">
        <f aca="false">IF(G138&gt;=-0.0000001,A138,H137)</f>
        <v>46023</v>
      </c>
      <c r="I138" s="29" t="n">
        <f aca="false">IF(AND(G138&gt;=-0.0000001,G137&lt;0),1,0)</f>
        <v>0</v>
      </c>
      <c r="J138" s="30" t="str">
        <f aca="false">IF(I138=1,A138-H137,"")</f>
        <v/>
      </c>
      <c r="K138" s="27" t="n">
        <f aca="false">IF(B138="Wednesday",0,C138)</f>
        <v>-24022.45</v>
      </c>
      <c r="L138" s="28" t="n">
        <f aca="false">L137+K138/$T$1*100</f>
        <v>70.618101875</v>
      </c>
      <c r="M138" s="28" t="n">
        <f aca="false">MAX(0,MAX($L$2:L138))</f>
        <v>72.119505</v>
      </c>
      <c r="N138" s="28" t="n">
        <f aca="false">L138-M138</f>
        <v>-1.501403125</v>
      </c>
      <c r="O138" s="25" t="n">
        <f aca="false">IF(N138&gt;=-0.0000001,A138,O137)</f>
        <v>46023</v>
      </c>
      <c r="P138" s="29" t="n">
        <f aca="false">IF(AND(N138&gt;=-0.0000001,N137&lt;0),1,0)</f>
        <v>0</v>
      </c>
      <c r="Q138" s="30" t="str">
        <f aca="false">IF(P138=1,A138-O137,"")</f>
        <v/>
      </c>
    </row>
    <row r="139" customFormat="false" ht="15" hidden="false" customHeight="false" outlineLevel="0" collapsed="false">
      <c r="A139" s="25" t="n">
        <v>46027</v>
      </c>
      <c r="B139" s="26" t="s">
        <v>79</v>
      </c>
      <c r="C139" s="27" t="n">
        <v>-9941.75</v>
      </c>
      <c r="D139" s="28" t="n">
        <f aca="false">C139/$T$1*100</f>
        <v>-0.621359375</v>
      </c>
      <c r="E139" s="28" t="n">
        <f aca="false">E138+D139</f>
        <v>66.67395875</v>
      </c>
      <c r="F139" s="28" t="n">
        <f aca="false">MAX(0,MAX($E$2:E139))</f>
        <v>68.79672125</v>
      </c>
      <c r="G139" s="28" t="n">
        <f aca="false">E139-F139</f>
        <v>-2.12276249999999</v>
      </c>
      <c r="H139" s="25" t="n">
        <f aca="false">IF(G139&gt;=-0.0000001,A139,H138)</f>
        <v>46023</v>
      </c>
      <c r="I139" s="29" t="n">
        <f aca="false">IF(AND(G139&gt;=-0.0000001,G138&lt;0),1,0)</f>
        <v>0</v>
      </c>
      <c r="J139" s="30" t="str">
        <f aca="false">IF(I139=1,A139-H138,"")</f>
        <v/>
      </c>
      <c r="K139" s="27" t="n">
        <f aca="false">IF(B139="Wednesday",0,C139)</f>
        <v>-9941.75</v>
      </c>
      <c r="L139" s="28" t="n">
        <f aca="false">L138+K139/$T$1*100</f>
        <v>69.9967425</v>
      </c>
      <c r="M139" s="28" t="n">
        <f aca="false">MAX(0,MAX($L$2:L139))</f>
        <v>72.119505</v>
      </c>
      <c r="N139" s="28" t="n">
        <f aca="false">L139-M139</f>
        <v>-2.12276249999999</v>
      </c>
      <c r="O139" s="25" t="n">
        <f aca="false">IF(N139&gt;=-0.0000001,A139,O138)</f>
        <v>46023</v>
      </c>
      <c r="P139" s="29" t="n">
        <f aca="false">IF(AND(N139&gt;=-0.0000001,N138&lt;0),1,0)</f>
        <v>0</v>
      </c>
      <c r="Q139" s="30" t="str">
        <f aca="false">IF(P139=1,A139-O138,"")</f>
        <v/>
      </c>
    </row>
    <row r="140" customFormat="false" ht="15" hidden="false" customHeight="false" outlineLevel="0" collapsed="false">
      <c r="A140" s="25" t="n">
        <v>46028</v>
      </c>
      <c r="B140" s="26" t="s">
        <v>80</v>
      </c>
      <c r="C140" s="27" t="n">
        <v>27012.3</v>
      </c>
      <c r="D140" s="28" t="n">
        <f aca="false">C140/$T$1*100</f>
        <v>1.68826875</v>
      </c>
      <c r="E140" s="28" t="n">
        <f aca="false">E139+D140</f>
        <v>68.3622275</v>
      </c>
      <c r="F140" s="28" t="n">
        <f aca="false">MAX(0,MAX($E$2:E140))</f>
        <v>68.79672125</v>
      </c>
      <c r="G140" s="28" t="n">
        <f aca="false">E140-F140</f>
        <v>-0.434493749999987</v>
      </c>
      <c r="H140" s="25" t="n">
        <f aca="false">IF(G140&gt;=-0.0000001,A140,H139)</f>
        <v>46023</v>
      </c>
      <c r="I140" s="29" t="n">
        <f aca="false">IF(AND(G140&gt;=-0.0000001,G139&lt;0),1,0)</f>
        <v>0</v>
      </c>
      <c r="J140" s="30" t="str">
        <f aca="false">IF(I140=1,A140-H139,"")</f>
        <v/>
      </c>
      <c r="K140" s="27" t="n">
        <f aca="false">IF(B140="Wednesday",0,C140)</f>
        <v>27012.3</v>
      </c>
      <c r="L140" s="28" t="n">
        <f aca="false">L139+K140/$T$1*100</f>
        <v>71.68501125</v>
      </c>
      <c r="M140" s="28" t="n">
        <f aca="false">MAX(0,MAX($L$2:L140))</f>
        <v>72.119505</v>
      </c>
      <c r="N140" s="28" t="n">
        <f aca="false">L140-M140</f>
        <v>-0.434493749999987</v>
      </c>
      <c r="O140" s="25" t="n">
        <f aca="false">IF(N140&gt;=-0.0000001,A140,O139)</f>
        <v>46023</v>
      </c>
      <c r="P140" s="29" t="n">
        <f aca="false">IF(AND(N140&gt;=-0.0000001,N139&lt;0),1,0)</f>
        <v>0</v>
      </c>
      <c r="Q140" s="30" t="str">
        <f aca="false">IF(P140=1,A140-O139,"")</f>
        <v/>
      </c>
    </row>
    <row r="141" customFormat="false" ht="15" hidden="false" customHeight="false" outlineLevel="0" collapsed="false">
      <c r="A141" s="25" t="n">
        <v>46029</v>
      </c>
      <c r="B141" s="26" t="s">
        <v>81</v>
      </c>
      <c r="C141" s="27" t="n">
        <v>-3997.5</v>
      </c>
      <c r="D141" s="28" t="n">
        <f aca="false">C141/$T$1*100</f>
        <v>-0.24984375</v>
      </c>
      <c r="E141" s="28" t="n">
        <f aca="false">E140+D141</f>
        <v>68.11238375</v>
      </c>
      <c r="F141" s="28" t="n">
        <f aca="false">MAX(0,MAX($E$2:E141))</f>
        <v>68.79672125</v>
      </c>
      <c r="G141" s="28" t="n">
        <f aca="false">E141-F141</f>
        <v>-0.684337499999984</v>
      </c>
      <c r="H141" s="25" t="n">
        <f aca="false">IF(G141&gt;=-0.0000001,A141,H140)</f>
        <v>46023</v>
      </c>
      <c r="I141" s="29" t="n">
        <f aca="false">IF(AND(G141&gt;=-0.0000001,G140&lt;0),1,0)</f>
        <v>0</v>
      </c>
      <c r="J141" s="30" t="str">
        <f aca="false">IF(I141=1,A141-H140,"")</f>
        <v/>
      </c>
      <c r="K141" s="27" t="n">
        <f aca="false">IF(B141="Wednesday",0,C141)</f>
        <v>0</v>
      </c>
      <c r="L141" s="28" t="n">
        <f aca="false">L140+K141/$T$1*100</f>
        <v>71.68501125</v>
      </c>
      <c r="M141" s="28" t="n">
        <f aca="false">MAX(0,MAX($L$2:L141))</f>
        <v>72.119505</v>
      </c>
      <c r="N141" s="28" t="n">
        <f aca="false">L141-M141</f>
        <v>-0.434493749999987</v>
      </c>
      <c r="O141" s="25" t="n">
        <f aca="false">IF(N141&gt;=-0.0000001,A141,O140)</f>
        <v>46023</v>
      </c>
      <c r="P141" s="29" t="n">
        <f aca="false">IF(AND(N141&gt;=-0.0000001,N140&lt;0),1,0)</f>
        <v>0</v>
      </c>
      <c r="Q141" s="30" t="str">
        <f aca="false">IF(P141=1,A141-O140,"")</f>
        <v/>
      </c>
    </row>
    <row r="142" customFormat="false" ht="15" hidden="false" customHeight="false" outlineLevel="0" collapsed="false">
      <c r="A142" s="25" t="n">
        <v>46030</v>
      </c>
      <c r="B142" s="26" t="s">
        <v>82</v>
      </c>
      <c r="C142" s="27" t="n">
        <v>18270.01</v>
      </c>
      <c r="D142" s="28" t="n">
        <f aca="false">C142/$T$1*100</f>
        <v>1.141875625</v>
      </c>
      <c r="E142" s="28" t="n">
        <f aca="false">E141+D142</f>
        <v>69.254259375</v>
      </c>
      <c r="F142" s="28" t="n">
        <f aca="false">MAX(0,MAX($E$2:E142))</f>
        <v>69.254259375</v>
      </c>
      <c r="G142" s="28" t="n">
        <f aca="false">E142-F142</f>
        <v>0</v>
      </c>
      <c r="H142" s="25" t="n">
        <f aca="false">IF(G142&gt;=-0.0000001,A142,H141)</f>
        <v>46030</v>
      </c>
      <c r="I142" s="29" t="n">
        <f aca="false">IF(AND(G142&gt;=-0.0000001,G141&lt;0),1,0)</f>
        <v>1</v>
      </c>
      <c r="J142" s="30" t="n">
        <f aca="false">IF(I142=1,A142-H141,"")</f>
        <v>7</v>
      </c>
      <c r="K142" s="27" t="n">
        <f aca="false">IF(B142="Wednesday",0,C142)</f>
        <v>18270.01</v>
      </c>
      <c r="L142" s="28" t="n">
        <f aca="false">L141+K142/$T$1*100</f>
        <v>72.826886875</v>
      </c>
      <c r="M142" s="28" t="n">
        <f aca="false">MAX(0,MAX($L$2:L142))</f>
        <v>72.826886875</v>
      </c>
      <c r="N142" s="28" t="n">
        <f aca="false">L142-M142</f>
        <v>0</v>
      </c>
      <c r="O142" s="25" t="n">
        <f aca="false">IF(N142&gt;=-0.0000001,A142,O141)</f>
        <v>46030</v>
      </c>
      <c r="P142" s="29" t="n">
        <f aca="false">IF(AND(N142&gt;=-0.0000001,N141&lt;0),1,0)</f>
        <v>1</v>
      </c>
      <c r="Q142" s="30" t="n">
        <f aca="false">IF(P142=1,A142-O141,"")</f>
        <v>7</v>
      </c>
    </row>
    <row r="143" customFormat="false" ht="15" hidden="false" customHeight="false" outlineLevel="0" collapsed="false">
      <c r="A143" s="25" t="n">
        <v>46031</v>
      </c>
      <c r="B143" s="26" t="s">
        <v>83</v>
      </c>
      <c r="C143" s="27" t="n">
        <v>28323.75</v>
      </c>
      <c r="D143" s="28" t="n">
        <f aca="false">C143/$T$1*100</f>
        <v>1.770234375</v>
      </c>
      <c r="E143" s="28" t="n">
        <f aca="false">E142+D143</f>
        <v>71.02449375</v>
      </c>
      <c r="F143" s="28" t="n">
        <f aca="false">MAX(0,MAX($E$2:E143))</f>
        <v>71.02449375</v>
      </c>
      <c r="G143" s="28" t="n">
        <f aca="false">E143-F143</f>
        <v>0</v>
      </c>
      <c r="H143" s="25" t="n">
        <f aca="false">IF(G143&gt;=-0.0000001,A143,H142)</f>
        <v>46031</v>
      </c>
      <c r="I143" s="29" t="n">
        <f aca="false">IF(AND(G143&gt;=-0.0000001,G142&lt;0),1,0)</f>
        <v>0</v>
      </c>
      <c r="J143" s="30" t="str">
        <f aca="false">IF(I143=1,A143-H142,"")</f>
        <v/>
      </c>
      <c r="K143" s="27" t="n">
        <f aca="false">IF(B143="Wednesday",0,C143)</f>
        <v>28323.75</v>
      </c>
      <c r="L143" s="28" t="n">
        <f aca="false">L142+K143/$T$1*100</f>
        <v>74.59712125</v>
      </c>
      <c r="M143" s="28" t="n">
        <f aca="false">MAX(0,MAX($L$2:L143))</f>
        <v>74.59712125</v>
      </c>
      <c r="N143" s="28" t="n">
        <f aca="false">L143-M143</f>
        <v>0</v>
      </c>
      <c r="O143" s="25" t="n">
        <f aca="false">IF(N143&gt;=-0.0000001,A143,O142)</f>
        <v>46031</v>
      </c>
      <c r="P143" s="29" t="n">
        <f aca="false">IF(AND(N143&gt;=-0.0000001,N142&lt;0),1,0)</f>
        <v>0</v>
      </c>
      <c r="Q143" s="30" t="str">
        <f aca="false">IF(P143=1,A143-O142,"")</f>
        <v/>
      </c>
    </row>
    <row r="144" customFormat="false" ht="15" hidden="false" customHeight="false" outlineLevel="0" collapsed="false">
      <c r="A144" s="25" t="n">
        <v>46034</v>
      </c>
      <c r="B144" s="26" t="s">
        <v>79</v>
      </c>
      <c r="C144" s="27" t="n">
        <v>-1340.45</v>
      </c>
      <c r="D144" s="28" t="n">
        <f aca="false">C144/$T$1*100</f>
        <v>-0.083778125</v>
      </c>
      <c r="E144" s="28" t="n">
        <f aca="false">E143+D144</f>
        <v>70.940715625</v>
      </c>
      <c r="F144" s="28" t="n">
        <f aca="false">MAX(0,MAX($E$2:E144))</f>
        <v>71.02449375</v>
      </c>
      <c r="G144" s="28" t="n">
        <f aca="false">E144-F144</f>
        <v>-0.0837781249999949</v>
      </c>
      <c r="H144" s="25" t="n">
        <f aca="false">IF(G144&gt;=-0.0000001,A144,H143)</f>
        <v>46031</v>
      </c>
      <c r="I144" s="29" t="n">
        <f aca="false">IF(AND(G144&gt;=-0.0000001,G143&lt;0),1,0)</f>
        <v>0</v>
      </c>
      <c r="J144" s="30" t="str">
        <f aca="false">IF(I144=1,A144-H143,"")</f>
        <v/>
      </c>
      <c r="K144" s="27" t="n">
        <f aca="false">IF(B144="Wednesday",0,C144)</f>
        <v>-1340.45</v>
      </c>
      <c r="L144" s="28" t="n">
        <f aca="false">L143+K144/$T$1*100</f>
        <v>74.513343125</v>
      </c>
      <c r="M144" s="28" t="n">
        <f aca="false">MAX(0,MAX($L$2:L144))</f>
        <v>74.59712125</v>
      </c>
      <c r="N144" s="28" t="n">
        <f aca="false">L144-M144</f>
        <v>-0.0837781249999949</v>
      </c>
      <c r="O144" s="25" t="n">
        <f aca="false">IF(N144&gt;=-0.0000001,A144,O143)</f>
        <v>46031</v>
      </c>
      <c r="P144" s="29" t="n">
        <f aca="false">IF(AND(N144&gt;=-0.0000001,N143&lt;0),1,0)</f>
        <v>0</v>
      </c>
      <c r="Q144" s="30" t="str">
        <f aca="false">IF(P144=1,A144-O143,"")</f>
        <v/>
      </c>
    </row>
    <row r="145" customFormat="false" ht="15" hidden="false" customHeight="false" outlineLevel="0" collapsed="false">
      <c r="A145" s="25" t="n">
        <v>46035</v>
      </c>
      <c r="B145" s="26" t="s">
        <v>80</v>
      </c>
      <c r="C145" s="27" t="n">
        <v>13435.5</v>
      </c>
      <c r="D145" s="28" t="n">
        <f aca="false">C145/$T$1*100</f>
        <v>0.83971875</v>
      </c>
      <c r="E145" s="28" t="n">
        <f aca="false">E144+D145</f>
        <v>71.780434375</v>
      </c>
      <c r="F145" s="28" t="n">
        <f aca="false">MAX(0,MAX($E$2:E145))</f>
        <v>71.780434375</v>
      </c>
      <c r="G145" s="28" t="n">
        <f aca="false">E145-F145</f>
        <v>0</v>
      </c>
      <c r="H145" s="25" t="n">
        <f aca="false">IF(G145&gt;=-0.0000001,A145,H144)</f>
        <v>46035</v>
      </c>
      <c r="I145" s="29" t="n">
        <f aca="false">IF(AND(G145&gt;=-0.0000001,G144&lt;0),1,0)</f>
        <v>1</v>
      </c>
      <c r="J145" s="30" t="n">
        <f aca="false">IF(I145=1,A145-H144,"")</f>
        <v>4</v>
      </c>
      <c r="K145" s="27" t="n">
        <f aca="false">IF(B145="Wednesday",0,C145)</f>
        <v>13435.5</v>
      </c>
      <c r="L145" s="28" t="n">
        <f aca="false">L144+K145/$T$1*100</f>
        <v>75.353061875</v>
      </c>
      <c r="M145" s="28" t="n">
        <f aca="false">MAX(0,MAX($L$2:L145))</f>
        <v>75.353061875</v>
      </c>
      <c r="N145" s="28" t="n">
        <f aca="false">L145-M145</f>
        <v>0</v>
      </c>
      <c r="O145" s="25" t="n">
        <f aca="false">IF(N145&gt;=-0.0000001,A145,O144)</f>
        <v>46035</v>
      </c>
      <c r="P145" s="29" t="n">
        <f aca="false">IF(AND(N145&gt;=-0.0000001,N144&lt;0),1,0)</f>
        <v>1</v>
      </c>
      <c r="Q145" s="30" t="n">
        <f aca="false">IF(P145=1,A145-O144,"")</f>
        <v>4</v>
      </c>
    </row>
    <row r="146" customFormat="false" ht="15" hidden="false" customHeight="false" outlineLevel="0" collapsed="false">
      <c r="A146" s="25" t="n">
        <v>46036</v>
      </c>
      <c r="B146" s="26" t="s">
        <v>81</v>
      </c>
      <c r="C146" s="27" t="n">
        <v>-13942.5</v>
      </c>
      <c r="D146" s="28" t="n">
        <f aca="false">C146/$T$1*100</f>
        <v>-0.87140625</v>
      </c>
      <c r="E146" s="28" t="n">
        <f aca="false">E145+D146</f>
        <v>70.909028125</v>
      </c>
      <c r="F146" s="28" t="n">
        <f aca="false">MAX(0,MAX($E$2:E146))</f>
        <v>71.780434375</v>
      </c>
      <c r="G146" s="28" t="n">
        <f aca="false">E146-F146</f>
        <v>-0.871406250000007</v>
      </c>
      <c r="H146" s="25" t="n">
        <f aca="false">IF(G146&gt;=-0.0000001,A146,H145)</f>
        <v>46035</v>
      </c>
      <c r="I146" s="29" t="n">
        <f aca="false">IF(AND(G146&gt;=-0.0000001,G145&lt;0),1,0)</f>
        <v>0</v>
      </c>
      <c r="J146" s="30" t="str">
        <f aca="false">IF(I146=1,A146-H145,"")</f>
        <v/>
      </c>
      <c r="K146" s="27" t="n">
        <f aca="false">IF(B146="Wednesday",0,C146)</f>
        <v>0</v>
      </c>
      <c r="L146" s="28" t="n">
        <f aca="false">L145+K146/$T$1*100</f>
        <v>75.353061875</v>
      </c>
      <c r="M146" s="28" t="n">
        <f aca="false">MAX(0,MAX($L$2:L146))</f>
        <v>75.353061875</v>
      </c>
      <c r="N146" s="28" t="n">
        <f aca="false">L146-M146</f>
        <v>0</v>
      </c>
      <c r="O146" s="25" t="n">
        <f aca="false">IF(N146&gt;=-0.0000001,A146,O145)</f>
        <v>46036</v>
      </c>
      <c r="P146" s="29" t="n">
        <f aca="false">IF(AND(N146&gt;=-0.0000001,N145&lt;0),1,0)</f>
        <v>0</v>
      </c>
      <c r="Q146" s="30" t="str">
        <f aca="false">IF(P146=1,A146-O145,"")</f>
        <v/>
      </c>
    </row>
    <row r="147" customFormat="false" ht="15" hidden="false" customHeight="false" outlineLevel="0" collapsed="false">
      <c r="A147" s="25" t="n">
        <v>46038</v>
      </c>
      <c r="B147" s="26" t="s">
        <v>83</v>
      </c>
      <c r="C147" s="27" t="n">
        <v>-22273.59</v>
      </c>
      <c r="D147" s="28" t="n">
        <f aca="false">C147/$T$1*100</f>
        <v>-1.392099375</v>
      </c>
      <c r="E147" s="28" t="n">
        <f aca="false">E146+D147</f>
        <v>69.51692875</v>
      </c>
      <c r="F147" s="28" t="n">
        <f aca="false">MAX(0,MAX($E$2:E147))</f>
        <v>71.780434375</v>
      </c>
      <c r="G147" s="28" t="n">
        <f aca="false">E147-F147</f>
        <v>-2.26350562500001</v>
      </c>
      <c r="H147" s="25" t="n">
        <f aca="false">IF(G147&gt;=-0.0000001,A147,H146)</f>
        <v>46035</v>
      </c>
      <c r="I147" s="29" t="n">
        <f aca="false">IF(AND(G147&gt;=-0.0000001,G146&lt;0),1,0)</f>
        <v>0</v>
      </c>
      <c r="J147" s="30" t="str">
        <f aca="false">IF(I147=1,A147-H146,"")</f>
        <v/>
      </c>
      <c r="K147" s="27" t="n">
        <f aca="false">IF(B147="Wednesday",0,C147)</f>
        <v>-22273.59</v>
      </c>
      <c r="L147" s="28" t="n">
        <f aca="false">L146+K147/$T$1*100</f>
        <v>73.9609625</v>
      </c>
      <c r="M147" s="28" t="n">
        <f aca="false">MAX(0,MAX($L$2:L147))</f>
        <v>75.353061875</v>
      </c>
      <c r="N147" s="28" t="n">
        <f aca="false">L147-M147</f>
        <v>-1.392099375</v>
      </c>
      <c r="O147" s="25" t="n">
        <f aca="false">IF(N147&gt;=-0.0000001,A147,O146)</f>
        <v>46036</v>
      </c>
      <c r="P147" s="29" t="n">
        <f aca="false">IF(AND(N147&gt;=-0.0000001,N146&lt;0),1,0)</f>
        <v>0</v>
      </c>
      <c r="Q147" s="30" t="str">
        <f aca="false">IF(P147=1,A147-O146,"")</f>
        <v/>
      </c>
    </row>
    <row r="148" customFormat="false" ht="15" hidden="false" customHeight="false" outlineLevel="0" collapsed="false">
      <c r="A148" s="25" t="n">
        <v>46041</v>
      </c>
      <c r="B148" s="26" t="s">
        <v>79</v>
      </c>
      <c r="C148" s="27" t="n">
        <v>-1860.37</v>
      </c>
      <c r="D148" s="28" t="n">
        <f aca="false">C148/$T$1*100</f>
        <v>-0.116273125</v>
      </c>
      <c r="E148" s="28" t="n">
        <f aca="false">E147+D148</f>
        <v>69.400655625</v>
      </c>
      <c r="F148" s="28" t="n">
        <f aca="false">MAX(0,MAX($E$2:E148))</f>
        <v>71.780434375</v>
      </c>
      <c r="G148" s="28" t="n">
        <f aca="false">E148-F148</f>
        <v>-2.37977875000001</v>
      </c>
      <c r="H148" s="25" t="n">
        <f aca="false">IF(G148&gt;=-0.0000001,A148,H147)</f>
        <v>46035</v>
      </c>
      <c r="I148" s="29" t="n">
        <f aca="false">IF(AND(G148&gt;=-0.0000001,G147&lt;0),1,0)</f>
        <v>0</v>
      </c>
      <c r="J148" s="30" t="str">
        <f aca="false">IF(I148=1,A148-H147,"")</f>
        <v/>
      </c>
      <c r="K148" s="27" t="n">
        <f aca="false">IF(B148="Wednesday",0,C148)</f>
        <v>-1860.37</v>
      </c>
      <c r="L148" s="28" t="n">
        <f aca="false">L147+K148/$T$1*100</f>
        <v>73.844689375</v>
      </c>
      <c r="M148" s="28" t="n">
        <f aca="false">MAX(0,MAX($L$2:L148))</f>
        <v>75.353061875</v>
      </c>
      <c r="N148" s="28" t="n">
        <f aca="false">L148-M148</f>
        <v>-1.50837250000001</v>
      </c>
      <c r="O148" s="25" t="n">
        <f aca="false">IF(N148&gt;=-0.0000001,A148,O147)</f>
        <v>46036</v>
      </c>
      <c r="P148" s="29" t="n">
        <f aca="false">IF(AND(N148&gt;=-0.0000001,N147&lt;0),1,0)</f>
        <v>0</v>
      </c>
      <c r="Q148" s="30" t="str">
        <f aca="false">IF(P148=1,A148-O147,"")</f>
        <v/>
      </c>
    </row>
    <row r="149" customFormat="false" ht="15" hidden="false" customHeight="false" outlineLevel="0" collapsed="false">
      <c r="A149" s="25" t="n">
        <v>46042</v>
      </c>
      <c r="B149" s="26" t="s">
        <v>80</v>
      </c>
      <c r="C149" s="27" t="n">
        <v>32693.59</v>
      </c>
      <c r="D149" s="28" t="n">
        <f aca="false">C149/$T$1*100</f>
        <v>2.043349375</v>
      </c>
      <c r="E149" s="28" t="n">
        <f aca="false">E148+D149</f>
        <v>71.444005</v>
      </c>
      <c r="F149" s="28" t="n">
        <f aca="false">MAX(0,MAX($E$2:E149))</f>
        <v>71.780434375</v>
      </c>
      <c r="G149" s="28" t="n">
        <f aca="false">E149-F149</f>
        <v>-0.336429375000009</v>
      </c>
      <c r="H149" s="25" t="n">
        <f aca="false">IF(G149&gt;=-0.0000001,A149,H148)</f>
        <v>46035</v>
      </c>
      <c r="I149" s="29" t="n">
        <f aca="false">IF(AND(G149&gt;=-0.0000001,G148&lt;0),1,0)</f>
        <v>0</v>
      </c>
      <c r="J149" s="30" t="str">
        <f aca="false">IF(I149=1,A149-H148,"")</f>
        <v/>
      </c>
      <c r="K149" s="27" t="n">
        <f aca="false">IF(B149="Wednesday",0,C149)</f>
        <v>32693.59</v>
      </c>
      <c r="L149" s="28" t="n">
        <f aca="false">L148+K149/$T$1*100</f>
        <v>75.88803875</v>
      </c>
      <c r="M149" s="28" t="n">
        <f aca="false">MAX(0,MAX($L$2:L149))</f>
        <v>75.88803875</v>
      </c>
      <c r="N149" s="28" t="n">
        <f aca="false">L149-M149</f>
        <v>0</v>
      </c>
      <c r="O149" s="25" t="n">
        <f aca="false">IF(N149&gt;=-0.0000001,A149,O148)</f>
        <v>46042</v>
      </c>
      <c r="P149" s="29" t="n">
        <f aca="false">IF(AND(N149&gt;=-0.0000001,N148&lt;0),1,0)</f>
        <v>1</v>
      </c>
      <c r="Q149" s="30" t="n">
        <f aca="false">IF(P149=1,A149-O148,"")</f>
        <v>6</v>
      </c>
    </row>
    <row r="150" customFormat="false" ht="15" hidden="false" customHeight="false" outlineLevel="0" collapsed="false">
      <c r="A150" s="25" t="n">
        <v>46043</v>
      </c>
      <c r="B150" s="26" t="s">
        <v>81</v>
      </c>
      <c r="C150" s="27" t="n">
        <v>-104874.95</v>
      </c>
      <c r="D150" s="28" t="n">
        <f aca="false">C150/$T$1*100</f>
        <v>-6.554684375</v>
      </c>
      <c r="E150" s="28" t="n">
        <f aca="false">E149+D150</f>
        <v>64.889320625</v>
      </c>
      <c r="F150" s="28" t="n">
        <f aca="false">MAX(0,MAX($E$2:E150))</f>
        <v>71.780434375</v>
      </c>
      <c r="G150" s="28" t="n">
        <f aca="false">E150-F150</f>
        <v>-6.89111375</v>
      </c>
      <c r="H150" s="25" t="n">
        <f aca="false">IF(G150&gt;=-0.0000001,A150,H149)</f>
        <v>46035</v>
      </c>
      <c r="I150" s="29" t="n">
        <f aca="false">IF(AND(G150&gt;=-0.0000001,G149&lt;0),1,0)</f>
        <v>0</v>
      </c>
      <c r="J150" s="30" t="str">
        <f aca="false">IF(I150=1,A150-H149,"")</f>
        <v/>
      </c>
      <c r="K150" s="27" t="n">
        <f aca="false">IF(B150="Wednesday",0,C150)</f>
        <v>0</v>
      </c>
      <c r="L150" s="28" t="n">
        <f aca="false">L149+K150/$T$1*100</f>
        <v>75.88803875</v>
      </c>
      <c r="M150" s="28" t="n">
        <f aca="false">MAX(0,MAX($L$2:L150))</f>
        <v>75.88803875</v>
      </c>
      <c r="N150" s="28" t="n">
        <f aca="false">L150-M150</f>
        <v>0</v>
      </c>
      <c r="O150" s="25" t="n">
        <f aca="false">IF(N150&gt;=-0.0000001,A150,O149)</f>
        <v>46043</v>
      </c>
      <c r="P150" s="29" t="n">
        <f aca="false">IF(AND(N150&gt;=-0.0000001,N149&lt;0),1,0)</f>
        <v>0</v>
      </c>
      <c r="Q150" s="30" t="str">
        <f aca="false">IF(P150=1,A150-O149,"")</f>
        <v/>
      </c>
    </row>
    <row r="151" customFormat="false" ht="15" hidden="false" customHeight="false" outlineLevel="0" collapsed="false">
      <c r="A151" s="25" t="n">
        <v>46044</v>
      </c>
      <c r="B151" s="26" t="s">
        <v>82</v>
      </c>
      <c r="C151" s="27" t="n">
        <v>-22717.5</v>
      </c>
      <c r="D151" s="28" t="n">
        <f aca="false">C151/$T$1*100</f>
        <v>-1.41984375</v>
      </c>
      <c r="E151" s="28" t="n">
        <f aca="false">E150+D151</f>
        <v>63.469476875</v>
      </c>
      <c r="F151" s="28" t="n">
        <f aca="false">MAX(0,MAX($E$2:E151))</f>
        <v>71.780434375</v>
      </c>
      <c r="G151" s="28" t="n">
        <f aca="false">E151-F151</f>
        <v>-8.3109575</v>
      </c>
      <c r="H151" s="25" t="n">
        <f aca="false">IF(G151&gt;=-0.0000001,A151,H150)</f>
        <v>46035</v>
      </c>
      <c r="I151" s="29" t="n">
        <f aca="false">IF(AND(G151&gt;=-0.0000001,G150&lt;0),1,0)</f>
        <v>0</v>
      </c>
      <c r="J151" s="30" t="str">
        <f aca="false">IF(I151=1,A151-H150,"")</f>
        <v/>
      </c>
      <c r="K151" s="27" t="n">
        <f aca="false">IF(B151="Wednesday",0,C151)</f>
        <v>-22717.5</v>
      </c>
      <c r="L151" s="28" t="n">
        <f aca="false">L150+K151/$T$1*100</f>
        <v>74.468195</v>
      </c>
      <c r="M151" s="28" t="n">
        <f aca="false">MAX(0,MAX($L$2:L151))</f>
        <v>75.88803875</v>
      </c>
      <c r="N151" s="28" t="n">
        <f aca="false">L151-M151</f>
        <v>-1.41984375</v>
      </c>
      <c r="O151" s="25" t="n">
        <f aca="false">IF(N151&gt;=-0.0000001,A151,O150)</f>
        <v>46043</v>
      </c>
      <c r="P151" s="29" t="n">
        <f aca="false">IF(AND(N151&gt;=-0.0000001,N150&lt;0),1,0)</f>
        <v>0</v>
      </c>
      <c r="Q151" s="30" t="str">
        <f aca="false">IF(P151=1,A151-O150,"")</f>
        <v/>
      </c>
    </row>
    <row r="152" customFormat="false" ht="15" hidden="false" customHeight="false" outlineLevel="0" collapsed="false">
      <c r="A152" s="25" t="n">
        <v>46045</v>
      </c>
      <c r="B152" s="26" t="s">
        <v>83</v>
      </c>
      <c r="C152" s="27" t="n">
        <v>139664.37</v>
      </c>
      <c r="D152" s="28" t="n">
        <f aca="false">C152/$T$1*100</f>
        <v>8.729023125</v>
      </c>
      <c r="E152" s="28" t="n">
        <f aca="false">E151+D152</f>
        <v>72.1985</v>
      </c>
      <c r="F152" s="28" t="n">
        <f aca="false">MAX(0,MAX($E$2:E152))</f>
        <v>72.1985</v>
      </c>
      <c r="G152" s="28" t="n">
        <f aca="false">E152-F152</f>
        <v>0</v>
      </c>
      <c r="H152" s="25" t="n">
        <f aca="false">IF(G152&gt;=-0.0000001,A152,H151)</f>
        <v>46045</v>
      </c>
      <c r="I152" s="29" t="n">
        <f aca="false">IF(AND(G152&gt;=-0.0000001,G151&lt;0),1,0)</f>
        <v>1</v>
      </c>
      <c r="J152" s="30" t="n">
        <f aca="false">IF(I152=1,A152-H151,"")</f>
        <v>10</v>
      </c>
      <c r="K152" s="27" t="n">
        <f aca="false">IF(B152="Wednesday",0,C152)</f>
        <v>139664.37</v>
      </c>
      <c r="L152" s="28" t="n">
        <f aca="false">L151+K152/$T$1*100</f>
        <v>83.197218125</v>
      </c>
      <c r="M152" s="28" t="n">
        <f aca="false">MAX(0,MAX($L$2:L152))</f>
        <v>83.197218125</v>
      </c>
      <c r="N152" s="28" t="n">
        <f aca="false">L152-M152</f>
        <v>0</v>
      </c>
      <c r="O152" s="25" t="n">
        <f aca="false">IF(N152&gt;=-0.0000001,A152,O151)</f>
        <v>46045</v>
      </c>
      <c r="P152" s="29" t="n">
        <f aca="false">IF(AND(N152&gt;=-0.0000001,N151&lt;0),1,0)</f>
        <v>1</v>
      </c>
      <c r="Q152" s="30" t="n">
        <f aca="false">IF(P152=1,A152-O151,"")</f>
        <v>2</v>
      </c>
    </row>
    <row r="153" customFormat="false" ht="15" hidden="false" customHeight="false" outlineLevel="0" collapsed="false">
      <c r="A153" s="25" t="n">
        <v>46049</v>
      </c>
      <c r="B153" s="26" t="s">
        <v>80</v>
      </c>
      <c r="C153" s="27" t="n">
        <v>-16103.75</v>
      </c>
      <c r="D153" s="28" t="n">
        <f aca="false">C153/$T$1*100</f>
        <v>-1.006484375</v>
      </c>
      <c r="E153" s="28" t="n">
        <f aca="false">E152+D153</f>
        <v>71.192015625</v>
      </c>
      <c r="F153" s="28" t="n">
        <f aca="false">MAX(0,MAX($E$2:E153))</f>
        <v>72.1985</v>
      </c>
      <c r="G153" s="28" t="n">
        <f aca="false">E153-F153</f>
        <v>-1.006484375</v>
      </c>
      <c r="H153" s="25" t="n">
        <f aca="false">IF(G153&gt;=-0.0000001,A153,H152)</f>
        <v>46045</v>
      </c>
      <c r="I153" s="29" t="n">
        <f aca="false">IF(AND(G153&gt;=-0.0000001,G152&lt;0),1,0)</f>
        <v>0</v>
      </c>
      <c r="J153" s="30" t="str">
        <f aca="false">IF(I153=1,A153-H152,"")</f>
        <v/>
      </c>
      <c r="K153" s="27" t="n">
        <f aca="false">IF(B153="Wednesday",0,C153)</f>
        <v>-16103.75</v>
      </c>
      <c r="L153" s="28" t="n">
        <f aca="false">L152+K153/$T$1*100</f>
        <v>82.19073375</v>
      </c>
      <c r="M153" s="28" t="n">
        <f aca="false">MAX(0,MAX($L$2:L153))</f>
        <v>83.197218125</v>
      </c>
      <c r="N153" s="28" t="n">
        <f aca="false">L153-M153</f>
        <v>-1.006484375</v>
      </c>
      <c r="O153" s="25" t="n">
        <f aca="false">IF(N153&gt;=-0.0000001,A153,O152)</f>
        <v>46045</v>
      </c>
      <c r="P153" s="29" t="n">
        <f aca="false">IF(AND(N153&gt;=-0.0000001,N152&lt;0),1,0)</f>
        <v>0</v>
      </c>
      <c r="Q153" s="30" t="str">
        <f aca="false">IF(P153=1,A153-O152,"")</f>
        <v/>
      </c>
    </row>
    <row r="154" customFormat="false" ht="15" hidden="false" customHeight="false" outlineLevel="0" collapsed="false">
      <c r="A154" s="25" t="n">
        <v>46050</v>
      </c>
      <c r="B154" s="26" t="s">
        <v>81</v>
      </c>
      <c r="C154" s="27" t="n">
        <v>4858.75</v>
      </c>
      <c r="D154" s="28" t="n">
        <f aca="false">C154/$T$1*100</f>
        <v>0.303671875</v>
      </c>
      <c r="E154" s="28" t="n">
        <f aca="false">E153+D154</f>
        <v>71.4956875</v>
      </c>
      <c r="F154" s="28" t="n">
        <f aca="false">MAX(0,MAX($E$2:E154))</f>
        <v>72.1985</v>
      </c>
      <c r="G154" s="28" t="n">
        <f aca="false">E154-F154</f>
        <v>-0.702812499999993</v>
      </c>
      <c r="H154" s="25" t="n">
        <f aca="false">IF(G154&gt;=-0.0000001,A154,H153)</f>
        <v>46045</v>
      </c>
      <c r="I154" s="29" t="n">
        <f aca="false">IF(AND(G154&gt;=-0.0000001,G153&lt;0),1,0)</f>
        <v>0</v>
      </c>
      <c r="J154" s="30" t="str">
        <f aca="false">IF(I154=1,A154-H153,"")</f>
        <v/>
      </c>
      <c r="K154" s="27" t="n">
        <f aca="false">IF(B154="Wednesday",0,C154)</f>
        <v>0</v>
      </c>
      <c r="L154" s="28" t="n">
        <f aca="false">L153+K154/$T$1*100</f>
        <v>82.19073375</v>
      </c>
      <c r="M154" s="28" t="n">
        <f aca="false">MAX(0,MAX($L$2:L154))</f>
        <v>83.197218125</v>
      </c>
      <c r="N154" s="28" t="n">
        <f aca="false">L154-M154</f>
        <v>-1.006484375</v>
      </c>
      <c r="O154" s="25" t="n">
        <f aca="false">IF(N154&gt;=-0.0000001,A154,O153)</f>
        <v>46045</v>
      </c>
      <c r="P154" s="29" t="n">
        <f aca="false">IF(AND(N154&gt;=-0.0000001,N153&lt;0),1,0)</f>
        <v>0</v>
      </c>
      <c r="Q154" s="30" t="str">
        <f aca="false">IF(P154=1,A154-O153,"")</f>
        <v/>
      </c>
    </row>
    <row r="155" customFormat="false" ht="15" hidden="false" customHeight="false" outlineLevel="0" collapsed="false">
      <c r="A155" s="25" t="n">
        <v>46051</v>
      </c>
      <c r="B155" s="26" t="s">
        <v>82</v>
      </c>
      <c r="C155" s="27" t="n">
        <v>6704.75</v>
      </c>
      <c r="D155" s="28" t="n">
        <f aca="false">C155/$T$1*100</f>
        <v>0.419046875</v>
      </c>
      <c r="E155" s="28" t="n">
        <f aca="false">E154+D155</f>
        <v>71.914734375</v>
      </c>
      <c r="F155" s="28" t="n">
        <f aca="false">MAX(0,MAX($E$2:E155))</f>
        <v>72.1985</v>
      </c>
      <c r="G155" s="28" t="n">
        <f aca="false">E155-F155</f>
        <v>-0.283765624999987</v>
      </c>
      <c r="H155" s="25" t="n">
        <f aca="false">IF(G155&gt;=-0.0000001,A155,H154)</f>
        <v>46045</v>
      </c>
      <c r="I155" s="29" t="n">
        <f aca="false">IF(AND(G155&gt;=-0.0000001,G154&lt;0),1,0)</f>
        <v>0</v>
      </c>
      <c r="J155" s="30" t="str">
        <f aca="false">IF(I155=1,A155-H154,"")</f>
        <v/>
      </c>
      <c r="K155" s="27" t="n">
        <f aca="false">IF(B155="Wednesday",0,C155)</f>
        <v>6704.75</v>
      </c>
      <c r="L155" s="28" t="n">
        <f aca="false">L154+K155/$T$1*100</f>
        <v>82.609780625</v>
      </c>
      <c r="M155" s="28" t="n">
        <f aca="false">MAX(0,MAX($L$2:L155))</f>
        <v>83.197218125</v>
      </c>
      <c r="N155" s="28" t="n">
        <f aca="false">L155-M155</f>
        <v>-0.587437499999993</v>
      </c>
      <c r="O155" s="25" t="n">
        <f aca="false">IF(N155&gt;=-0.0000001,A155,O154)</f>
        <v>46045</v>
      </c>
      <c r="P155" s="29" t="n">
        <f aca="false">IF(AND(N155&gt;=-0.0000001,N154&lt;0),1,0)</f>
        <v>0</v>
      </c>
      <c r="Q155" s="30" t="str">
        <f aca="false">IF(P155=1,A155-O154,"")</f>
        <v/>
      </c>
    </row>
    <row r="156" customFormat="false" ht="15" hidden="false" customHeight="false" outlineLevel="0" collapsed="false">
      <c r="A156" s="25" t="n">
        <v>46052</v>
      </c>
      <c r="B156" s="26" t="s">
        <v>83</v>
      </c>
      <c r="C156" s="27" t="n">
        <v>1446.25</v>
      </c>
      <c r="D156" s="28" t="n">
        <f aca="false">C156/$T$1*100</f>
        <v>0.090390625</v>
      </c>
      <c r="E156" s="28" t="n">
        <f aca="false">E155+D156</f>
        <v>72.005125</v>
      </c>
      <c r="F156" s="28" t="n">
        <f aca="false">MAX(0,MAX($E$2:E156))</f>
        <v>72.1985</v>
      </c>
      <c r="G156" s="28" t="n">
        <f aca="false">E156-F156</f>
        <v>-0.193374999999989</v>
      </c>
      <c r="H156" s="25" t="n">
        <f aca="false">IF(G156&gt;=-0.0000001,A156,H155)</f>
        <v>46045</v>
      </c>
      <c r="I156" s="29" t="n">
        <f aca="false">IF(AND(G156&gt;=-0.0000001,G155&lt;0),1,0)</f>
        <v>0</v>
      </c>
      <c r="J156" s="30" t="str">
        <f aca="false">IF(I156=1,A156-H155,"")</f>
        <v/>
      </c>
      <c r="K156" s="27" t="n">
        <f aca="false">IF(B156="Wednesday",0,C156)</f>
        <v>1446.25</v>
      </c>
      <c r="L156" s="28" t="n">
        <f aca="false">L155+K156/$T$1*100</f>
        <v>82.70017125</v>
      </c>
      <c r="M156" s="28" t="n">
        <f aca="false">MAX(0,MAX($L$2:L156))</f>
        <v>83.197218125</v>
      </c>
      <c r="N156" s="28" t="n">
        <f aca="false">L156-M156</f>
        <v>-0.497046874999995</v>
      </c>
      <c r="O156" s="25" t="n">
        <f aca="false">IF(N156&gt;=-0.0000001,A156,O155)</f>
        <v>46045</v>
      </c>
      <c r="P156" s="29" t="n">
        <f aca="false">IF(AND(N156&gt;=-0.0000001,N155&lt;0),1,0)</f>
        <v>0</v>
      </c>
      <c r="Q156" s="30" t="str">
        <f aca="false">IF(P156=1,A156-O155,"")</f>
        <v/>
      </c>
    </row>
    <row r="157" customFormat="false" ht="15" hidden="false" customHeight="false" outlineLevel="0" collapsed="false">
      <c r="A157" s="25" t="n">
        <v>46054</v>
      </c>
      <c r="B157" s="26" t="s">
        <v>116</v>
      </c>
      <c r="C157" s="27" t="n">
        <v>-56923.41</v>
      </c>
      <c r="D157" s="28" t="n">
        <f aca="false">C157/$T$1*100</f>
        <v>-3.557713125</v>
      </c>
      <c r="E157" s="28" t="n">
        <f aca="false">E156+D157</f>
        <v>68.447411875</v>
      </c>
      <c r="F157" s="28" t="n">
        <f aca="false">MAX(0,MAX($E$2:E157))</f>
        <v>72.1985</v>
      </c>
      <c r="G157" s="28" t="n">
        <f aca="false">E157-F157</f>
        <v>-3.751088125</v>
      </c>
      <c r="H157" s="25" t="n">
        <f aca="false">IF(G157&gt;=-0.0000001,A157,H156)</f>
        <v>46045</v>
      </c>
      <c r="I157" s="29" t="n">
        <f aca="false">IF(AND(G157&gt;=-0.0000001,G156&lt;0),1,0)</f>
        <v>0</v>
      </c>
      <c r="J157" s="30" t="str">
        <f aca="false">IF(I157=1,A157-H156,"")</f>
        <v/>
      </c>
      <c r="K157" s="27" t="n">
        <f aca="false">IF(B157="Wednesday",0,C157)</f>
        <v>-56923.41</v>
      </c>
      <c r="L157" s="28" t="n">
        <f aca="false">L156+K157/$T$1*100</f>
        <v>79.142458125</v>
      </c>
      <c r="M157" s="28" t="n">
        <f aca="false">MAX(0,MAX($L$2:L157))</f>
        <v>83.197218125</v>
      </c>
      <c r="N157" s="28" t="n">
        <f aca="false">L157-M157</f>
        <v>-4.05476</v>
      </c>
      <c r="O157" s="25" t="n">
        <f aca="false">IF(N157&gt;=-0.0000001,A157,O156)</f>
        <v>46045</v>
      </c>
      <c r="P157" s="29" t="n">
        <f aca="false">IF(AND(N157&gt;=-0.0000001,N156&lt;0),1,0)</f>
        <v>0</v>
      </c>
      <c r="Q157" s="30" t="str">
        <f aca="false">IF(P157=1,A157-O156,"")</f>
        <v/>
      </c>
    </row>
    <row r="158" customFormat="false" ht="15" hidden="false" customHeight="false" outlineLevel="0" collapsed="false">
      <c r="A158" s="25" t="n">
        <v>46055</v>
      </c>
      <c r="B158" s="26" t="s">
        <v>79</v>
      </c>
      <c r="C158" s="27" t="n">
        <v>-8268</v>
      </c>
      <c r="D158" s="28" t="n">
        <f aca="false">C158/$T$1*100</f>
        <v>-0.51675</v>
      </c>
      <c r="E158" s="28" t="n">
        <f aca="false">E157+D158</f>
        <v>67.930661875</v>
      </c>
      <c r="F158" s="28" t="n">
        <f aca="false">MAX(0,MAX($E$2:E158))</f>
        <v>72.1985</v>
      </c>
      <c r="G158" s="28" t="n">
        <f aca="false">E158-F158</f>
        <v>-4.267838125</v>
      </c>
      <c r="H158" s="25" t="n">
        <f aca="false">IF(G158&gt;=-0.0000001,A158,H157)</f>
        <v>46045</v>
      </c>
      <c r="I158" s="29" t="n">
        <f aca="false">IF(AND(G158&gt;=-0.0000001,G157&lt;0),1,0)</f>
        <v>0</v>
      </c>
      <c r="J158" s="30" t="str">
        <f aca="false">IF(I158=1,A158-H157,"")</f>
        <v/>
      </c>
      <c r="K158" s="27" t="n">
        <f aca="false">IF(B158="Wednesday",0,C158)</f>
        <v>-8268</v>
      </c>
      <c r="L158" s="28" t="n">
        <f aca="false">L157+K158/$T$1*100</f>
        <v>78.625708125</v>
      </c>
      <c r="M158" s="28" t="n">
        <f aca="false">MAX(0,MAX($L$2:L158))</f>
        <v>83.197218125</v>
      </c>
      <c r="N158" s="28" t="n">
        <f aca="false">L158-M158</f>
        <v>-4.57151</v>
      </c>
      <c r="O158" s="25" t="n">
        <f aca="false">IF(N158&gt;=-0.0000001,A158,O157)</f>
        <v>46045</v>
      </c>
      <c r="P158" s="29" t="n">
        <f aca="false">IF(AND(N158&gt;=-0.0000001,N157&lt;0),1,0)</f>
        <v>0</v>
      </c>
      <c r="Q158" s="30" t="str">
        <f aca="false">IF(P158=1,A158-O157,"")</f>
        <v/>
      </c>
    </row>
    <row r="159" customFormat="false" ht="15" hidden="false" customHeight="false" outlineLevel="0" collapsed="false">
      <c r="A159" s="25" t="n">
        <v>46056</v>
      </c>
      <c r="B159" s="26" t="s">
        <v>80</v>
      </c>
      <c r="C159" s="27" t="n">
        <v>61038.25</v>
      </c>
      <c r="D159" s="28" t="n">
        <f aca="false">C159/$T$1*100</f>
        <v>3.814890625</v>
      </c>
      <c r="E159" s="28" t="n">
        <f aca="false">E158+D159</f>
        <v>71.7455525</v>
      </c>
      <c r="F159" s="28" t="n">
        <f aca="false">MAX(0,MAX($E$2:E159))</f>
        <v>72.1985</v>
      </c>
      <c r="G159" s="28" t="n">
        <f aca="false">E159-F159</f>
        <v>-0.452947499999993</v>
      </c>
      <c r="H159" s="25" t="n">
        <f aca="false">IF(G159&gt;=-0.0000001,A159,H158)</f>
        <v>46045</v>
      </c>
      <c r="I159" s="29" t="n">
        <f aca="false">IF(AND(G159&gt;=-0.0000001,G158&lt;0),1,0)</f>
        <v>0</v>
      </c>
      <c r="J159" s="30" t="str">
        <f aca="false">IF(I159=1,A159-H158,"")</f>
        <v/>
      </c>
      <c r="K159" s="27" t="n">
        <f aca="false">IF(B159="Wednesday",0,C159)</f>
        <v>61038.25</v>
      </c>
      <c r="L159" s="28" t="n">
        <f aca="false">L158+K159/$T$1*100</f>
        <v>82.44059875</v>
      </c>
      <c r="M159" s="28" t="n">
        <f aca="false">MAX(0,MAX($L$2:L159))</f>
        <v>83.197218125</v>
      </c>
      <c r="N159" s="28" t="n">
        <f aca="false">L159-M159</f>
        <v>-0.756619375</v>
      </c>
      <c r="O159" s="25" t="n">
        <f aca="false">IF(N159&gt;=-0.0000001,A159,O158)</f>
        <v>46045</v>
      </c>
      <c r="P159" s="29" t="n">
        <f aca="false">IF(AND(N159&gt;=-0.0000001,N158&lt;0),1,0)</f>
        <v>0</v>
      </c>
      <c r="Q159" s="30" t="str">
        <f aca="false">IF(P159=1,A159-O158,"")</f>
        <v/>
      </c>
    </row>
    <row r="160" customFormat="false" ht="15" hidden="false" customHeight="false" outlineLevel="0" collapsed="false">
      <c r="A160" s="25" t="n">
        <v>46057</v>
      </c>
      <c r="B160" s="26" t="s">
        <v>81</v>
      </c>
      <c r="C160" s="27" t="n">
        <v>-3217.5</v>
      </c>
      <c r="D160" s="28" t="n">
        <f aca="false">C160/$T$1*100</f>
        <v>-0.20109375</v>
      </c>
      <c r="E160" s="28" t="n">
        <f aca="false">E159+D160</f>
        <v>71.54445875</v>
      </c>
      <c r="F160" s="28" t="n">
        <f aca="false">MAX(0,MAX($E$2:E160))</f>
        <v>72.1985</v>
      </c>
      <c r="G160" s="28" t="n">
        <f aca="false">E160-F160</f>
        <v>-0.654041249999992</v>
      </c>
      <c r="H160" s="25" t="n">
        <f aca="false">IF(G160&gt;=-0.0000001,A160,H159)</f>
        <v>46045</v>
      </c>
      <c r="I160" s="29" t="n">
        <f aca="false">IF(AND(G160&gt;=-0.0000001,G159&lt;0),1,0)</f>
        <v>0</v>
      </c>
      <c r="J160" s="30" t="str">
        <f aca="false">IF(I160=1,A160-H159,"")</f>
        <v/>
      </c>
      <c r="K160" s="27" t="n">
        <f aca="false">IF(B160="Wednesday",0,C160)</f>
        <v>0</v>
      </c>
      <c r="L160" s="28" t="n">
        <f aca="false">L159+K160/$T$1*100</f>
        <v>82.44059875</v>
      </c>
      <c r="M160" s="28" t="n">
        <f aca="false">MAX(0,MAX($L$2:L160))</f>
        <v>83.197218125</v>
      </c>
      <c r="N160" s="28" t="n">
        <f aca="false">L160-M160</f>
        <v>-0.756619375</v>
      </c>
      <c r="O160" s="25" t="n">
        <f aca="false">IF(N160&gt;=-0.0000001,A160,O159)</f>
        <v>46045</v>
      </c>
      <c r="P160" s="29" t="n">
        <f aca="false">IF(AND(N160&gt;=-0.0000001,N159&lt;0),1,0)</f>
        <v>0</v>
      </c>
      <c r="Q160" s="30" t="str">
        <f aca="false">IF(P160=1,A160-O159,"")</f>
        <v/>
      </c>
    </row>
    <row r="161" customFormat="false" ht="15" hidden="false" customHeight="false" outlineLevel="0" collapsed="false">
      <c r="A161" s="25" t="n">
        <v>46058</v>
      </c>
      <c r="B161" s="26" t="s">
        <v>82</v>
      </c>
      <c r="C161" s="27" t="n">
        <v>31817.5</v>
      </c>
      <c r="D161" s="28" t="n">
        <f aca="false">C161/$T$1*100</f>
        <v>1.98859375</v>
      </c>
      <c r="E161" s="28" t="n">
        <f aca="false">E160+D161</f>
        <v>73.5330525</v>
      </c>
      <c r="F161" s="28" t="n">
        <f aca="false">MAX(0,MAX($E$2:E161))</f>
        <v>73.5330525</v>
      </c>
      <c r="G161" s="28" t="n">
        <f aca="false">E161-F161</f>
        <v>0</v>
      </c>
      <c r="H161" s="25" t="n">
        <f aca="false">IF(G161&gt;=-0.0000001,A161,H160)</f>
        <v>46058</v>
      </c>
      <c r="I161" s="29" t="n">
        <f aca="false">IF(AND(G161&gt;=-0.0000001,G160&lt;0),1,0)</f>
        <v>1</v>
      </c>
      <c r="J161" s="30" t="n">
        <f aca="false">IF(I161=1,A161-H160,"")</f>
        <v>13</v>
      </c>
      <c r="K161" s="27" t="n">
        <f aca="false">IF(B161="Wednesday",0,C161)</f>
        <v>31817.5</v>
      </c>
      <c r="L161" s="28" t="n">
        <f aca="false">L160+K161/$T$1*100</f>
        <v>84.4291925</v>
      </c>
      <c r="M161" s="28" t="n">
        <f aca="false">MAX(0,MAX($L$2:L161))</f>
        <v>84.4291925</v>
      </c>
      <c r="N161" s="28" t="n">
        <f aca="false">L161-M161</f>
        <v>0</v>
      </c>
      <c r="O161" s="25" t="n">
        <f aca="false">IF(N161&gt;=-0.0000001,A161,O160)</f>
        <v>46058</v>
      </c>
      <c r="P161" s="29" t="n">
        <f aca="false">IF(AND(N161&gt;=-0.0000001,N160&lt;0),1,0)</f>
        <v>1</v>
      </c>
      <c r="Q161" s="30" t="n">
        <f aca="false">IF(P161=1,A161-O160,"")</f>
        <v>13</v>
      </c>
    </row>
    <row r="162" customFormat="false" ht="15" hidden="false" customHeight="false" outlineLevel="0" collapsed="false">
      <c r="A162" s="25" t="n">
        <v>46059</v>
      </c>
      <c r="B162" s="26" t="s">
        <v>83</v>
      </c>
      <c r="C162" s="27" t="n">
        <v>27469</v>
      </c>
      <c r="D162" s="28" t="n">
        <f aca="false">C162/$T$1*100</f>
        <v>1.7168125</v>
      </c>
      <c r="E162" s="28" t="n">
        <f aca="false">E161+D162</f>
        <v>75.249865</v>
      </c>
      <c r="F162" s="28" t="n">
        <f aca="false">MAX(0,MAX($E$2:E162))</f>
        <v>75.249865</v>
      </c>
      <c r="G162" s="28" t="n">
        <f aca="false">E162-F162</f>
        <v>0</v>
      </c>
      <c r="H162" s="25" t="n">
        <f aca="false">IF(G162&gt;=-0.0000001,A162,H161)</f>
        <v>46059</v>
      </c>
      <c r="I162" s="29" t="n">
        <f aca="false">IF(AND(G162&gt;=-0.0000001,G161&lt;0),1,0)</f>
        <v>0</v>
      </c>
      <c r="J162" s="30" t="str">
        <f aca="false">IF(I162=1,A162-H161,"")</f>
        <v/>
      </c>
      <c r="K162" s="27" t="n">
        <f aca="false">IF(B162="Wednesday",0,C162)</f>
        <v>27469</v>
      </c>
      <c r="L162" s="28" t="n">
        <f aca="false">L161+K162/$T$1*100</f>
        <v>86.146005</v>
      </c>
      <c r="M162" s="28" t="n">
        <f aca="false">MAX(0,MAX($L$2:L162))</f>
        <v>86.146005</v>
      </c>
      <c r="N162" s="28" t="n">
        <f aca="false">L162-M162</f>
        <v>0</v>
      </c>
      <c r="O162" s="25" t="n">
        <f aca="false">IF(N162&gt;=-0.0000001,A162,O161)</f>
        <v>46059</v>
      </c>
      <c r="P162" s="29" t="n">
        <f aca="false">IF(AND(N162&gt;=-0.0000001,N161&lt;0),1,0)</f>
        <v>0</v>
      </c>
      <c r="Q162" s="30" t="str">
        <f aca="false">IF(P162=1,A162-O161,"")</f>
        <v/>
      </c>
    </row>
    <row r="163" customFormat="false" ht="15" hidden="false" customHeight="false" outlineLevel="0" collapsed="false">
      <c r="A163" s="25" t="n">
        <v>46062</v>
      </c>
      <c r="B163" s="26" t="s">
        <v>79</v>
      </c>
      <c r="C163" s="27" t="n">
        <v>-399.75</v>
      </c>
      <c r="D163" s="28" t="n">
        <f aca="false">C163/$T$1*100</f>
        <v>-0.024984375</v>
      </c>
      <c r="E163" s="28" t="n">
        <f aca="false">E162+D163</f>
        <v>75.224880625</v>
      </c>
      <c r="F163" s="28" t="n">
        <f aca="false">MAX(0,MAX($E$2:E163))</f>
        <v>75.249865</v>
      </c>
      <c r="G163" s="28" t="n">
        <f aca="false">E163-F163</f>
        <v>-0.0249843750000025</v>
      </c>
      <c r="H163" s="25" t="n">
        <f aca="false">IF(G163&gt;=-0.0000001,A163,H162)</f>
        <v>46059</v>
      </c>
      <c r="I163" s="29" t="n">
        <f aca="false">IF(AND(G163&gt;=-0.0000001,G162&lt;0),1,0)</f>
        <v>0</v>
      </c>
      <c r="J163" s="30" t="str">
        <f aca="false">IF(I163=1,A163-H162,"")</f>
        <v/>
      </c>
      <c r="K163" s="27" t="n">
        <f aca="false">IF(B163="Wednesday",0,C163)</f>
        <v>-399.75</v>
      </c>
      <c r="L163" s="28" t="n">
        <f aca="false">L162+K163/$T$1*100</f>
        <v>86.121020625</v>
      </c>
      <c r="M163" s="28" t="n">
        <f aca="false">MAX(0,MAX($L$2:L163))</f>
        <v>86.146005</v>
      </c>
      <c r="N163" s="28" t="n">
        <f aca="false">L163-M163</f>
        <v>-0.0249843750000025</v>
      </c>
      <c r="O163" s="25" t="n">
        <f aca="false">IF(N163&gt;=-0.0000001,A163,O162)</f>
        <v>46059</v>
      </c>
      <c r="P163" s="29" t="n">
        <f aca="false">IF(AND(N163&gt;=-0.0000001,N162&lt;0),1,0)</f>
        <v>0</v>
      </c>
      <c r="Q163" s="30" t="str">
        <f aca="false">IF(P163=1,A163-O162,"")</f>
        <v/>
      </c>
    </row>
    <row r="164" customFormat="false" ht="15" hidden="false" customHeight="false" outlineLevel="0" collapsed="false">
      <c r="A164" s="25" t="n">
        <v>46063</v>
      </c>
      <c r="B164" s="26" t="s">
        <v>80</v>
      </c>
      <c r="C164" s="27" t="n">
        <v>45597.5</v>
      </c>
      <c r="D164" s="28" t="n">
        <f aca="false">C164/$T$1*100</f>
        <v>2.84984375</v>
      </c>
      <c r="E164" s="28" t="n">
        <f aca="false">E163+D164</f>
        <v>78.074724375</v>
      </c>
      <c r="F164" s="28" t="n">
        <f aca="false">MAX(0,MAX($E$2:E164))</f>
        <v>78.074724375</v>
      </c>
      <c r="G164" s="28" t="n">
        <f aca="false">E164-F164</f>
        <v>0</v>
      </c>
      <c r="H164" s="25" t="n">
        <f aca="false">IF(G164&gt;=-0.0000001,A164,H163)</f>
        <v>46063</v>
      </c>
      <c r="I164" s="29" t="n">
        <f aca="false">IF(AND(G164&gt;=-0.0000001,G163&lt;0),1,0)</f>
        <v>1</v>
      </c>
      <c r="J164" s="30" t="n">
        <f aca="false">IF(I164=1,A164-H163,"")</f>
        <v>4</v>
      </c>
      <c r="K164" s="27" t="n">
        <f aca="false">IF(B164="Wednesday",0,C164)</f>
        <v>45597.5</v>
      </c>
      <c r="L164" s="28" t="n">
        <f aca="false">L163+K164/$T$1*100</f>
        <v>88.970864375</v>
      </c>
      <c r="M164" s="28" t="n">
        <f aca="false">MAX(0,MAX($L$2:L164))</f>
        <v>88.970864375</v>
      </c>
      <c r="N164" s="28" t="n">
        <f aca="false">L164-M164</f>
        <v>0</v>
      </c>
      <c r="O164" s="25" t="n">
        <f aca="false">IF(N164&gt;=-0.0000001,A164,O163)</f>
        <v>46063</v>
      </c>
      <c r="P164" s="29" t="n">
        <f aca="false">IF(AND(N164&gt;=-0.0000001,N163&lt;0),1,0)</f>
        <v>1</v>
      </c>
      <c r="Q164" s="30" t="n">
        <f aca="false">IF(P164=1,A164-O163,"")</f>
        <v>4</v>
      </c>
    </row>
    <row r="165" customFormat="false" ht="15" hidden="false" customHeight="false" outlineLevel="0" collapsed="false">
      <c r="A165" s="25" t="n">
        <v>46064</v>
      </c>
      <c r="B165" s="26" t="s">
        <v>81</v>
      </c>
      <c r="C165" s="27" t="n">
        <v>2453.75</v>
      </c>
      <c r="D165" s="28" t="n">
        <f aca="false">C165/$T$1*100</f>
        <v>0.153359375</v>
      </c>
      <c r="E165" s="28" t="n">
        <f aca="false">E164+D165</f>
        <v>78.22808375</v>
      </c>
      <c r="F165" s="28" t="n">
        <f aca="false">MAX(0,MAX($E$2:E165))</f>
        <v>78.22808375</v>
      </c>
      <c r="G165" s="28" t="n">
        <f aca="false">E165-F165</f>
        <v>0</v>
      </c>
      <c r="H165" s="25" t="n">
        <f aca="false">IF(G165&gt;=-0.0000001,A165,H164)</f>
        <v>46064</v>
      </c>
      <c r="I165" s="29" t="n">
        <f aca="false">IF(AND(G165&gt;=-0.0000001,G164&lt;0),1,0)</f>
        <v>0</v>
      </c>
      <c r="J165" s="30" t="str">
        <f aca="false">IF(I165=1,A165-H164,"")</f>
        <v/>
      </c>
      <c r="K165" s="27" t="n">
        <f aca="false">IF(B165="Wednesday",0,C165)</f>
        <v>0</v>
      </c>
      <c r="L165" s="28" t="n">
        <f aca="false">L164+K165/$T$1*100</f>
        <v>88.970864375</v>
      </c>
      <c r="M165" s="28" t="n">
        <f aca="false">MAX(0,MAX($L$2:L165))</f>
        <v>88.970864375</v>
      </c>
      <c r="N165" s="28" t="n">
        <f aca="false">L165-M165</f>
        <v>0</v>
      </c>
      <c r="O165" s="25" t="n">
        <f aca="false">IF(N165&gt;=-0.0000001,A165,O164)</f>
        <v>46064</v>
      </c>
      <c r="P165" s="29" t="n">
        <f aca="false">IF(AND(N165&gt;=-0.0000001,N164&lt;0),1,0)</f>
        <v>0</v>
      </c>
      <c r="Q165" s="30" t="str">
        <f aca="false">IF(P165=1,A165-O164,"")</f>
        <v/>
      </c>
    </row>
    <row r="166" customFormat="false" ht="15" hidden="false" customHeight="false" outlineLevel="0" collapsed="false">
      <c r="A166" s="25" t="n">
        <v>46065</v>
      </c>
      <c r="B166" s="26" t="s">
        <v>82</v>
      </c>
      <c r="C166" s="27" t="n">
        <v>-38008.75</v>
      </c>
      <c r="D166" s="28" t="n">
        <f aca="false">C166/$T$1*100</f>
        <v>-2.375546875</v>
      </c>
      <c r="E166" s="28" t="n">
        <f aca="false">E165+D166</f>
        <v>75.852536875</v>
      </c>
      <c r="F166" s="28" t="n">
        <f aca="false">MAX(0,MAX($E$2:E166))</f>
        <v>78.22808375</v>
      </c>
      <c r="G166" s="28" t="n">
        <f aca="false">E166-F166</f>
        <v>-2.375546875</v>
      </c>
      <c r="H166" s="25" t="n">
        <f aca="false">IF(G166&gt;=-0.0000001,A166,H165)</f>
        <v>46064</v>
      </c>
      <c r="I166" s="29" t="n">
        <f aca="false">IF(AND(G166&gt;=-0.0000001,G165&lt;0),1,0)</f>
        <v>0</v>
      </c>
      <c r="J166" s="30" t="str">
        <f aca="false">IF(I166=1,A166-H165,"")</f>
        <v/>
      </c>
      <c r="K166" s="27" t="n">
        <f aca="false">IF(B166="Wednesday",0,C166)</f>
        <v>-38008.75</v>
      </c>
      <c r="L166" s="28" t="n">
        <f aca="false">L165+K166/$T$1*100</f>
        <v>86.5953175</v>
      </c>
      <c r="M166" s="28" t="n">
        <f aca="false">MAX(0,MAX($L$2:L166))</f>
        <v>88.970864375</v>
      </c>
      <c r="N166" s="28" t="n">
        <f aca="false">L166-M166</f>
        <v>-2.375546875</v>
      </c>
      <c r="O166" s="25" t="n">
        <f aca="false">IF(N166&gt;=-0.0000001,A166,O165)</f>
        <v>46064</v>
      </c>
      <c r="P166" s="29" t="n">
        <f aca="false">IF(AND(N166&gt;=-0.0000001,N165&lt;0),1,0)</f>
        <v>0</v>
      </c>
      <c r="Q166" s="30" t="str">
        <f aca="false">IF(P166=1,A166-O165,"")</f>
        <v/>
      </c>
    </row>
    <row r="167" customFormat="false" ht="15" hidden="false" customHeight="false" outlineLevel="0" collapsed="false">
      <c r="A167" s="25" t="n">
        <v>46066</v>
      </c>
      <c r="B167" s="26" t="s">
        <v>83</v>
      </c>
      <c r="C167" s="27" t="n">
        <v>43582.5</v>
      </c>
      <c r="D167" s="28" t="n">
        <f aca="false">C167/$T$1*100</f>
        <v>2.72390625</v>
      </c>
      <c r="E167" s="28" t="n">
        <f aca="false">E166+D167</f>
        <v>78.576443125</v>
      </c>
      <c r="F167" s="28" t="n">
        <f aca="false">MAX(0,MAX($E$2:E167))</f>
        <v>78.576443125</v>
      </c>
      <c r="G167" s="28" t="n">
        <f aca="false">E167-F167</f>
        <v>0</v>
      </c>
      <c r="H167" s="25" t="n">
        <f aca="false">IF(G167&gt;=-0.0000001,A167,H166)</f>
        <v>46066</v>
      </c>
      <c r="I167" s="29" t="n">
        <f aca="false">IF(AND(G167&gt;=-0.0000001,G166&lt;0),1,0)</f>
        <v>1</v>
      </c>
      <c r="J167" s="30" t="n">
        <f aca="false">IF(I167=1,A167-H166,"")</f>
        <v>2</v>
      </c>
      <c r="K167" s="27" t="n">
        <f aca="false">IF(B167="Wednesday",0,C167)</f>
        <v>43582.5</v>
      </c>
      <c r="L167" s="28" t="n">
        <f aca="false">L166+K167/$T$1*100</f>
        <v>89.31922375</v>
      </c>
      <c r="M167" s="28" t="n">
        <f aca="false">MAX(0,MAX($L$2:L167))</f>
        <v>89.31922375</v>
      </c>
      <c r="N167" s="28" t="n">
        <f aca="false">L167-M167</f>
        <v>0</v>
      </c>
      <c r="O167" s="25" t="n">
        <f aca="false">IF(N167&gt;=-0.0000001,A167,O166)</f>
        <v>46066</v>
      </c>
      <c r="P167" s="29" t="n">
        <f aca="false">IF(AND(N167&gt;=-0.0000001,N166&lt;0),1,0)</f>
        <v>1</v>
      </c>
      <c r="Q167" s="30" t="n">
        <f aca="false">IF(P167=1,A167-O166,"")</f>
        <v>2</v>
      </c>
    </row>
    <row r="168" customFormat="false" ht="15" hidden="false" customHeight="false" outlineLevel="0" collapsed="false">
      <c r="A168" s="25" t="n">
        <v>46069</v>
      </c>
      <c r="B168" s="26" t="s">
        <v>79</v>
      </c>
      <c r="C168" s="27" t="n">
        <v>-52</v>
      </c>
      <c r="D168" s="28" t="n">
        <f aca="false">C168/$T$1*100</f>
        <v>-0.00325</v>
      </c>
      <c r="E168" s="28" t="n">
        <f aca="false">E167+D168</f>
        <v>78.573193125</v>
      </c>
      <c r="F168" s="28" t="n">
        <f aca="false">MAX(0,MAX($E$2:E168))</f>
        <v>78.576443125</v>
      </c>
      <c r="G168" s="28" t="n">
        <f aca="false">E168-F168</f>
        <v>-0.0032499999999942</v>
      </c>
      <c r="H168" s="25" t="n">
        <f aca="false">IF(G168&gt;=-0.0000001,A168,H167)</f>
        <v>46066</v>
      </c>
      <c r="I168" s="29" t="n">
        <f aca="false">IF(AND(G168&gt;=-0.0000001,G167&lt;0),1,0)</f>
        <v>0</v>
      </c>
      <c r="J168" s="30" t="str">
        <f aca="false">IF(I168=1,A168-H167,"")</f>
        <v/>
      </c>
      <c r="K168" s="27" t="n">
        <f aca="false">IF(B168="Wednesday",0,C168)</f>
        <v>-52</v>
      </c>
      <c r="L168" s="28" t="n">
        <f aca="false">L167+K168/$T$1*100</f>
        <v>89.31597375</v>
      </c>
      <c r="M168" s="28" t="n">
        <f aca="false">MAX(0,MAX($L$2:L168))</f>
        <v>89.31922375</v>
      </c>
      <c r="N168" s="28" t="n">
        <f aca="false">L168-M168</f>
        <v>-0.0032499999999942</v>
      </c>
      <c r="O168" s="25" t="n">
        <f aca="false">IF(N168&gt;=-0.0000001,A168,O167)</f>
        <v>46066</v>
      </c>
      <c r="P168" s="29" t="n">
        <f aca="false">IF(AND(N168&gt;=-0.0000001,N167&lt;0),1,0)</f>
        <v>0</v>
      </c>
      <c r="Q168" s="30" t="str">
        <f aca="false">IF(P168=1,A168-O167,"")</f>
        <v/>
      </c>
    </row>
    <row r="169" customFormat="false" ht="15" hidden="false" customHeight="false" outlineLevel="0" collapsed="false">
      <c r="A169" s="25" t="n">
        <v>46070</v>
      </c>
      <c r="B169" s="26" t="s">
        <v>80</v>
      </c>
      <c r="C169" s="27" t="n">
        <v>23422.75</v>
      </c>
      <c r="D169" s="28" t="n">
        <f aca="false">C169/$T$1*100</f>
        <v>1.463921875</v>
      </c>
      <c r="E169" s="28" t="n">
        <f aca="false">E168+D169</f>
        <v>80.037115</v>
      </c>
      <c r="F169" s="28" t="n">
        <f aca="false">MAX(0,MAX($E$2:E169))</f>
        <v>80.037115</v>
      </c>
      <c r="G169" s="28" t="n">
        <f aca="false">E169-F169</f>
        <v>0</v>
      </c>
      <c r="H169" s="25" t="n">
        <f aca="false">IF(G169&gt;=-0.0000001,A169,H168)</f>
        <v>46070</v>
      </c>
      <c r="I169" s="29" t="n">
        <f aca="false">IF(AND(G169&gt;=-0.0000001,G168&lt;0),1,0)</f>
        <v>1</v>
      </c>
      <c r="J169" s="30" t="n">
        <f aca="false">IF(I169=1,A169-H168,"")</f>
        <v>4</v>
      </c>
      <c r="K169" s="27" t="n">
        <f aca="false">IF(B169="Wednesday",0,C169)</f>
        <v>23422.75</v>
      </c>
      <c r="L169" s="28" t="n">
        <f aca="false">L168+K169/$T$1*100</f>
        <v>90.779895625</v>
      </c>
      <c r="M169" s="28" t="n">
        <f aca="false">MAX(0,MAX($L$2:L169))</f>
        <v>90.779895625</v>
      </c>
      <c r="N169" s="28" t="n">
        <f aca="false">L169-M169</f>
        <v>0</v>
      </c>
      <c r="O169" s="25" t="n">
        <f aca="false">IF(N169&gt;=-0.0000001,A169,O168)</f>
        <v>46070</v>
      </c>
      <c r="P169" s="29" t="n">
        <f aca="false">IF(AND(N169&gt;=-0.0000001,N168&lt;0),1,0)</f>
        <v>1</v>
      </c>
      <c r="Q169" s="30" t="n">
        <f aca="false">IF(P169=1,A169-O168,"")</f>
        <v>4</v>
      </c>
    </row>
    <row r="170" customFormat="false" ht="15" hidden="false" customHeight="false" outlineLevel="0" collapsed="false">
      <c r="A170" s="25" t="n">
        <v>46071</v>
      </c>
      <c r="B170" s="26" t="s">
        <v>81</v>
      </c>
      <c r="C170" s="27" t="n">
        <v>-36205</v>
      </c>
      <c r="D170" s="28" t="n">
        <f aca="false">C170/$T$1*100</f>
        <v>-2.2628125</v>
      </c>
      <c r="E170" s="28" t="n">
        <f aca="false">E169+D170</f>
        <v>77.7743025</v>
      </c>
      <c r="F170" s="28" t="n">
        <f aca="false">MAX(0,MAX($E$2:E170))</f>
        <v>80.037115</v>
      </c>
      <c r="G170" s="28" t="n">
        <f aca="false">E170-F170</f>
        <v>-2.2628125</v>
      </c>
      <c r="H170" s="25" t="n">
        <f aca="false">IF(G170&gt;=-0.0000001,A170,H169)</f>
        <v>46070</v>
      </c>
      <c r="I170" s="29" t="n">
        <f aca="false">IF(AND(G170&gt;=-0.0000001,G169&lt;0),1,0)</f>
        <v>0</v>
      </c>
      <c r="J170" s="30" t="str">
        <f aca="false">IF(I170=1,A170-H169,"")</f>
        <v/>
      </c>
      <c r="K170" s="27" t="n">
        <f aca="false">IF(B170="Wednesday",0,C170)</f>
        <v>0</v>
      </c>
      <c r="L170" s="28" t="n">
        <f aca="false">L169+K170/$T$1*100</f>
        <v>90.779895625</v>
      </c>
      <c r="M170" s="28" t="n">
        <f aca="false">MAX(0,MAX($L$2:L170))</f>
        <v>90.779895625</v>
      </c>
      <c r="N170" s="28" t="n">
        <f aca="false">L170-M170</f>
        <v>0</v>
      </c>
      <c r="O170" s="25" t="n">
        <f aca="false">IF(N170&gt;=-0.0000001,A170,O169)</f>
        <v>46071</v>
      </c>
      <c r="P170" s="29" t="n">
        <f aca="false">IF(AND(N170&gt;=-0.0000001,N169&lt;0),1,0)</f>
        <v>0</v>
      </c>
      <c r="Q170" s="30" t="str">
        <f aca="false">IF(P170=1,A170-O169,"")</f>
        <v/>
      </c>
    </row>
    <row r="171" customFormat="false" ht="15" hidden="false" customHeight="false" outlineLevel="0" collapsed="false">
      <c r="A171" s="25" t="n">
        <v>46072</v>
      </c>
      <c r="B171" s="26" t="s">
        <v>82</v>
      </c>
      <c r="C171" s="27" t="n">
        <v>13000</v>
      </c>
      <c r="D171" s="28" t="n">
        <f aca="false">C171/$T$1*100</f>
        <v>0.8125</v>
      </c>
      <c r="E171" s="28" t="n">
        <f aca="false">E170+D171</f>
        <v>78.5868025</v>
      </c>
      <c r="F171" s="28" t="n">
        <f aca="false">MAX(0,MAX($E$2:E171))</f>
        <v>80.037115</v>
      </c>
      <c r="G171" s="28" t="n">
        <f aca="false">E171-F171</f>
        <v>-1.4503125</v>
      </c>
      <c r="H171" s="25" t="n">
        <f aca="false">IF(G171&gt;=-0.0000001,A171,H170)</f>
        <v>46070</v>
      </c>
      <c r="I171" s="29" t="n">
        <f aca="false">IF(AND(G171&gt;=-0.0000001,G170&lt;0),1,0)</f>
        <v>0</v>
      </c>
      <c r="J171" s="30" t="str">
        <f aca="false">IF(I171=1,A171-H170,"")</f>
        <v/>
      </c>
      <c r="K171" s="27" t="n">
        <f aca="false">IF(B171="Wednesday",0,C171)</f>
        <v>13000</v>
      </c>
      <c r="L171" s="28" t="n">
        <f aca="false">L170+K171/$T$1*100</f>
        <v>91.592395625</v>
      </c>
      <c r="M171" s="28" t="n">
        <f aca="false">MAX(0,MAX($L$2:L171))</f>
        <v>91.592395625</v>
      </c>
      <c r="N171" s="28" t="n">
        <f aca="false">L171-M171</f>
        <v>0</v>
      </c>
      <c r="O171" s="25" t="n">
        <f aca="false">IF(N171&gt;=-0.0000001,A171,O170)</f>
        <v>46072</v>
      </c>
      <c r="P171" s="29" t="n">
        <f aca="false">IF(AND(N171&gt;=-0.0000001,N170&lt;0),1,0)</f>
        <v>0</v>
      </c>
      <c r="Q171" s="30" t="str">
        <f aca="false">IF(P171=1,A171-O170,"")</f>
        <v/>
      </c>
    </row>
    <row r="172" customFormat="false" ht="15" hidden="false" customHeight="false" outlineLevel="0" collapsed="false">
      <c r="A172" s="25" t="n">
        <v>46073</v>
      </c>
      <c r="B172" s="26" t="s">
        <v>83</v>
      </c>
      <c r="C172" s="27" t="n">
        <v>19516.25</v>
      </c>
      <c r="D172" s="28" t="n">
        <f aca="false">C172/$T$1*100</f>
        <v>1.219765625</v>
      </c>
      <c r="E172" s="28" t="n">
        <f aca="false">E171+D172</f>
        <v>79.806568125</v>
      </c>
      <c r="F172" s="28" t="n">
        <f aca="false">MAX(0,MAX($E$2:E172))</f>
        <v>80.037115</v>
      </c>
      <c r="G172" s="28" t="n">
        <f aca="false">E172-F172</f>
        <v>-0.230546875000002</v>
      </c>
      <c r="H172" s="25" t="n">
        <f aca="false">IF(G172&gt;=-0.0000001,A172,H171)</f>
        <v>46070</v>
      </c>
      <c r="I172" s="29" t="n">
        <f aca="false">IF(AND(G172&gt;=-0.0000001,G171&lt;0),1,0)</f>
        <v>0</v>
      </c>
      <c r="J172" s="30" t="str">
        <f aca="false">IF(I172=1,A172-H171,"")</f>
        <v/>
      </c>
      <c r="K172" s="27" t="n">
        <f aca="false">IF(B172="Wednesday",0,C172)</f>
        <v>19516.25</v>
      </c>
      <c r="L172" s="28" t="n">
        <f aca="false">L171+K172/$T$1*100</f>
        <v>92.81216125</v>
      </c>
      <c r="M172" s="28" t="n">
        <f aca="false">MAX(0,MAX($L$2:L172))</f>
        <v>92.81216125</v>
      </c>
      <c r="N172" s="28" t="n">
        <f aca="false">L172-M172</f>
        <v>0</v>
      </c>
      <c r="O172" s="25" t="n">
        <f aca="false">IF(N172&gt;=-0.0000001,A172,O171)</f>
        <v>46073</v>
      </c>
      <c r="P172" s="29" t="n">
        <f aca="false">IF(AND(N172&gt;=-0.0000001,N171&lt;0),1,0)</f>
        <v>0</v>
      </c>
      <c r="Q172" s="30" t="str">
        <f aca="false">IF(P172=1,A172-O171,"")</f>
        <v/>
      </c>
    </row>
    <row r="173" customFormat="false" ht="15" hidden="false" customHeight="false" outlineLevel="0" collapsed="false">
      <c r="A173" s="25" t="n">
        <v>46076</v>
      </c>
      <c r="B173" s="26" t="s">
        <v>79</v>
      </c>
      <c r="C173" s="27" t="n">
        <v>-28765.75</v>
      </c>
      <c r="D173" s="28" t="n">
        <f aca="false">C173/$T$1*100</f>
        <v>-1.797859375</v>
      </c>
      <c r="E173" s="28" t="n">
        <f aca="false">E172+D173</f>
        <v>78.00870875</v>
      </c>
      <c r="F173" s="28" t="n">
        <f aca="false">MAX(0,MAX($E$2:E173))</f>
        <v>80.037115</v>
      </c>
      <c r="G173" s="28" t="n">
        <f aca="false">E173-F173</f>
        <v>-2.02840625</v>
      </c>
      <c r="H173" s="25" t="n">
        <f aca="false">IF(G173&gt;=-0.0000001,A173,H172)</f>
        <v>46070</v>
      </c>
      <c r="I173" s="29" t="n">
        <f aca="false">IF(AND(G173&gt;=-0.0000001,G172&lt;0),1,0)</f>
        <v>0</v>
      </c>
      <c r="J173" s="30" t="str">
        <f aca="false">IF(I173=1,A173-H172,"")</f>
        <v/>
      </c>
      <c r="K173" s="27" t="n">
        <f aca="false">IF(B173="Wednesday",0,C173)</f>
        <v>-28765.75</v>
      </c>
      <c r="L173" s="28" t="n">
        <f aca="false">L172+K173/$T$1*100</f>
        <v>91.014301875</v>
      </c>
      <c r="M173" s="28" t="n">
        <f aca="false">MAX(0,MAX($L$2:L173))</f>
        <v>92.81216125</v>
      </c>
      <c r="N173" s="28" t="n">
        <f aca="false">L173-M173</f>
        <v>-1.797859375</v>
      </c>
      <c r="O173" s="25" t="n">
        <f aca="false">IF(N173&gt;=-0.0000001,A173,O172)</f>
        <v>46073</v>
      </c>
      <c r="P173" s="29" t="n">
        <f aca="false">IF(AND(N173&gt;=-0.0000001,N172&lt;0),1,0)</f>
        <v>0</v>
      </c>
      <c r="Q173" s="30" t="str">
        <f aca="false">IF(P173=1,A173-O172,"")</f>
        <v/>
      </c>
    </row>
    <row r="174" customFormat="false" ht="15" hidden="false" customHeight="false" outlineLevel="0" collapsed="false">
      <c r="A174" s="25" t="n">
        <v>46077</v>
      </c>
      <c r="B174" s="26" t="s">
        <v>80</v>
      </c>
      <c r="C174" s="27" t="n">
        <v>116109.5</v>
      </c>
      <c r="D174" s="28" t="n">
        <f aca="false">C174/$T$1*100</f>
        <v>7.25684375</v>
      </c>
      <c r="E174" s="28" t="n">
        <f aca="false">E173+D174</f>
        <v>85.2655525</v>
      </c>
      <c r="F174" s="28" t="n">
        <f aca="false">MAX(0,MAX($E$2:E174))</f>
        <v>85.2655525</v>
      </c>
      <c r="G174" s="28" t="n">
        <f aca="false">E174-F174</f>
        <v>0</v>
      </c>
      <c r="H174" s="25" t="n">
        <f aca="false">IF(G174&gt;=-0.0000001,A174,H173)</f>
        <v>46077</v>
      </c>
      <c r="I174" s="29" t="n">
        <f aca="false">IF(AND(G174&gt;=-0.0000001,G173&lt;0),1,0)</f>
        <v>1</v>
      </c>
      <c r="J174" s="30" t="n">
        <f aca="false">IF(I174=1,A174-H173,"")</f>
        <v>7</v>
      </c>
      <c r="K174" s="27" t="n">
        <f aca="false">IF(B174="Wednesday",0,C174)</f>
        <v>116109.5</v>
      </c>
      <c r="L174" s="28" t="n">
        <f aca="false">L173+K174/$T$1*100</f>
        <v>98.271145625</v>
      </c>
      <c r="M174" s="28" t="n">
        <f aca="false">MAX(0,MAX($L$2:L174))</f>
        <v>98.271145625</v>
      </c>
      <c r="N174" s="28" t="n">
        <f aca="false">L174-M174</f>
        <v>0</v>
      </c>
      <c r="O174" s="25" t="n">
        <f aca="false">IF(N174&gt;=-0.0000001,A174,O173)</f>
        <v>46077</v>
      </c>
      <c r="P174" s="29" t="n">
        <f aca="false">IF(AND(N174&gt;=-0.0000001,N173&lt;0),1,0)</f>
        <v>1</v>
      </c>
      <c r="Q174" s="30" t="n">
        <f aca="false">IF(P174=1,A174-O173,"")</f>
        <v>4</v>
      </c>
    </row>
    <row r="175" customFormat="false" ht="15" hidden="false" customHeight="false" outlineLevel="0" collapsed="false">
      <c r="A175" s="25" t="n">
        <v>46078</v>
      </c>
      <c r="B175" s="26" t="s">
        <v>81</v>
      </c>
      <c r="C175" s="27" t="n">
        <v>-46475</v>
      </c>
      <c r="D175" s="28" t="n">
        <f aca="false">C175/$T$1*100</f>
        <v>-2.9046875</v>
      </c>
      <c r="E175" s="28" t="n">
        <f aca="false">E174+D175</f>
        <v>82.360865</v>
      </c>
      <c r="F175" s="28" t="n">
        <f aca="false">MAX(0,MAX($E$2:E175))</f>
        <v>85.2655525</v>
      </c>
      <c r="G175" s="28" t="n">
        <f aca="false">E175-F175</f>
        <v>-2.90468749999999</v>
      </c>
      <c r="H175" s="25" t="n">
        <f aca="false">IF(G175&gt;=-0.0000001,A175,H174)</f>
        <v>46077</v>
      </c>
      <c r="I175" s="29" t="n">
        <f aca="false">IF(AND(G175&gt;=-0.0000001,G174&lt;0),1,0)</f>
        <v>0</v>
      </c>
      <c r="J175" s="30" t="str">
        <f aca="false">IF(I175=1,A175-H174,"")</f>
        <v/>
      </c>
      <c r="K175" s="27" t="n">
        <f aca="false">IF(B175="Wednesday",0,C175)</f>
        <v>0</v>
      </c>
      <c r="L175" s="28" t="n">
        <f aca="false">L174+K175/$T$1*100</f>
        <v>98.271145625</v>
      </c>
      <c r="M175" s="28" t="n">
        <f aca="false">MAX(0,MAX($L$2:L175))</f>
        <v>98.271145625</v>
      </c>
      <c r="N175" s="28" t="n">
        <f aca="false">L175-M175</f>
        <v>0</v>
      </c>
      <c r="O175" s="25" t="n">
        <f aca="false">IF(N175&gt;=-0.0000001,A175,O174)</f>
        <v>46078</v>
      </c>
      <c r="P175" s="29" t="n">
        <f aca="false">IF(AND(N175&gt;=-0.0000001,N174&lt;0),1,0)</f>
        <v>0</v>
      </c>
      <c r="Q175" s="30" t="str">
        <f aca="false">IF(P175=1,A175-O174,"")</f>
        <v/>
      </c>
    </row>
    <row r="176" customFormat="false" ht="15" hidden="false" customHeight="false" outlineLevel="0" collapsed="false">
      <c r="A176" s="25" t="n">
        <v>46079</v>
      </c>
      <c r="B176" s="26" t="s">
        <v>82</v>
      </c>
      <c r="C176" s="27" t="n">
        <v>71646.25</v>
      </c>
      <c r="D176" s="28" t="n">
        <f aca="false">C176/$T$1*100</f>
        <v>4.477890625</v>
      </c>
      <c r="E176" s="28" t="n">
        <f aca="false">E175+D176</f>
        <v>86.838755625</v>
      </c>
      <c r="F176" s="28" t="n">
        <f aca="false">MAX(0,MAX($E$2:E176))</f>
        <v>86.838755625</v>
      </c>
      <c r="G176" s="28" t="n">
        <f aca="false">E176-F176</f>
        <v>0</v>
      </c>
      <c r="H176" s="25" t="n">
        <f aca="false">IF(G176&gt;=-0.0000001,A176,H175)</f>
        <v>46079</v>
      </c>
      <c r="I176" s="29" t="n">
        <f aca="false">IF(AND(G176&gt;=-0.0000001,G175&lt;0),1,0)</f>
        <v>1</v>
      </c>
      <c r="J176" s="30" t="n">
        <f aca="false">IF(I176=1,A176-H175,"")</f>
        <v>2</v>
      </c>
      <c r="K176" s="27" t="n">
        <f aca="false">IF(B176="Wednesday",0,C176)</f>
        <v>71646.25</v>
      </c>
      <c r="L176" s="28" t="n">
        <f aca="false">L175+K176/$T$1*100</f>
        <v>102.74903625</v>
      </c>
      <c r="M176" s="28" t="n">
        <f aca="false">MAX(0,MAX($L$2:L176))</f>
        <v>102.74903625</v>
      </c>
      <c r="N176" s="28" t="n">
        <f aca="false">L176-M176</f>
        <v>0</v>
      </c>
      <c r="O176" s="25" t="n">
        <f aca="false">IF(N176&gt;=-0.0000001,A176,O175)</f>
        <v>46079</v>
      </c>
      <c r="P176" s="29" t="n">
        <f aca="false">IF(AND(N176&gt;=-0.0000001,N175&lt;0),1,0)</f>
        <v>0</v>
      </c>
      <c r="Q176" s="30" t="str">
        <f aca="false">IF(P176=1,A176-O175,"")</f>
        <v/>
      </c>
    </row>
    <row r="177" customFormat="false" ht="15" hidden="false" customHeight="false" outlineLevel="0" collapsed="false">
      <c r="A177" s="25" t="n">
        <v>46080</v>
      </c>
      <c r="B177" s="26" t="s">
        <v>83</v>
      </c>
      <c r="C177" s="27" t="n">
        <v>35977.5</v>
      </c>
      <c r="D177" s="28" t="n">
        <f aca="false">C177/$T$1*100</f>
        <v>2.24859375</v>
      </c>
      <c r="E177" s="28" t="n">
        <f aca="false">E176+D177</f>
        <v>89.087349375</v>
      </c>
      <c r="F177" s="28" t="n">
        <f aca="false">MAX(0,MAX($E$2:E177))</f>
        <v>89.087349375</v>
      </c>
      <c r="G177" s="28" t="n">
        <f aca="false">E177-F177</f>
        <v>0</v>
      </c>
      <c r="H177" s="25" t="n">
        <f aca="false">IF(G177&gt;=-0.0000001,A177,H176)</f>
        <v>46080</v>
      </c>
      <c r="I177" s="29" t="n">
        <f aca="false">IF(AND(G177&gt;=-0.0000001,G176&lt;0),1,0)</f>
        <v>0</v>
      </c>
      <c r="J177" s="30" t="str">
        <f aca="false">IF(I177=1,A177-H176,"")</f>
        <v/>
      </c>
      <c r="K177" s="27" t="n">
        <f aca="false">IF(B177="Wednesday",0,C177)</f>
        <v>35977.5</v>
      </c>
      <c r="L177" s="28" t="n">
        <f aca="false">L176+K177/$T$1*100</f>
        <v>104.99763</v>
      </c>
      <c r="M177" s="28" t="n">
        <f aca="false">MAX(0,MAX($L$2:L177))</f>
        <v>104.99763</v>
      </c>
      <c r="N177" s="28" t="n">
        <f aca="false">L177-M177</f>
        <v>0</v>
      </c>
      <c r="O177" s="25" t="n">
        <f aca="false">IF(N177&gt;=-0.0000001,A177,O176)</f>
        <v>46080</v>
      </c>
      <c r="P177" s="29" t="n">
        <f aca="false">IF(AND(N177&gt;=-0.0000001,N176&lt;0),1,0)</f>
        <v>0</v>
      </c>
      <c r="Q177" s="30" t="str">
        <f aca="false">IF(P177=1,A177-O176,"")</f>
        <v/>
      </c>
    </row>
    <row r="178" customFormat="false" ht="15" hidden="false" customHeight="false" outlineLevel="0" collapsed="false">
      <c r="A178" s="25" t="n">
        <v>46083</v>
      </c>
      <c r="B178" s="26" t="s">
        <v>79</v>
      </c>
      <c r="C178" s="27" t="n">
        <v>76404.25</v>
      </c>
      <c r="D178" s="28" t="n">
        <f aca="false">C178/$T$1*100</f>
        <v>4.775265625</v>
      </c>
      <c r="E178" s="28" t="n">
        <f aca="false">E177+D178</f>
        <v>93.862615</v>
      </c>
      <c r="F178" s="28" t="n">
        <f aca="false">MAX(0,MAX($E$2:E178))</f>
        <v>93.862615</v>
      </c>
      <c r="G178" s="28" t="n">
        <f aca="false">E178-F178</f>
        <v>0</v>
      </c>
      <c r="H178" s="25" t="n">
        <f aca="false">IF(G178&gt;=-0.0000001,A178,H177)</f>
        <v>46083</v>
      </c>
      <c r="I178" s="29" t="n">
        <f aca="false">IF(AND(G178&gt;=-0.0000001,G177&lt;0),1,0)</f>
        <v>0</v>
      </c>
      <c r="J178" s="30" t="str">
        <f aca="false">IF(I178=1,A178-H177,"")</f>
        <v/>
      </c>
      <c r="K178" s="27" t="n">
        <f aca="false">IF(B178="Wednesday",0,C178)</f>
        <v>76404.25</v>
      </c>
      <c r="L178" s="28" t="n">
        <f aca="false">L177+K178/$T$1*100</f>
        <v>109.772895625</v>
      </c>
      <c r="M178" s="28" t="n">
        <f aca="false">MAX(0,MAX($L$2:L178))</f>
        <v>109.772895625</v>
      </c>
      <c r="N178" s="28" t="n">
        <f aca="false">L178-M178</f>
        <v>0</v>
      </c>
      <c r="O178" s="25" t="n">
        <f aca="false">IF(N178&gt;=-0.0000001,A178,O177)</f>
        <v>46083</v>
      </c>
      <c r="P178" s="29" t="n">
        <f aca="false">IF(AND(N178&gt;=-0.0000001,N177&lt;0),1,0)</f>
        <v>0</v>
      </c>
      <c r="Q178" s="30" t="str">
        <f aca="false">IF(P178=1,A178-O177,"")</f>
        <v/>
      </c>
    </row>
    <row r="179" customFormat="false" ht="15" hidden="false" customHeight="false" outlineLevel="0" collapsed="false">
      <c r="A179" s="25" t="n">
        <v>46086</v>
      </c>
      <c r="B179" s="26" t="s">
        <v>82</v>
      </c>
      <c r="C179" s="27" t="n">
        <v>-30576</v>
      </c>
      <c r="D179" s="28" t="n">
        <f aca="false">C179/$T$1*100</f>
        <v>-1.911</v>
      </c>
      <c r="E179" s="28" t="n">
        <f aca="false">E178+D179</f>
        <v>91.951615</v>
      </c>
      <c r="F179" s="28" t="n">
        <f aca="false">MAX(0,MAX($E$2:E179))</f>
        <v>93.862615</v>
      </c>
      <c r="G179" s="28" t="n">
        <f aca="false">E179-F179</f>
        <v>-1.911</v>
      </c>
      <c r="H179" s="25" t="n">
        <f aca="false">IF(G179&gt;=-0.0000001,A179,H178)</f>
        <v>46083</v>
      </c>
      <c r="I179" s="29" t="n">
        <f aca="false">IF(AND(G179&gt;=-0.0000001,G178&lt;0),1,0)</f>
        <v>0</v>
      </c>
      <c r="J179" s="30" t="str">
        <f aca="false">IF(I179=1,A179-H178,"")</f>
        <v/>
      </c>
      <c r="K179" s="27" t="n">
        <f aca="false">IF(B179="Wednesday",0,C179)</f>
        <v>-30576</v>
      </c>
      <c r="L179" s="28" t="n">
        <f aca="false">L178+K179/$T$1*100</f>
        <v>107.861895625</v>
      </c>
      <c r="M179" s="28" t="n">
        <f aca="false">MAX(0,MAX($L$2:L179))</f>
        <v>109.772895625</v>
      </c>
      <c r="N179" s="28" t="n">
        <f aca="false">L179-M179</f>
        <v>-1.911</v>
      </c>
      <c r="O179" s="25" t="n">
        <f aca="false">IF(N179&gt;=-0.0000001,A179,O178)</f>
        <v>46083</v>
      </c>
      <c r="P179" s="29" t="n">
        <f aca="false">IF(AND(N179&gt;=-0.0000001,N178&lt;0),1,0)</f>
        <v>0</v>
      </c>
      <c r="Q179" s="30" t="str">
        <f aca="false">IF(P179=1,A179-O178,"")</f>
        <v/>
      </c>
    </row>
    <row r="180" customFormat="false" ht="15" hidden="false" customHeight="false" outlineLevel="0" collapsed="false">
      <c r="A180" s="25" t="n">
        <v>46087</v>
      </c>
      <c r="B180" s="26" t="s">
        <v>83</v>
      </c>
      <c r="C180" s="27" t="n">
        <v>71.5</v>
      </c>
      <c r="D180" s="28" t="n">
        <f aca="false">C180/$T$1*100</f>
        <v>0.00446875</v>
      </c>
      <c r="E180" s="28" t="n">
        <f aca="false">E179+D180</f>
        <v>91.95608375</v>
      </c>
      <c r="F180" s="28" t="n">
        <f aca="false">MAX(0,MAX($E$2:E180))</f>
        <v>93.862615</v>
      </c>
      <c r="G180" s="28" t="n">
        <f aca="false">E180-F180</f>
        <v>-1.90653125</v>
      </c>
      <c r="H180" s="25" t="n">
        <f aca="false">IF(G180&gt;=-0.0000001,A180,H179)</f>
        <v>46083</v>
      </c>
      <c r="I180" s="29" t="n">
        <f aca="false">IF(AND(G180&gt;=-0.0000001,G179&lt;0),1,0)</f>
        <v>0</v>
      </c>
      <c r="J180" s="30" t="str">
        <f aca="false">IF(I180=1,A180-H179,"")</f>
        <v/>
      </c>
      <c r="K180" s="27" t="n">
        <f aca="false">IF(B180="Wednesday",0,C180)</f>
        <v>71.5</v>
      </c>
      <c r="L180" s="28" t="n">
        <f aca="false">L179+K180/$T$1*100</f>
        <v>107.866364375</v>
      </c>
      <c r="M180" s="28" t="n">
        <f aca="false">MAX(0,MAX($L$2:L180))</f>
        <v>109.772895625</v>
      </c>
      <c r="N180" s="28" t="n">
        <f aca="false">L180-M180</f>
        <v>-1.90653125</v>
      </c>
      <c r="O180" s="25" t="n">
        <f aca="false">IF(N180&gt;=-0.0000001,A180,O179)</f>
        <v>46083</v>
      </c>
      <c r="P180" s="29" t="n">
        <f aca="false">IF(AND(N180&gt;=-0.0000001,N179&lt;0),1,0)</f>
        <v>0</v>
      </c>
      <c r="Q180" s="30" t="str">
        <f aca="false">IF(P180=1,A180-O179,"")</f>
        <v/>
      </c>
    </row>
    <row r="181" customFormat="false" ht="15" hidden="false" customHeight="false" outlineLevel="0" collapsed="false">
      <c r="A181" s="25" t="n">
        <v>46090</v>
      </c>
      <c r="B181" s="26" t="s">
        <v>79</v>
      </c>
      <c r="C181" s="27" t="n">
        <v>68900</v>
      </c>
      <c r="D181" s="28" t="n">
        <f aca="false">C181/$T$1*100</f>
        <v>4.30625</v>
      </c>
      <c r="E181" s="28" t="n">
        <f aca="false">E180+D181</f>
        <v>96.26233375</v>
      </c>
      <c r="F181" s="28" t="n">
        <f aca="false">MAX(0,MAX($E$2:E181))</f>
        <v>96.26233375</v>
      </c>
      <c r="G181" s="28" t="n">
        <f aca="false">E181-F181</f>
        <v>0</v>
      </c>
      <c r="H181" s="25" t="n">
        <f aca="false">IF(G181&gt;=-0.0000001,A181,H180)</f>
        <v>46090</v>
      </c>
      <c r="I181" s="29" t="n">
        <f aca="false">IF(AND(G181&gt;=-0.0000001,G180&lt;0),1,0)</f>
        <v>1</v>
      </c>
      <c r="J181" s="30" t="n">
        <f aca="false">IF(I181=1,A181-H180,"")</f>
        <v>7</v>
      </c>
      <c r="K181" s="27" t="n">
        <f aca="false">IF(B181="Wednesday",0,C181)</f>
        <v>68900</v>
      </c>
      <c r="L181" s="28" t="n">
        <f aca="false">L180+K181/$T$1*100</f>
        <v>112.172614375</v>
      </c>
      <c r="M181" s="28" t="n">
        <f aca="false">MAX(0,MAX($L$2:L181))</f>
        <v>112.172614375</v>
      </c>
      <c r="N181" s="28" t="n">
        <f aca="false">L181-M181</f>
        <v>0</v>
      </c>
      <c r="O181" s="25" t="n">
        <f aca="false">IF(N181&gt;=-0.0000001,A181,O180)</f>
        <v>46090</v>
      </c>
      <c r="P181" s="29" t="n">
        <f aca="false">IF(AND(N181&gt;=-0.0000001,N180&lt;0),1,0)</f>
        <v>1</v>
      </c>
      <c r="Q181" s="30" t="n">
        <f aca="false">IF(P181=1,A181-O180,"")</f>
        <v>7</v>
      </c>
    </row>
    <row r="182" customFormat="false" ht="15" hidden="false" customHeight="false" outlineLevel="0" collapsed="false">
      <c r="A182" s="25" t="n">
        <v>46091</v>
      </c>
      <c r="B182" s="26" t="s">
        <v>80</v>
      </c>
      <c r="C182" s="27" t="n">
        <v>61122.75</v>
      </c>
      <c r="D182" s="28" t="n">
        <f aca="false">C182/$T$1*100</f>
        <v>3.820171875</v>
      </c>
      <c r="E182" s="28" t="n">
        <f aca="false">E181+D182</f>
        <v>100.082505625</v>
      </c>
      <c r="F182" s="28" t="n">
        <f aca="false">MAX(0,MAX($E$2:E182))</f>
        <v>100.082505625</v>
      </c>
      <c r="G182" s="28" t="n">
        <f aca="false">E182-F182</f>
        <v>0</v>
      </c>
      <c r="H182" s="25" t="n">
        <f aca="false">IF(G182&gt;=-0.0000001,A182,H181)</f>
        <v>46091</v>
      </c>
      <c r="I182" s="29" t="n">
        <f aca="false">IF(AND(G182&gt;=-0.0000001,G181&lt;0),1,0)</f>
        <v>0</v>
      </c>
      <c r="J182" s="30" t="str">
        <f aca="false">IF(I182=1,A182-H181,"")</f>
        <v/>
      </c>
      <c r="K182" s="27" t="n">
        <f aca="false">IF(B182="Wednesday",0,C182)</f>
        <v>61122.75</v>
      </c>
      <c r="L182" s="28" t="n">
        <f aca="false">L181+K182/$T$1*100</f>
        <v>115.99278625</v>
      </c>
      <c r="M182" s="28" t="n">
        <f aca="false">MAX(0,MAX($L$2:L182))</f>
        <v>115.99278625</v>
      </c>
      <c r="N182" s="28" t="n">
        <f aca="false">L182-M182</f>
        <v>0</v>
      </c>
      <c r="O182" s="25" t="n">
        <f aca="false">IF(N182&gt;=-0.0000001,A182,O181)</f>
        <v>46091</v>
      </c>
      <c r="P182" s="29" t="n">
        <f aca="false">IF(AND(N182&gt;=-0.0000001,N181&lt;0),1,0)</f>
        <v>0</v>
      </c>
      <c r="Q182" s="30" t="str">
        <f aca="false">IF(P182=1,A182-O181,"")</f>
        <v/>
      </c>
    </row>
    <row r="183" customFormat="false" ht="15" hidden="false" customHeight="false" outlineLevel="0" collapsed="false">
      <c r="A183" s="25" t="n">
        <v>46092</v>
      </c>
      <c r="B183" s="26" t="s">
        <v>81</v>
      </c>
      <c r="C183" s="27" t="n">
        <v>-11362</v>
      </c>
      <c r="D183" s="28" t="n">
        <f aca="false">C183/$T$1*100</f>
        <v>-0.710125</v>
      </c>
      <c r="E183" s="28" t="n">
        <f aca="false">E182+D183</f>
        <v>99.372380625</v>
      </c>
      <c r="F183" s="28" t="n">
        <f aca="false">MAX(0,MAX($E$2:E183))</f>
        <v>100.082505625</v>
      </c>
      <c r="G183" s="28" t="n">
        <f aca="false">E183-F183</f>
        <v>-0.710125000000005</v>
      </c>
      <c r="H183" s="25" t="n">
        <f aca="false">IF(G183&gt;=-0.0000001,A183,H182)</f>
        <v>46091</v>
      </c>
      <c r="I183" s="29" t="n">
        <f aca="false">IF(AND(G183&gt;=-0.0000001,G182&lt;0),1,0)</f>
        <v>0</v>
      </c>
      <c r="J183" s="30" t="str">
        <f aca="false">IF(I183=1,A183-H182,"")</f>
        <v/>
      </c>
      <c r="K183" s="27" t="n">
        <f aca="false">IF(B183="Wednesday",0,C183)</f>
        <v>0</v>
      </c>
      <c r="L183" s="28" t="n">
        <f aca="false">L182+K183/$T$1*100</f>
        <v>115.99278625</v>
      </c>
      <c r="M183" s="28" t="n">
        <f aca="false">MAX(0,MAX($L$2:L183))</f>
        <v>115.99278625</v>
      </c>
      <c r="N183" s="28" t="n">
        <f aca="false">L183-M183</f>
        <v>0</v>
      </c>
      <c r="O183" s="25" t="n">
        <f aca="false">IF(N183&gt;=-0.0000001,A183,O182)</f>
        <v>46092</v>
      </c>
      <c r="P183" s="29" t="n">
        <f aca="false">IF(AND(N183&gt;=-0.0000001,N182&lt;0),1,0)</f>
        <v>0</v>
      </c>
      <c r="Q183" s="30" t="str">
        <f aca="false">IF(P183=1,A183-O182,"")</f>
        <v/>
      </c>
    </row>
    <row r="184" customFormat="false" ht="15" hidden="false" customHeight="false" outlineLevel="0" collapsed="false">
      <c r="A184" s="25" t="n">
        <v>46093</v>
      </c>
      <c r="B184" s="26" t="s">
        <v>82</v>
      </c>
      <c r="C184" s="27" t="n">
        <v>15795</v>
      </c>
      <c r="D184" s="28" t="n">
        <f aca="false">C184/$T$1*100</f>
        <v>0.9871875</v>
      </c>
      <c r="E184" s="28" t="n">
        <f aca="false">E183+D184</f>
        <v>100.359568125</v>
      </c>
      <c r="F184" s="28" t="n">
        <f aca="false">MAX(0,MAX($E$2:E184))</f>
        <v>100.359568125</v>
      </c>
      <c r="G184" s="28" t="n">
        <f aca="false">E184-F184</f>
        <v>0</v>
      </c>
      <c r="H184" s="25" t="n">
        <f aca="false">IF(G184&gt;=-0.0000001,A184,H183)</f>
        <v>46093</v>
      </c>
      <c r="I184" s="29" t="n">
        <f aca="false">IF(AND(G184&gt;=-0.0000001,G183&lt;0),1,0)</f>
        <v>1</v>
      </c>
      <c r="J184" s="30" t="n">
        <f aca="false">IF(I184=1,A184-H183,"")</f>
        <v>2</v>
      </c>
      <c r="K184" s="27" t="n">
        <f aca="false">IF(B184="Wednesday",0,C184)</f>
        <v>15795</v>
      </c>
      <c r="L184" s="28" t="n">
        <f aca="false">L183+K184/$T$1*100</f>
        <v>116.97997375</v>
      </c>
      <c r="M184" s="28" t="n">
        <f aca="false">MAX(0,MAX($L$2:L184))</f>
        <v>116.97997375</v>
      </c>
      <c r="N184" s="28" t="n">
        <f aca="false">L184-M184</f>
        <v>0</v>
      </c>
      <c r="O184" s="25" t="n">
        <f aca="false">IF(N184&gt;=-0.0000001,A184,O183)</f>
        <v>46093</v>
      </c>
      <c r="P184" s="29" t="n">
        <f aca="false">IF(AND(N184&gt;=-0.0000001,N183&lt;0),1,0)</f>
        <v>0</v>
      </c>
      <c r="Q184" s="30" t="str">
        <f aca="false">IF(P184=1,A184-O183,"")</f>
        <v/>
      </c>
    </row>
    <row r="185" customFormat="false" ht="15" hidden="false" customHeight="false" outlineLevel="0" collapsed="false">
      <c r="A185" s="25" t="n">
        <v>46094</v>
      </c>
      <c r="B185" s="26" t="s">
        <v>83</v>
      </c>
      <c r="C185" s="27" t="n">
        <v>-12025</v>
      </c>
      <c r="D185" s="28" t="n">
        <f aca="false">C185/$T$1*100</f>
        <v>-0.7515625</v>
      </c>
      <c r="E185" s="28" t="n">
        <f aca="false">E184+D185</f>
        <v>99.608005625</v>
      </c>
      <c r="F185" s="28" t="n">
        <f aca="false">MAX(0,MAX($E$2:E185))</f>
        <v>100.359568125</v>
      </c>
      <c r="G185" s="28" t="n">
        <f aca="false">E185-F185</f>
        <v>-0.751562500000006</v>
      </c>
      <c r="H185" s="25" t="n">
        <f aca="false">IF(G185&gt;=-0.0000001,A185,H184)</f>
        <v>46093</v>
      </c>
      <c r="I185" s="29" t="n">
        <f aca="false">IF(AND(G185&gt;=-0.0000001,G184&lt;0),1,0)</f>
        <v>0</v>
      </c>
      <c r="J185" s="30" t="str">
        <f aca="false">IF(I185=1,A185-H184,"")</f>
        <v/>
      </c>
      <c r="K185" s="27" t="n">
        <f aca="false">IF(B185="Wednesday",0,C185)</f>
        <v>-12025</v>
      </c>
      <c r="L185" s="28" t="n">
        <f aca="false">L184+K185/$T$1*100</f>
        <v>116.22841125</v>
      </c>
      <c r="M185" s="28" t="n">
        <f aca="false">MAX(0,MAX($L$2:L185))</f>
        <v>116.97997375</v>
      </c>
      <c r="N185" s="28" t="n">
        <f aca="false">L185-M185</f>
        <v>-0.751562500000006</v>
      </c>
      <c r="O185" s="25" t="n">
        <f aca="false">IF(N185&gt;=-0.0000001,A185,O184)</f>
        <v>46093</v>
      </c>
      <c r="P185" s="29" t="n">
        <f aca="false">IF(AND(N185&gt;=-0.0000001,N184&lt;0),1,0)</f>
        <v>0</v>
      </c>
      <c r="Q185" s="30" t="str">
        <f aca="false">IF(P185=1,A185-O184,"")</f>
        <v/>
      </c>
    </row>
    <row r="186" customFormat="false" ht="15" hidden="false" customHeight="false" outlineLevel="0" collapsed="false">
      <c r="A186" s="25" t="n">
        <v>46097</v>
      </c>
      <c r="B186" s="26" t="s">
        <v>79</v>
      </c>
      <c r="C186" s="27" t="n">
        <v>-7575.75</v>
      </c>
      <c r="D186" s="28" t="n">
        <f aca="false">C186/$T$1*100</f>
        <v>-0.473484375</v>
      </c>
      <c r="E186" s="28" t="n">
        <f aca="false">E185+D186</f>
        <v>99.13452125</v>
      </c>
      <c r="F186" s="28" t="n">
        <f aca="false">MAX(0,MAX($E$2:E186))</f>
        <v>100.359568125</v>
      </c>
      <c r="G186" s="28" t="n">
        <f aca="false">E186-F186</f>
        <v>-1.225046875</v>
      </c>
      <c r="H186" s="25" t="n">
        <f aca="false">IF(G186&gt;=-0.0000001,A186,H185)</f>
        <v>46093</v>
      </c>
      <c r="I186" s="29" t="n">
        <f aca="false">IF(AND(G186&gt;=-0.0000001,G185&lt;0),1,0)</f>
        <v>0</v>
      </c>
      <c r="J186" s="30" t="str">
        <f aca="false">IF(I186=1,A186-H185,"")</f>
        <v/>
      </c>
      <c r="K186" s="27" t="n">
        <f aca="false">IF(B186="Wednesday",0,C186)</f>
        <v>-7575.75</v>
      </c>
      <c r="L186" s="28" t="n">
        <f aca="false">L185+K186/$T$1*100</f>
        <v>115.754926875</v>
      </c>
      <c r="M186" s="28" t="n">
        <f aca="false">MAX(0,MAX($L$2:L186))</f>
        <v>116.97997375</v>
      </c>
      <c r="N186" s="28" t="n">
        <f aca="false">L186-M186</f>
        <v>-1.225046875</v>
      </c>
      <c r="O186" s="25" t="n">
        <f aca="false">IF(N186&gt;=-0.0000001,A186,O185)</f>
        <v>46093</v>
      </c>
      <c r="P186" s="29" t="n">
        <f aca="false">IF(AND(N186&gt;=-0.0000001,N185&lt;0),1,0)</f>
        <v>0</v>
      </c>
      <c r="Q186" s="30" t="str">
        <f aca="false">IF(P186=1,A186-O185,"")</f>
        <v/>
      </c>
    </row>
    <row r="187" customFormat="false" ht="15" hidden="false" customHeight="false" outlineLevel="0" collapsed="false">
      <c r="A187" s="25" t="n">
        <v>46098</v>
      </c>
      <c r="B187" s="26" t="s">
        <v>80</v>
      </c>
      <c r="C187" s="27" t="n">
        <v>4904.25</v>
      </c>
      <c r="D187" s="28" t="n">
        <f aca="false">C187/$T$1*100</f>
        <v>0.306515625</v>
      </c>
      <c r="E187" s="28" t="n">
        <f aca="false">E186+D187</f>
        <v>99.441036875</v>
      </c>
      <c r="F187" s="28" t="n">
        <f aca="false">MAX(0,MAX($E$2:E187))</f>
        <v>100.359568125</v>
      </c>
      <c r="G187" s="28" t="n">
        <f aca="false">E187-F187</f>
        <v>-0.918531250000001</v>
      </c>
      <c r="H187" s="25" t="n">
        <f aca="false">IF(G187&gt;=-0.0000001,A187,H186)</f>
        <v>46093</v>
      </c>
      <c r="I187" s="29" t="n">
        <f aca="false">IF(AND(G187&gt;=-0.0000001,G186&lt;0),1,0)</f>
        <v>0</v>
      </c>
      <c r="J187" s="30" t="str">
        <f aca="false">IF(I187=1,A187-H186,"")</f>
        <v/>
      </c>
      <c r="K187" s="27" t="n">
        <f aca="false">IF(B187="Wednesday",0,C187)</f>
        <v>4904.25</v>
      </c>
      <c r="L187" s="28" t="n">
        <f aca="false">L186+K187/$T$1*100</f>
        <v>116.0614425</v>
      </c>
      <c r="M187" s="28" t="n">
        <f aca="false">MAX(0,MAX($L$2:L187))</f>
        <v>116.97997375</v>
      </c>
      <c r="N187" s="28" t="n">
        <f aca="false">L187-M187</f>
        <v>-0.918531250000001</v>
      </c>
      <c r="O187" s="25" t="n">
        <f aca="false">IF(N187&gt;=-0.0000001,A187,O186)</f>
        <v>46093</v>
      </c>
      <c r="P187" s="29" t="n">
        <f aca="false">IF(AND(N187&gt;=-0.0000001,N186&lt;0),1,0)</f>
        <v>0</v>
      </c>
      <c r="Q187" s="30" t="str">
        <f aca="false">IF(P187=1,A187-O186,"")</f>
        <v/>
      </c>
    </row>
    <row r="188" customFormat="false" ht="15" hidden="false" customHeight="false" outlineLevel="0" collapsed="false">
      <c r="A188" s="25" t="n">
        <v>46099</v>
      </c>
      <c r="B188" s="26" t="s">
        <v>81</v>
      </c>
      <c r="C188" s="27" t="n">
        <v>3705</v>
      </c>
      <c r="D188" s="28" t="n">
        <f aca="false">C188/$T$1*100</f>
        <v>0.2315625</v>
      </c>
      <c r="E188" s="28" t="n">
        <f aca="false">E187+D188</f>
        <v>99.672599375</v>
      </c>
      <c r="F188" s="28" t="n">
        <f aca="false">MAX(0,MAX($E$2:E188))</f>
        <v>100.359568125</v>
      </c>
      <c r="G188" s="28" t="n">
        <f aca="false">E188-F188</f>
        <v>-0.686968750000006</v>
      </c>
      <c r="H188" s="25" t="n">
        <f aca="false">IF(G188&gt;=-0.0000001,A188,H187)</f>
        <v>46093</v>
      </c>
      <c r="I188" s="29" t="n">
        <f aca="false">IF(AND(G188&gt;=-0.0000001,G187&lt;0),1,0)</f>
        <v>0</v>
      </c>
      <c r="J188" s="30" t="str">
        <f aca="false">IF(I188=1,A188-H187,"")</f>
        <v/>
      </c>
      <c r="K188" s="27" t="n">
        <f aca="false">IF(B188="Wednesday",0,C188)</f>
        <v>0</v>
      </c>
      <c r="L188" s="28" t="n">
        <f aca="false">L187+K188/$T$1*100</f>
        <v>116.0614425</v>
      </c>
      <c r="M188" s="28" t="n">
        <f aca="false">MAX(0,MAX($L$2:L188))</f>
        <v>116.97997375</v>
      </c>
      <c r="N188" s="28" t="n">
        <f aca="false">L188-M188</f>
        <v>-0.918531250000001</v>
      </c>
      <c r="O188" s="25" t="n">
        <f aca="false">IF(N188&gt;=-0.0000001,A188,O187)</f>
        <v>46093</v>
      </c>
      <c r="P188" s="29" t="n">
        <f aca="false">IF(AND(N188&gt;=-0.0000001,N187&lt;0),1,0)</f>
        <v>0</v>
      </c>
      <c r="Q188" s="30" t="str">
        <f aca="false">IF(P188=1,A188-O187,"")</f>
        <v/>
      </c>
    </row>
    <row r="189" customFormat="false" ht="15" hidden="false" customHeight="false" outlineLevel="0" collapsed="false">
      <c r="A189" s="25" t="n">
        <v>46100</v>
      </c>
      <c r="B189" s="26" t="s">
        <v>82</v>
      </c>
      <c r="C189" s="27" t="n">
        <v>74067.5</v>
      </c>
      <c r="D189" s="28" t="n">
        <f aca="false">C189/$T$1*100</f>
        <v>4.62921875</v>
      </c>
      <c r="E189" s="28" t="n">
        <f aca="false">E188+D189</f>
        <v>104.301818125</v>
      </c>
      <c r="F189" s="28" t="n">
        <f aca="false">MAX(0,MAX($E$2:E189))</f>
        <v>104.301818125</v>
      </c>
      <c r="G189" s="28" t="n">
        <f aca="false">E189-F189</f>
        <v>0</v>
      </c>
      <c r="H189" s="25" t="n">
        <f aca="false">IF(G189&gt;=-0.0000001,A189,H188)</f>
        <v>46100</v>
      </c>
      <c r="I189" s="29" t="n">
        <f aca="false">IF(AND(G189&gt;=-0.0000001,G188&lt;0),1,0)</f>
        <v>1</v>
      </c>
      <c r="J189" s="30" t="n">
        <f aca="false">IF(I189=1,A189-H188,"")</f>
        <v>7</v>
      </c>
      <c r="K189" s="27" t="n">
        <f aca="false">IF(B189="Wednesday",0,C189)</f>
        <v>74067.5</v>
      </c>
      <c r="L189" s="28" t="n">
        <f aca="false">L188+K189/$T$1*100</f>
        <v>120.69066125</v>
      </c>
      <c r="M189" s="28" t="n">
        <f aca="false">MAX(0,MAX($L$2:L189))</f>
        <v>120.69066125</v>
      </c>
      <c r="N189" s="28" t="n">
        <f aca="false">L189-M189</f>
        <v>0</v>
      </c>
      <c r="O189" s="25" t="n">
        <f aca="false">IF(N189&gt;=-0.0000001,A189,O188)</f>
        <v>46100</v>
      </c>
      <c r="P189" s="29" t="n">
        <f aca="false">IF(AND(N189&gt;=-0.0000001,N188&lt;0),1,0)</f>
        <v>1</v>
      </c>
      <c r="Q189" s="30" t="n">
        <f aca="false">IF(P189=1,A189-O188,"")</f>
        <v>7</v>
      </c>
    </row>
    <row r="190" customFormat="false" ht="15" hidden="false" customHeight="false" outlineLevel="0" collapsed="false">
      <c r="A190" s="25" t="n">
        <v>46101</v>
      </c>
      <c r="B190" s="26" t="s">
        <v>83</v>
      </c>
      <c r="C190" s="27" t="n">
        <v>-14283.75</v>
      </c>
      <c r="D190" s="28" t="n">
        <f aca="false">C190/$T$1*100</f>
        <v>-0.892734375</v>
      </c>
      <c r="E190" s="28" t="n">
        <f aca="false">E189+D190</f>
        <v>103.40908375</v>
      </c>
      <c r="F190" s="28" t="n">
        <f aca="false">MAX(0,MAX($E$2:E190))</f>
        <v>104.301818125</v>
      </c>
      <c r="G190" s="28" t="n">
        <f aca="false">E190-F190</f>
        <v>-0.892734375000003</v>
      </c>
      <c r="H190" s="25" t="n">
        <f aca="false">IF(G190&gt;=-0.0000001,A190,H189)</f>
        <v>46100</v>
      </c>
      <c r="I190" s="29" t="n">
        <f aca="false">IF(AND(G190&gt;=-0.0000001,G189&lt;0),1,0)</f>
        <v>0</v>
      </c>
      <c r="J190" s="30" t="str">
        <f aca="false">IF(I190=1,A190-H189,"")</f>
        <v/>
      </c>
      <c r="K190" s="27" t="n">
        <f aca="false">IF(B190="Wednesday",0,C190)</f>
        <v>-14283.75</v>
      </c>
      <c r="L190" s="28" t="n">
        <f aca="false">L189+K190/$T$1*100</f>
        <v>119.797926875</v>
      </c>
      <c r="M190" s="28" t="n">
        <f aca="false">MAX(0,MAX($L$2:L190))</f>
        <v>120.69066125</v>
      </c>
      <c r="N190" s="28" t="n">
        <f aca="false">L190-M190</f>
        <v>-0.892734375000003</v>
      </c>
      <c r="O190" s="25" t="n">
        <f aca="false">IF(N190&gt;=-0.0000001,A190,O189)</f>
        <v>46100</v>
      </c>
      <c r="P190" s="29" t="n">
        <f aca="false">IF(AND(N190&gt;=-0.0000001,N189&lt;0),1,0)</f>
        <v>0</v>
      </c>
      <c r="Q190" s="30" t="str">
        <f aca="false">IF(P190=1,A190-O189,"")</f>
        <v/>
      </c>
    </row>
    <row r="191" customFormat="false" ht="15" hidden="false" customHeight="false" outlineLevel="0" collapsed="false">
      <c r="A191" s="25" t="n">
        <v>46104</v>
      </c>
      <c r="B191" s="26" t="s">
        <v>79</v>
      </c>
      <c r="C191" s="27" t="n">
        <v>80707.25</v>
      </c>
      <c r="D191" s="28" t="n">
        <f aca="false">C191/$T$1*100</f>
        <v>5.044203125</v>
      </c>
      <c r="E191" s="28" t="n">
        <f aca="false">E190+D191</f>
        <v>108.453286875</v>
      </c>
      <c r="F191" s="28" t="n">
        <f aca="false">MAX(0,MAX($E$2:E191))</f>
        <v>108.453286875</v>
      </c>
      <c r="G191" s="28" t="n">
        <f aca="false">E191-F191</f>
        <v>0</v>
      </c>
      <c r="H191" s="25" t="n">
        <f aca="false">IF(G191&gt;=-0.0000001,A191,H190)</f>
        <v>46104</v>
      </c>
      <c r="I191" s="29" t="n">
        <f aca="false">IF(AND(G191&gt;=-0.0000001,G190&lt;0),1,0)</f>
        <v>1</v>
      </c>
      <c r="J191" s="30" t="n">
        <f aca="false">IF(I191=1,A191-H190,"")</f>
        <v>4</v>
      </c>
      <c r="K191" s="27" t="n">
        <f aca="false">IF(B191="Wednesday",0,C191)</f>
        <v>80707.25</v>
      </c>
      <c r="L191" s="28" t="n">
        <f aca="false">L190+K191/$T$1*100</f>
        <v>124.84213</v>
      </c>
      <c r="M191" s="28" t="n">
        <f aca="false">MAX(0,MAX($L$2:L191))</f>
        <v>124.84213</v>
      </c>
      <c r="N191" s="28" t="n">
        <f aca="false">L191-M191</f>
        <v>0</v>
      </c>
      <c r="O191" s="25" t="n">
        <f aca="false">IF(N191&gt;=-0.0000001,A191,O190)</f>
        <v>46104</v>
      </c>
      <c r="P191" s="29" t="n">
        <f aca="false">IF(AND(N191&gt;=-0.0000001,N190&lt;0),1,0)</f>
        <v>1</v>
      </c>
      <c r="Q191" s="30" t="n">
        <f aca="false">IF(P191=1,A191-O190,"")</f>
        <v>4</v>
      </c>
    </row>
    <row r="192" customFormat="false" ht="15" hidden="false" customHeight="false" outlineLevel="0" collapsed="false">
      <c r="A192" s="25" t="n">
        <v>46105</v>
      </c>
      <c r="B192" s="26" t="s">
        <v>80</v>
      </c>
      <c r="C192" s="27" t="n">
        <v>-25606.75</v>
      </c>
      <c r="D192" s="28" t="n">
        <f aca="false">C192/$T$1*100</f>
        <v>-1.600421875</v>
      </c>
      <c r="E192" s="28" t="n">
        <f aca="false">E191+D192</f>
        <v>106.852865</v>
      </c>
      <c r="F192" s="28" t="n">
        <f aca="false">MAX(0,MAX($E$2:E192))</f>
        <v>108.453286875</v>
      </c>
      <c r="G192" s="28" t="n">
        <f aca="false">E192-F192</f>
        <v>-1.600421875</v>
      </c>
      <c r="H192" s="25" t="n">
        <f aca="false">IF(G192&gt;=-0.0000001,A192,H191)</f>
        <v>46104</v>
      </c>
      <c r="I192" s="29" t="n">
        <f aca="false">IF(AND(G192&gt;=-0.0000001,G191&lt;0),1,0)</f>
        <v>0</v>
      </c>
      <c r="J192" s="30" t="str">
        <f aca="false">IF(I192=1,A192-H191,"")</f>
        <v/>
      </c>
      <c r="K192" s="27" t="n">
        <f aca="false">IF(B192="Wednesday",0,C192)</f>
        <v>-25606.75</v>
      </c>
      <c r="L192" s="28" t="n">
        <f aca="false">L191+K192/$T$1*100</f>
        <v>123.241708125</v>
      </c>
      <c r="M192" s="28" t="n">
        <f aca="false">MAX(0,MAX($L$2:L192))</f>
        <v>124.84213</v>
      </c>
      <c r="N192" s="28" t="n">
        <f aca="false">L192-M192</f>
        <v>-1.600421875</v>
      </c>
      <c r="O192" s="25" t="n">
        <f aca="false">IF(N192&gt;=-0.0000001,A192,O191)</f>
        <v>46104</v>
      </c>
      <c r="P192" s="29" t="n">
        <f aca="false">IF(AND(N192&gt;=-0.0000001,N191&lt;0),1,0)</f>
        <v>0</v>
      </c>
      <c r="Q192" s="30" t="str">
        <f aca="false">IF(P192=1,A192-O191,"")</f>
        <v/>
      </c>
    </row>
    <row r="193" customFormat="false" ht="15" hidden="false" customHeight="false" outlineLevel="0" collapsed="false">
      <c r="A193" s="25" t="n">
        <v>46106</v>
      </c>
      <c r="B193" s="26" t="s">
        <v>81</v>
      </c>
      <c r="C193" s="27" t="n">
        <v>-19526</v>
      </c>
      <c r="D193" s="28" t="n">
        <f aca="false">C193/$T$1*100</f>
        <v>-1.220375</v>
      </c>
      <c r="E193" s="28" t="n">
        <f aca="false">E192+D193</f>
        <v>105.63249</v>
      </c>
      <c r="F193" s="28" t="n">
        <f aca="false">MAX(0,MAX($E$2:E193))</f>
        <v>108.453286875</v>
      </c>
      <c r="G193" s="28" t="n">
        <f aca="false">E193-F193</f>
        <v>-2.820796875</v>
      </c>
      <c r="H193" s="25" t="n">
        <f aca="false">IF(G193&gt;=-0.0000001,A193,H192)</f>
        <v>46104</v>
      </c>
      <c r="I193" s="29" t="n">
        <f aca="false">IF(AND(G193&gt;=-0.0000001,G192&lt;0),1,0)</f>
        <v>0</v>
      </c>
      <c r="J193" s="30" t="str">
        <f aca="false">IF(I193=1,A193-H192,"")</f>
        <v/>
      </c>
      <c r="K193" s="27" t="n">
        <f aca="false">IF(B193="Wednesday",0,C193)</f>
        <v>0</v>
      </c>
      <c r="L193" s="28" t="n">
        <f aca="false">L192+K193/$T$1*100</f>
        <v>123.241708125</v>
      </c>
      <c r="M193" s="28" t="n">
        <f aca="false">MAX(0,MAX($L$2:L193))</f>
        <v>124.84213</v>
      </c>
      <c r="N193" s="28" t="n">
        <f aca="false">L193-M193</f>
        <v>-1.600421875</v>
      </c>
      <c r="O193" s="25" t="n">
        <f aca="false">IF(N193&gt;=-0.0000001,A193,O192)</f>
        <v>46104</v>
      </c>
      <c r="P193" s="29" t="n">
        <f aca="false">IF(AND(N193&gt;=-0.0000001,N192&lt;0),1,0)</f>
        <v>0</v>
      </c>
      <c r="Q193" s="30" t="str">
        <f aca="false">IF(P193=1,A193-O192,"")</f>
        <v/>
      </c>
    </row>
    <row r="194" customFormat="false" ht="15" hidden="false" customHeight="false" outlineLevel="0" collapsed="false">
      <c r="A194" s="25" t="n">
        <v>46108</v>
      </c>
      <c r="B194" s="26" t="s">
        <v>83</v>
      </c>
      <c r="C194" s="27" t="n">
        <v>-11466</v>
      </c>
      <c r="D194" s="28" t="n">
        <f aca="false">C194/$T$1*100</f>
        <v>-0.716625</v>
      </c>
      <c r="E194" s="28" t="n">
        <f aca="false">E193+D194</f>
        <v>104.915865</v>
      </c>
      <c r="F194" s="28" t="n">
        <f aca="false">MAX(0,MAX($E$2:E194))</f>
        <v>108.453286875</v>
      </c>
      <c r="G194" s="28" t="n">
        <f aca="false">E194-F194</f>
        <v>-3.53742187499999</v>
      </c>
      <c r="H194" s="25" t="n">
        <f aca="false">IF(G194&gt;=-0.0000001,A194,H193)</f>
        <v>46104</v>
      </c>
      <c r="I194" s="29" t="n">
        <f aca="false">IF(AND(G194&gt;=-0.0000001,G193&lt;0),1,0)</f>
        <v>0</v>
      </c>
      <c r="J194" s="30" t="str">
        <f aca="false">IF(I194=1,A194-H193,"")</f>
        <v/>
      </c>
      <c r="K194" s="27" t="n">
        <f aca="false">IF(B194="Wednesday",0,C194)</f>
        <v>-11466</v>
      </c>
      <c r="L194" s="28" t="n">
        <f aca="false">L193+K194/$T$1*100</f>
        <v>122.525083125</v>
      </c>
      <c r="M194" s="28" t="n">
        <f aca="false">MAX(0,MAX($L$2:L194))</f>
        <v>124.84213</v>
      </c>
      <c r="N194" s="28" t="n">
        <f aca="false">L194-M194</f>
        <v>-2.31704687499999</v>
      </c>
      <c r="O194" s="25" t="n">
        <f aca="false">IF(N194&gt;=-0.0000001,A194,O193)</f>
        <v>46104</v>
      </c>
      <c r="P194" s="29" t="n">
        <f aca="false">IF(AND(N194&gt;=-0.0000001,N193&lt;0),1,0)</f>
        <v>0</v>
      </c>
      <c r="Q194" s="30" t="str">
        <f aca="false">IF(P194=1,A194-O193,"")</f>
        <v/>
      </c>
    </row>
    <row r="195" customFormat="false" ht="15" hidden="false" customHeight="false" outlineLevel="0" collapsed="false">
      <c r="A195" s="25" t="n">
        <v>46111</v>
      </c>
      <c r="B195" s="26" t="s">
        <v>79</v>
      </c>
      <c r="C195" s="27" t="n">
        <v>3032.25</v>
      </c>
      <c r="D195" s="28" t="n">
        <f aca="false">C195/$T$1*100</f>
        <v>0.189515625</v>
      </c>
      <c r="E195" s="28" t="n">
        <f aca="false">E194+D195</f>
        <v>105.105380625</v>
      </c>
      <c r="F195" s="28" t="n">
        <f aca="false">MAX(0,MAX($E$2:E195))</f>
        <v>108.453286875</v>
      </c>
      <c r="G195" s="28" t="n">
        <f aca="false">E195-F195</f>
        <v>-3.34790624999999</v>
      </c>
      <c r="H195" s="25" t="n">
        <f aca="false">IF(G195&gt;=-0.0000001,A195,H194)</f>
        <v>46104</v>
      </c>
      <c r="I195" s="29" t="n">
        <f aca="false">IF(AND(G195&gt;=-0.0000001,G194&lt;0),1,0)</f>
        <v>0</v>
      </c>
      <c r="J195" s="30" t="str">
        <f aca="false">IF(I195=1,A195-H194,"")</f>
        <v/>
      </c>
      <c r="K195" s="27" t="n">
        <f aca="false">IF(B195="Wednesday",0,C195)</f>
        <v>3032.25</v>
      </c>
      <c r="L195" s="28" t="n">
        <f aca="false">L194+K195/$T$1*100</f>
        <v>122.71459875</v>
      </c>
      <c r="M195" s="28" t="n">
        <f aca="false">MAX(0,MAX($L$2:L195))</f>
        <v>124.84213</v>
      </c>
      <c r="N195" s="28" t="n">
        <f aca="false">L195-M195</f>
        <v>-2.12753124999999</v>
      </c>
      <c r="O195" s="25" t="n">
        <f aca="false">IF(N195&gt;=-0.0000001,A195,O194)</f>
        <v>46104</v>
      </c>
      <c r="P195" s="29" t="n">
        <f aca="false">IF(AND(N195&gt;=-0.0000001,N194&lt;0),1,0)</f>
        <v>0</v>
      </c>
      <c r="Q195" s="30" t="str">
        <f aca="false">IF(P195=1,A195-O194,"")</f>
        <v/>
      </c>
    </row>
    <row r="196" customFormat="false" ht="15" hidden="false" customHeight="false" outlineLevel="0" collapsed="false">
      <c r="A196" s="25" t="n">
        <v>46114</v>
      </c>
      <c r="B196" s="26" t="s">
        <v>82</v>
      </c>
      <c r="C196" s="27" t="n">
        <v>80093</v>
      </c>
      <c r="D196" s="28" t="n">
        <f aca="false">C196/$T$1*100</f>
        <v>5.0058125</v>
      </c>
      <c r="E196" s="28" t="n">
        <f aca="false">E195+D196</f>
        <v>110.111193125</v>
      </c>
      <c r="F196" s="28" t="n">
        <f aca="false">MAX(0,MAX($E$2:E196))</f>
        <v>110.111193125</v>
      </c>
      <c r="G196" s="28" t="n">
        <f aca="false">E196-F196</f>
        <v>0</v>
      </c>
      <c r="H196" s="25" t="n">
        <f aca="false">IF(G196&gt;=-0.0000001,A196,H195)</f>
        <v>46114</v>
      </c>
      <c r="I196" s="29" t="n">
        <f aca="false">IF(AND(G196&gt;=-0.0000001,G195&lt;0),1,0)</f>
        <v>1</v>
      </c>
      <c r="J196" s="30" t="n">
        <f aca="false">IF(I196=1,A196-H195,"")</f>
        <v>10</v>
      </c>
      <c r="K196" s="27" t="n">
        <f aca="false">IF(B196="Wednesday",0,C196)</f>
        <v>80093</v>
      </c>
      <c r="L196" s="28" t="n">
        <f aca="false">L195+K196/$T$1*100</f>
        <v>127.72041125</v>
      </c>
      <c r="M196" s="28" t="n">
        <f aca="false">MAX(0,MAX($L$2:L196))</f>
        <v>127.72041125</v>
      </c>
      <c r="N196" s="28" t="n">
        <f aca="false">L196-M196</f>
        <v>0</v>
      </c>
      <c r="O196" s="25" t="n">
        <f aca="false">IF(N196&gt;=-0.0000001,A196,O195)</f>
        <v>46114</v>
      </c>
      <c r="P196" s="29" t="n">
        <f aca="false">IF(AND(N196&gt;=-0.0000001,N195&lt;0),1,0)</f>
        <v>1</v>
      </c>
      <c r="Q196" s="30" t="n">
        <f aca="false">IF(P196=1,A196-O195,"")</f>
        <v>10</v>
      </c>
    </row>
    <row r="197" customFormat="false" ht="15" hidden="false" customHeight="false" outlineLevel="0" collapsed="false">
      <c r="A197" s="25" t="n">
        <v>46118</v>
      </c>
      <c r="B197" s="26" t="s">
        <v>79</v>
      </c>
      <c r="C197" s="27" t="n">
        <v>-50999</v>
      </c>
      <c r="D197" s="28" t="n">
        <f aca="false">C197/$T$1*100</f>
        <v>-3.1874375</v>
      </c>
      <c r="E197" s="28" t="n">
        <f aca="false">E196+D197</f>
        <v>106.923755625</v>
      </c>
      <c r="F197" s="28" t="n">
        <f aca="false">MAX(0,MAX($E$2:E197))</f>
        <v>110.111193125</v>
      </c>
      <c r="G197" s="28" t="n">
        <f aca="false">E197-F197</f>
        <v>-3.1874375</v>
      </c>
      <c r="H197" s="25" t="n">
        <f aca="false">IF(G197&gt;=-0.0000001,A197,H196)</f>
        <v>46114</v>
      </c>
      <c r="I197" s="29" t="n">
        <f aca="false">IF(AND(G197&gt;=-0.0000001,G196&lt;0),1,0)</f>
        <v>0</v>
      </c>
      <c r="J197" s="30" t="str">
        <f aca="false">IF(I197=1,A197-H196,"")</f>
        <v/>
      </c>
      <c r="K197" s="27" t="n">
        <f aca="false">IF(B197="Wednesday",0,C197)</f>
        <v>-50999</v>
      </c>
      <c r="L197" s="28" t="n">
        <f aca="false">L196+K197/$T$1*100</f>
        <v>124.53297375</v>
      </c>
      <c r="M197" s="28" t="n">
        <f aca="false">MAX(0,MAX($L$2:L197))</f>
        <v>127.72041125</v>
      </c>
      <c r="N197" s="28" t="n">
        <f aca="false">L197-M197</f>
        <v>-3.1874375</v>
      </c>
      <c r="O197" s="25" t="n">
        <f aca="false">IF(N197&gt;=-0.0000001,A197,O196)</f>
        <v>46114</v>
      </c>
      <c r="P197" s="29" t="n">
        <f aca="false">IF(AND(N197&gt;=-0.0000001,N196&lt;0),1,0)</f>
        <v>0</v>
      </c>
      <c r="Q197" s="30" t="str">
        <f aca="false">IF(P197=1,A197-O196,"")</f>
        <v/>
      </c>
    </row>
    <row r="198" customFormat="false" ht="15" hidden="false" customHeight="false" outlineLevel="0" collapsed="false">
      <c r="A198" s="25" t="n">
        <v>46119</v>
      </c>
      <c r="B198" s="26" t="s">
        <v>80</v>
      </c>
      <c r="C198" s="27" t="n">
        <v>17085.25</v>
      </c>
      <c r="D198" s="28" t="n">
        <f aca="false">C198/$T$1*100</f>
        <v>1.067828125</v>
      </c>
      <c r="E198" s="28" t="n">
        <f aca="false">E197+D198</f>
        <v>107.99158375</v>
      </c>
      <c r="F198" s="28" t="n">
        <f aca="false">MAX(0,MAX($E$2:E198))</f>
        <v>110.111193125</v>
      </c>
      <c r="G198" s="28" t="n">
        <f aca="false">E198-F198</f>
        <v>-2.119609375</v>
      </c>
      <c r="H198" s="25" t="n">
        <f aca="false">IF(G198&gt;=-0.0000001,A198,H197)</f>
        <v>46114</v>
      </c>
      <c r="I198" s="29" t="n">
        <f aca="false">IF(AND(G198&gt;=-0.0000001,G197&lt;0),1,0)</f>
        <v>0</v>
      </c>
      <c r="J198" s="30" t="str">
        <f aca="false">IF(I198=1,A198-H197,"")</f>
        <v/>
      </c>
      <c r="K198" s="27" t="n">
        <f aca="false">IF(B198="Wednesday",0,C198)</f>
        <v>17085.25</v>
      </c>
      <c r="L198" s="28" t="n">
        <f aca="false">L197+K198/$T$1*100</f>
        <v>125.600801875</v>
      </c>
      <c r="M198" s="28" t="n">
        <f aca="false">MAX(0,MAX($L$2:L198))</f>
        <v>127.72041125</v>
      </c>
      <c r="N198" s="28" t="n">
        <f aca="false">L198-M198</f>
        <v>-2.119609375</v>
      </c>
      <c r="O198" s="25" t="n">
        <f aca="false">IF(N198&gt;=-0.0000001,A198,O197)</f>
        <v>46114</v>
      </c>
      <c r="P198" s="29" t="n">
        <f aca="false">IF(AND(N198&gt;=-0.0000001,N197&lt;0),1,0)</f>
        <v>0</v>
      </c>
      <c r="Q198" s="30" t="str">
        <f aca="false">IF(P198=1,A198-O197,"")</f>
        <v/>
      </c>
    </row>
    <row r="199" customFormat="false" ht="15" hidden="false" customHeight="false" outlineLevel="0" collapsed="false">
      <c r="A199" s="25" t="n">
        <v>46120</v>
      </c>
      <c r="B199" s="26" t="s">
        <v>81</v>
      </c>
      <c r="C199" s="27" t="n">
        <v>893.75</v>
      </c>
      <c r="D199" s="28" t="n">
        <f aca="false">C199/$T$1*100</f>
        <v>0.055859375</v>
      </c>
      <c r="E199" s="28" t="n">
        <f aca="false">E198+D199</f>
        <v>108.047443125</v>
      </c>
      <c r="F199" s="28" t="n">
        <f aca="false">MAX(0,MAX($E$2:E199))</f>
        <v>110.111193125</v>
      </c>
      <c r="G199" s="28" t="n">
        <f aca="false">E199-F199</f>
        <v>-2.06375</v>
      </c>
      <c r="H199" s="25" t="n">
        <f aca="false">IF(G199&gt;=-0.0000001,A199,H198)</f>
        <v>46114</v>
      </c>
      <c r="I199" s="29" t="n">
        <f aca="false">IF(AND(G199&gt;=-0.0000001,G198&lt;0),1,0)</f>
        <v>0</v>
      </c>
      <c r="J199" s="30" t="str">
        <f aca="false">IF(I199=1,A199-H198,"")</f>
        <v/>
      </c>
      <c r="K199" s="27" t="n">
        <f aca="false">IF(B199="Wednesday",0,C199)</f>
        <v>0</v>
      </c>
      <c r="L199" s="28" t="n">
        <f aca="false">L198+K199/$T$1*100</f>
        <v>125.600801875</v>
      </c>
      <c r="M199" s="28" t="n">
        <f aca="false">MAX(0,MAX($L$2:L199))</f>
        <v>127.72041125</v>
      </c>
      <c r="N199" s="28" t="n">
        <f aca="false">L199-M199</f>
        <v>-2.119609375</v>
      </c>
      <c r="O199" s="25" t="n">
        <f aca="false">IF(N199&gt;=-0.0000001,A199,O198)</f>
        <v>46114</v>
      </c>
      <c r="P199" s="29" t="n">
        <f aca="false">IF(AND(N199&gt;=-0.0000001,N198&lt;0),1,0)</f>
        <v>0</v>
      </c>
      <c r="Q199" s="30" t="str">
        <f aca="false">IF(P199=1,A199-O198,"")</f>
        <v/>
      </c>
    </row>
    <row r="200" customFormat="false" ht="15" hidden="false" customHeight="false" outlineLevel="0" collapsed="false">
      <c r="A200" s="25" t="n">
        <v>46121</v>
      </c>
      <c r="B200" s="26" t="s">
        <v>82</v>
      </c>
      <c r="C200" s="27" t="n">
        <v>20848.75</v>
      </c>
      <c r="D200" s="28" t="n">
        <f aca="false">C200/$T$1*100</f>
        <v>1.303046875</v>
      </c>
      <c r="E200" s="28" t="n">
        <f aca="false">E199+D200</f>
        <v>109.35049</v>
      </c>
      <c r="F200" s="28" t="n">
        <f aca="false">MAX(0,MAX($E$2:E200))</f>
        <v>110.111193125</v>
      </c>
      <c r="G200" s="28" t="n">
        <f aca="false">E200-F200</f>
        <v>-0.760703124999992</v>
      </c>
      <c r="H200" s="25" t="n">
        <f aca="false">IF(G200&gt;=-0.0000001,A200,H199)</f>
        <v>46114</v>
      </c>
      <c r="I200" s="29" t="n">
        <f aca="false">IF(AND(G200&gt;=-0.0000001,G199&lt;0),1,0)</f>
        <v>0</v>
      </c>
      <c r="J200" s="30" t="str">
        <f aca="false">IF(I200=1,A200-H199,"")</f>
        <v/>
      </c>
      <c r="K200" s="27" t="n">
        <f aca="false">IF(B200="Wednesday",0,C200)</f>
        <v>20848.75</v>
      </c>
      <c r="L200" s="28" t="n">
        <f aca="false">L199+K200/$T$1*100</f>
        <v>126.90384875</v>
      </c>
      <c r="M200" s="28" t="n">
        <f aca="false">MAX(0,MAX($L$2:L200))</f>
        <v>127.72041125</v>
      </c>
      <c r="N200" s="28" t="n">
        <f aca="false">L200-M200</f>
        <v>-0.816562499999989</v>
      </c>
      <c r="O200" s="25" t="n">
        <f aca="false">IF(N200&gt;=-0.0000001,A200,O199)</f>
        <v>46114</v>
      </c>
      <c r="P200" s="29" t="n">
        <f aca="false">IF(AND(N200&gt;=-0.0000001,N199&lt;0),1,0)</f>
        <v>0</v>
      </c>
      <c r="Q200" s="30" t="str">
        <f aca="false">IF(P200=1,A200-O199,"")</f>
        <v/>
      </c>
    </row>
    <row r="201" customFormat="false" ht="15" hidden="false" customHeight="false" outlineLevel="0" collapsed="false">
      <c r="A201" s="25" t="n">
        <v>46122</v>
      </c>
      <c r="B201" s="26" t="s">
        <v>83</v>
      </c>
      <c r="C201" s="27" t="n">
        <v>2145</v>
      </c>
      <c r="D201" s="28" t="n">
        <f aca="false">C201/$T$1*100</f>
        <v>0.1340625</v>
      </c>
      <c r="E201" s="28" t="n">
        <f aca="false">E200+D201</f>
        <v>109.4845525</v>
      </c>
      <c r="F201" s="28" t="n">
        <f aca="false">MAX(0,MAX($E$2:E201))</f>
        <v>110.111193125</v>
      </c>
      <c r="G201" s="28" t="n">
        <f aca="false">E201-F201</f>
        <v>-0.626640624999993</v>
      </c>
      <c r="H201" s="25" t="n">
        <f aca="false">IF(G201&gt;=-0.0000001,A201,H200)</f>
        <v>46114</v>
      </c>
      <c r="I201" s="29" t="n">
        <f aca="false">IF(AND(G201&gt;=-0.0000001,G200&lt;0),1,0)</f>
        <v>0</v>
      </c>
      <c r="J201" s="30" t="str">
        <f aca="false">IF(I201=1,A201-H200,"")</f>
        <v/>
      </c>
      <c r="K201" s="27" t="n">
        <f aca="false">IF(B201="Wednesday",0,C201)</f>
        <v>2145</v>
      </c>
      <c r="L201" s="28" t="n">
        <f aca="false">L200+K201/$T$1*100</f>
        <v>127.03791125</v>
      </c>
      <c r="M201" s="28" t="n">
        <f aca="false">MAX(0,MAX($L$2:L201))</f>
        <v>127.72041125</v>
      </c>
      <c r="N201" s="28" t="n">
        <f aca="false">L201-M201</f>
        <v>-0.68249999999999</v>
      </c>
      <c r="O201" s="25" t="n">
        <f aca="false">IF(N201&gt;=-0.0000001,A201,O200)</f>
        <v>46114</v>
      </c>
      <c r="P201" s="29" t="n">
        <f aca="false">IF(AND(N201&gt;=-0.0000001,N200&lt;0),1,0)</f>
        <v>0</v>
      </c>
      <c r="Q201" s="30" t="str">
        <f aca="false">IF(P201=1,A201-O200,"")</f>
        <v/>
      </c>
    </row>
    <row r="202" customFormat="false" ht="15" hidden="false" customHeight="false" outlineLevel="0" collapsed="false">
      <c r="A202" s="25" t="n">
        <v>46125</v>
      </c>
      <c r="B202" s="26" t="s">
        <v>79</v>
      </c>
      <c r="C202" s="27" t="n">
        <v>13643.5</v>
      </c>
      <c r="D202" s="28" t="n">
        <f aca="false">C202/$T$1*100</f>
        <v>0.85271875</v>
      </c>
      <c r="E202" s="28" t="n">
        <f aca="false">E201+D202</f>
        <v>110.33727125</v>
      </c>
      <c r="F202" s="28" t="n">
        <f aca="false">MAX(0,MAX($E$2:E202))</f>
        <v>110.33727125</v>
      </c>
      <c r="G202" s="28" t="n">
        <f aca="false">E202-F202</f>
        <v>0</v>
      </c>
      <c r="H202" s="25" t="n">
        <f aca="false">IF(G202&gt;=-0.0000001,A202,H201)</f>
        <v>46125</v>
      </c>
      <c r="I202" s="29" t="n">
        <f aca="false">IF(AND(G202&gt;=-0.0000001,G201&lt;0),1,0)</f>
        <v>1</v>
      </c>
      <c r="J202" s="30" t="n">
        <f aca="false">IF(I202=1,A202-H201,"")</f>
        <v>11</v>
      </c>
      <c r="K202" s="27" t="n">
        <f aca="false">IF(B202="Wednesday",0,C202)</f>
        <v>13643.5</v>
      </c>
      <c r="L202" s="28" t="n">
        <f aca="false">L201+K202/$T$1*100</f>
        <v>127.89063</v>
      </c>
      <c r="M202" s="28" t="n">
        <f aca="false">MAX(0,MAX($L$2:L202))</f>
        <v>127.89063</v>
      </c>
      <c r="N202" s="28" t="n">
        <f aca="false">L202-M202</f>
        <v>0</v>
      </c>
      <c r="O202" s="25" t="n">
        <f aca="false">IF(N202&gt;=-0.0000001,A202,O201)</f>
        <v>46125</v>
      </c>
      <c r="P202" s="29" t="n">
        <f aca="false">IF(AND(N202&gt;=-0.0000001,N201&lt;0),1,0)</f>
        <v>1</v>
      </c>
      <c r="Q202" s="30" t="n">
        <f aca="false">IF(P202=1,A202-O201,"")</f>
        <v>11</v>
      </c>
    </row>
    <row r="203" customFormat="false" ht="15" hidden="false" customHeight="false" outlineLevel="0" collapsed="false">
      <c r="A203" s="25" t="n">
        <v>46128</v>
      </c>
      <c r="B203" s="26" t="s">
        <v>82</v>
      </c>
      <c r="C203" s="27" t="n">
        <v>8287.5</v>
      </c>
      <c r="D203" s="28" t="n">
        <f aca="false">C203/$T$1*100</f>
        <v>0.51796875</v>
      </c>
      <c r="E203" s="28" t="n">
        <f aca="false">E202+D203</f>
        <v>110.85524</v>
      </c>
      <c r="F203" s="28" t="n">
        <f aca="false">MAX(0,MAX($E$2:E203))</f>
        <v>110.85524</v>
      </c>
      <c r="G203" s="28" t="n">
        <f aca="false">E203-F203</f>
        <v>0</v>
      </c>
      <c r="H203" s="25" t="n">
        <f aca="false">IF(G203&gt;=-0.0000001,A203,H202)</f>
        <v>46128</v>
      </c>
      <c r="I203" s="29" t="n">
        <f aca="false">IF(AND(G203&gt;=-0.0000001,G202&lt;0),1,0)</f>
        <v>0</v>
      </c>
      <c r="J203" s="30" t="str">
        <f aca="false">IF(I203=1,A203-H202,"")</f>
        <v/>
      </c>
      <c r="K203" s="27" t="n">
        <f aca="false">IF(B203="Wednesday",0,C203)</f>
        <v>8287.5</v>
      </c>
      <c r="L203" s="28" t="n">
        <f aca="false">L202+K203/$T$1*100</f>
        <v>128.40859875</v>
      </c>
      <c r="M203" s="28" t="n">
        <f aca="false">MAX(0,MAX($L$2:L203))</f>
        <v>128.40859875</v>
      </c>
      <c r="N203" s="28" t="n">
        <f aca="false">L203-M203</f>
        <v>0</v>
      </c>
      <c r="O203" s="25" t="n">
        <f aca="false">IF(N203&gt;=-0.0000001,A203,O202)</f>
        <v>46128</v>
      </c>
      <c r="P203" s="29" t="n">
        <f aca="false">IF(AND(N203&gt;=-0.0000001,N202&lt;0),1,0)</f>
        <v>0</v>
      </c>
      <c r="Q203" s="30" t="str">
        <f aca="false">IF(P203=1,A203-O202,"")</f>
        <v/>
      </c>
    </row>
    <row r="204" customFormat="false" ht="15" hidden="false" customHeight="false" outlineLevel="0" collapsed="false">
      <c r="A204" s="25" t="n">
        <v>46129</v>
      </c>
      <c r="B204" s="26" t="s">
        <v>83</v>
      </c>
      <c r="C204" s="27" t="n">
        <v>-552.5</v>
      </c>
      <c r="D204" s="28" t="n">
        <f aca="false">C204/$T$1*100</f>
        <v>-0.03453125</v>
      </c>
      <c r="E204" s="28" t="n">
        <f aca="false">E203+D204</f>
        <v>110.82070875</v>
      </c>
      <c r="F204" s="28" t="n">
        <f aca="false">MAX(0,MAX($E$2:E204))</f>
        <v>110.85524</v>
      </c>
      <c r="G204" s="28" t="n">
        <f aca="false">E204-F204</f>
        <v>-0.0345312500000006</v>
      </c>
      <c r="H204" s="25" t="n">
        <f aca="false">IF(G204&gt;=-0.0000001,A204,H203)</f>
        <v>46128</v>
      </c>
      <c r="I204" s="29" t="n">
        <f aca="false">IF(AND(G204&gt;=-0.0000001,G203&lt;0),1,0)</f>
        <v>0</v>
      </c>
      <c r="J204" s="30" t="str">
        <f aca="false">IF(I204=1,A204-H203,"")</f>
        <v/>
      </c>
      <c r="K204" s="27" t="n">
        <f aca="false">IF(B204="Wednesday",0,C204)</f>
        <v>-552.5</v>
      </c>
      <c r="L204" s="28" t="n">
        <f aca="false">L203+K204/$T$1*100</f>
        <v>128.3740675</v>
      </c>
      <c r="M204" s="28" t="n">
        <f aca="false">MAX(0,MAX($L$2:L204))</f>
        <v>128.40859875</v>
      </c>
      <c r="N204" s="28" t="n">
        <f aca="false">L204-M204</f>
        <v>-0.0345312499999864</v>
      </c>
      <c r="O204" s="25" t="n">
        <f aca="false">IF(N204&gt;=-0.0000001,A204,O203)</f>
        <v>46128</v>
      </c>
      <c r="P204" s="29" t="n">
        <f aca="false">IF(AND(N204&gt;=-0.0000001,N203&lt;0),1,0)</f>
        <v>0</v>
      </c>
      <c r="Q204" s="30" t="str">
        <f aca="false">IF(P204=1,A204-O203,"")</f>
        <v/>
      </c>
    </row>
    <row r="205" customFormat="false" ht="15" hidden="false" customHeight="false" outlineLevel="0" collapsed="false">
      <c r="A205" s="25" t="n">
        <v>46132</v>
      </c>
      <c r="B205" s="26" t="s">
        <v>79</v>
      </c>
      <c r="C205" s="27" t="n">
        <v>2600</v>
      </c>
      <c r="D205" s="28" t="n">
        <f aca="false">C205/$T$1*100</f>
        <v>0.1625</v>
      </c>
      <c r="E205" s="28" t="n">
        <f aca="false">E204+D205</f>
        <v>110.98320875</v>
      </c>
      <c r="F205" s="28" t="n">
        <f aca="false">MAX(0,MAX($E$2:E205))</f>
        <v>110.98320875</v>
      </c>
      <c r="G205" s="28" t="n">
        <f aca="false">E205-F205</f>
        <v>0</v>
      </c>
      <c r="H205" s="25" t="n">
        <f aca="false">IF(G205&gt;=-0.0000001,A205,H204)</f>
        <v>46132</v>
      </c>
      <c r="I205" s="29" t="n">
        <f aca="false">IF(AND(G205&gt;=-0.0000001,G204&lt;0),1,0)</f>
        <v>1</v>
      </c>
      <c r="J205" s="30" t="n">
        <f aca="false">IF(I205=1,A205-H204,"")</f>
        <v>4</v>
      </c>
      <c r="K205" s="27" t="n">
        <f aca="false">IF(B205="Wednesday",0,C205)</f>
        <v>2600</v>
      </c>
      <c r="L205" s="28" t="n">
        <f aca="false">L204+K205/$T$1*100</f>
        <v>128.5365675</v>
      </c>
      <c r="M205" s="28" t="n">
        <f aca="false">MAX(0,MAX($L$2:L205))</f>
        <v>128.5365675</v>
      </c>
      <c r="N205" s="28" t="n">
        <f aca="false">L205-M205</f>
        <v>0</v>
      </c>
      <c r="O205" s="25" t="n">
        <f aca="false">IF(N205&gt;=-0.0000001,A205,O204)</f>
        <v>46132</v>
      </c>
      <c r="P205" s="29" t="n">
        <f aca="false">IF(AND(N205&gt;=-0.0000001,N204&lt;0),1,0)</f>
        <v>1</v>
      </c>
      <c r="Q205" s="30" t="n">
        <f aca="false">IF(P205=1,A205-O204,"")</f>
        <v>4</v>
      </c>
    </row>
    <row r="206" customFormat="false" ht="15" hidden="false" customHeight="false" outlineLevel="0" collapsed="false">
      <c r="A206" s="25" t="n">
        <v>46133</v>
      </c>
      <c r="B206" s="26" t="s">
        <v>80</v>
      </c>
      <c r="C206" s="27" t="n">
        <v>50784.5</v>
      </c>
      <c r="D206" s="28" t="n">
        <f aca="false">C206/$T$1*100</f>
        <v>3.17403125</v>
      </c>
      <c r="E206" s="28" t="n">
        <f aca="false">E205+D206</f>
        <v>114.15724</v>
      </c>
      <c r="F206" s="28" t="n">
        <f aca="false">MAX(0,MAX($E$2:E206))</f>
        <v>114.15724</v>
      </c>
      <c r="G206" s="28" t="n">
        <f aca="false">E206-F206</f>
        <v>0</v>
      </c>
      <c r="H206" s="25" t="n">
        <f aca="false">IF(G206&gt;=-0.0000001,A206,H205)</f>
        <v>46133</v>
      </c>
      <c r="I206" s="29" t="n">
        <f aca="false">IF(AND(G206&gt;=-0.0000001,G205&lt;0),1,0)</f>
        <v>0</v>
      </c>
      <c r="J206" s="30" t="str">
        <f aca="false">IF(I206=1,A206-H205,"")</f>
        <v/>
      </c>
      <c r="K206" s="27" t="n">
        <f aca="false">IF(B206="Wednesday",0,C206)</f>
        <v>50784.5</v>
      </c>
      <c r="L206" s="28" t="n">
        <f aca="false">L205+K206/$T$1*100</f>
        <v>131.71059875</v>
      </c>
      <c r="M206" s="28" t="n">
        <f aca="false">MAX(0,MAX($L$2:L206))</f>
        <v>131.71059875</v>
      </c>
      <c r="N206" s="28" t="n">
        <f aca="false">L206-M206</f>
        <v>0</v>
      </c>
      <c r="O206" s="25" t="n">
        <f aca="false">IF(N206&gt;=-0.0000001,A206,O205)</f>
        <v>46133</v>
      </c>
      <c r="P206" s="29" t="n">
        <f aca="false">IF(AND(N206&gt;=-0.0000001,N205&lt;0),1,0)</f>
        <v>0</v>
      </c>
      <c r="Q206" s="30" t="str">
        <f aca="false">IF(P206=1,A206-O205,"")</f>
        <v/>
      </c>
    </row>
    <row r="207" customFormat="false" ht="15" hidden="false" customHeight="false" outlineLevel="0" collapsed="false">
      <c r="A207" s="25" t="n">
        <v>46134</v>
      </c>
      <c r="B207" s="26" t="s">
        <v>81</v>
      </c>
      <c r="C207" s="27" t="n">
        <v>633.75</v>
      </c>
      <c r="D207" s="28" t="n">
        <f aca="false">C207/$T$1*100</f>
        <v>0.039609375</v>
      </c>
      <c r="E207" s="28" t="n">
        <f aca="false">E206+D207</f>
        <v>114.196849375</v>
      </c>
      <c r="F207" s="28" t="n">
        <f aca="false">MAX(0,MAX($E$2:E207))</f>
        <v>114.196849375</v>
      </c>
      <c r="G207" s="28" t="n">
        <f aca="false">E207-F207</f>
        <v>0</v>
      </c>
      <c r="H207" s="25" t="n">
        <f aca="false">IF(G207&gt;=-0.0000001,A207,H206)</f>
        <v>46134</v>
      </c>
      <c r="I207" s="29" t="n">
        <f aca="false">IF(AND(G207&gt;=-0.0000001,G206&lt;0),1,0)</f>
        <v>0</v>
      </c>
      <c r="J207" s="30" t="str">
        <f aca="false">IF(I207=1,A207-H206,"")</f>
        <v/>
      </c>
      <c r="K207" s="27" t="n">
        <f aca="false">IF(B207="Wednesday",0,C207)</f>
        <v>0</v>
      </c>
      <c r="L207" s="28" t="n">
        <f aca="false">L206+K207/$T$1*100</f>
        <v>131.71059875</v>
      </c>
      <c r="M207" s="28" t="n">
        <f aca="false">MAX(0,MAX($L$2:L207))</f>
        <v>131.71059875</v>
      </c>
      <c r="N207" s="28" t="n">
        <f aca="false">L207-M207</f>
        <v>0</v>
      </c>
      <c r="O207" s="25" t="n">
        <f aca="false">IF(N207&gt;=-0.0000001,A207,O206)</f>
        <v>46134</v>
      </c>
      <c r="P207" s="29" t="n">
        <f aca="false">IF(AND(N207&gt;=-0.0000001,N206&lt;0),1,0)</f>
        <v>0</v>
      </c>
      <c r="Q207" s="30" t="str">
        <f aca="false">IF(P207=1,A207-O206,"")</f>
        <v/>
      </c>
    </row>
    <row r="208" customFormat="false" ht="15" hidden="false" customHeight="false" outlineLevel="0" collapsed="false">
      <c r="A208" s="25" t="n">
        <v>46135</v>
      </c>
      <c r="B208" s="26" t="s">
        <v>82</v>
      </c>
      <c r="C208" s="27" t="n">
        <v>63700</v>
      </c>
      <c r="D208" s="28" t="n">
        <f aca="false">C208/$T$1*100</f>
        <v>3.98125</v>
      </c>
      <c r="E208" s="28" t="n">
        <f aca="false">E207+D208</f>
        <v>118.178099375</v>
      </c>
      <c r="F208" s="28" t="n">
        <f aca="false">MAX(0,MAX($E$2:E208))</f>
        <v>118.178099375</v>
      </c>
      <c r="G208" s="28" t="n">
        <f aca="false">E208-F208</f>
        <v>0</v>
      </c>
      <c r="H208" s="25" t="n">
        <f aca="false">IF(G208&gt;=-0.0000001,A208,H207)</f>
        <v>46135</v>
      </c>
      <c r="I208" s="29" t="n">
        <f aca="false">IF(AND(G208&gt;=-0.0000001,G207&lt;0),1,0)</f>
        <v>0</v>
      </c>
      <c r="J208" s="30" t="str">
        <f aca="false">IF(I208=1,A208-H207,"")</f>
        <v/>
      </c>
      <c r="K208" s="27" t="n">
        <f aca="false">IF(B208="Wednesday",0,C208)</f>
        <v>63700</v>
      </c>
      <c r="L208" s="28" t="n">
        <f aca="false">L207+K208/$T$1*100</f>
        <v>135.69184875</v>
      </c>
      <c r="M208" s="28" t="n">
        <f aca="false">MAX(0,MAX($L$2:L208))</f>
        <v>135.69184875</v>
      </c>
      <c r="N208" s="28" t="n">
        <f aca="false">L208-M208</f>
        <v>0</v>
      </c>
      <c r="O208" s="25" t="n">
        <f aca="false">IF(N208&gt;=-0.0000001,A208,O207)</f>
        <v>46135</v>
      </c>
      <c r="P208" s="29" t="n">
        <f aca="false">IF(AND(N208&gt;=-0.0000001,N207&lt;0),1,0)</f>
        <v>0</v>
      </c>
      <c r="Q208" s="30" t="str">
        <f aca="false">IF(P208=1,A208-O207,"")</f>
        <v/>
      </c>
    </row>
    <row r="209" customFormat="false" ht="15" hidden="false" customHeight="false" outlineLevel="0" collapsed="false">
      <c r="A209" s="25" t="n">
        <v>46136</v>
      </c>
      <c r="B209" s="26" t="s">
        <v>83</v>
      </c>
      <c r="C209" s="27" t="n">
        <v>39455</v>
      </c>
      <c r="D209" s="28" t="n">
        <f aca="false">C209/$T$1*100</f>
        <v>2.4659375</v>
      </c>
      <c r="E209" s="28" t="n">
        <f aca="false">E208+D209</f>
        <v>120.644036875</v>
      </c>
      <c r="F209" s="28" t="n">
        <f aca="false">MAX(0,MAX($E$2:E209))</f>
        <v>120.644036875</v>
      </c>
      <c r="G209" s="28" t="n">
        <f aca="false">E209-F209</f>
        <v>0</v>
      </c>
      <c r="H209" s="25" t="n">
        <f aca="false">IF(G209&gt;=-0.0000001,A209,H208)</f>
        <v>46136</v>
      </c>
      <c r="I209" s="29" t="n">
        <f aca="false">IF(AND(G209&gt;=-0.0000001,G208&lt;0),1,0)</f>
        <v>0</v>
      </c>
      <c r="J209" s="30" t="str">
        <f aca="false">IF(I209=1,A209-H208,"")</f>
        <v/>
      </c>
      <c r="K209" s="27" t="n">
        <f aca="false">IF(B209="Wednesday",0,C209)</f>
        <v>39455</v>
      </c>
      <c r="L209" s="28" t="n">
        <f aca="false">L208+K209/$T$1*100</f>
        <v>138.15778625</v>
      </c>
      <c r="M209" s="28" t="n">
        <f aca="false">MAX(0,MAX($L$2:L209))</f>
        <v>138.15778625</v>
      </c>
      <c r="N209" s="28" t="n">
        <f aca="false">L209-M209</f>
        <v>0</v>
      </c>
      <c r="O209" s="25" t="n">
        <f aca="false">IF(N209&gt;=-0.0000001,A209,O208)</f>
        <v>46136</v>
      </c>
      <c r="P209" s="29" t="n">
        <f aca="false">IF(AND(N209&gt;=-0.0000001,N208&lt;0),1,0)</f>
        <v>0</v>
      </c>
      <c r="Q209" s="30" t="str">
        <f aca="false">IF(P209=1,A209-O208,"")</f>
        <v/>
      </c>
    </row>
    <row r="210" customFormat="false" ht="15" hidden="false" customHeight="false" outlineLevel="0" collapsed="false">
      <c r="A210" s="25" t="n">
        <v>46139</v>
      </c>
      <c r="B210" s="26" t="s">
        <v>79</v>
      </c>
      <c r="C210" s="27" t="n">
        <v>-24368.5</v>
      </c>
      <c r="D210" s="28" t="n">
        <f aca="false">C210/$T$1*100</f>
        <v>-1.52303125</v>
      </c>
      <c r="E210" s="28" t="n">
        <f aca="false">E209+D210</f>
        <v>119.121005625</v>
      </c>
      <c r="F210" s="28" t="n">
        <f aca="false">MAX(0,MAX($E$2:E210))</f>
        <v>120.644036875</v>
      </c>
      <c r="G210" s="28" t="n">
        <f aca="false">E210-F210</f>
        <v>-1.52303125</v>
      </c>
      <c r="H210" s="25" t="n">
        <f aca="false">IF(G210&gt;=-0.0000001,A210,H209)</f>
        <v>46136</v>
      </c>
      <c r="I210" s="29" t="n">
        <f aca="false">IF(AND(G210&gt;=-0.0000001,G209&lt;0),1,0)</f>
        <v>0</v>
      </c>
      <c r="J210" s="30" t="str">
        <f aca="false">IF(I210=1,A210-H209,"")</f>
        <v/>
      </c>
      <c r="K210" s="27" t="n">
        <f aca="false">IF(B210="Wednesday",0,C210)</f>
        <v>-24368.5</v>
      </c>
      <c r="L210" s="28" t="n">
        <f aca="false">L209+K210/$T$1*100</f>
        <v>136.634755</v>
      </c>
      <c r="M210" s="28" t="n">
        <f aca="false">MAX(0,MAX($L$2:L210))</f>
        <v>138.15778625</v>
      </c>
      <c r="N210" s="28" t="n">
        <f aca="false">L210-M210</f>
        <v>-1.52303125</v>
      </c>
      <c r="O210" s="25" t="n">
        <f aca="false">IF(N210&gt;=-0.0000001,A210,O209)</f>
        <v>46136</v>
      </c>
      <c r="P210" s="29" t="n">
        <f aca="false">IF(AND(N210&gt;=-0.0000001,N209&lt;0),1,0)</f>
        <v>0</v>
      </c>
      <c r="Q210" s="30" t="str">
        <f aca="false">IF(P210=1,A210-O209,"")</f>
        <v/>
      </c>
    </row>
    <row r="211" customFormat="false" ht="15" hidden="false" customHeight="false" outlineLevel="0" collapsed="false">
      <c r="A211" s="25" t="n">
        <v>46140</v>
      </c>
      <c r="B211" s="26" t="s">
        <v>80</v>
      </c>
      <c r="C211" s="27" t="n">
        <v>101302.5</v>
      </c>
      <c r="D211" s="28" t="n">
        <f aca="false">C211/$T$1*100</f>
        <v>6.33140625</v>
      </c>
      <c r="E211" s="28" t="n">
        <f aca="false">E210+D211</f>
        <v>125.452411875</v>
      </c>
      <c r="F211" s="28" t="n">
        <f aca="false">MAX(0,MAX($E$2:E211))</f>
        <v>125.452411875</v>
      </c>
      <c r="G211" s="28" t="n">
        <f aca="false">E211-F211</f>
        <v>0</v>
      </c>
      <c r="H211" s="25" t="n">
        <f aca="false">IF(G211&gt;=-0.0000001,A211,H210)</f>
        <v>46140</v>
      </c>
      <c r="I211" s="29" t="n">
        <f aca="false">IF(AND(G211&gt;=-0.0000001,G210&lt;0),1,0)</f>
        <v>1</v>
      </c>
      <c r="J211" s="30" t="n">
        <f aca="false">IF(I211=1,A211-H210,"")</f>
        <v>4</v>
      </c>
      <c r="K211" s="27" t="n">
        <f aca="false">IF(B211="Wednesday",0,C211)</f>
        <v>101302.5</v>
      </c>
      <c r="L211" s="28" t="n">
        <f aca="false">L210+K211/$T$1*100</f>
        <v>142.96616125</v>
      </c>
      <c r="M211" s="28" t="n">
        <f aca="false">MAX(0,MAX($L$2:L211))</f>
        <v>142.96616125</v>
      </c>
      <c r="N211" s="28" t="n">
        <f aca="false">L211-M211</f>
        <v>0</v>
      </c>
      <c r="O211" s="25" t="n">
        <f aca="false">IF(N211&gt;=-0.0000001,A211,O210)</f>
        <v>46140</v>
      </c>
      <c r="P211" s="29" t="n">
        <f aca="false">IF(AND(N211&gt;=-0.0000001,N210&lt;0),1,0)</f>
        <v>1</v>
      </c>
      <c r="Q211" s="30" t="n">
        <f aca="false">IF(P211=1,A211-O210,"")</f>
        <v>4</v>
      </c>
    </row>
    <row r="212" customFormat="false" ht="15" hidden="false" customHeight="false" outlineLevel="0" collapsed="false">
      <c r="A212" s="25" t="n">
        <v>46141</v>
      </c>
      <c r="B212" s="26" t="s">
        <v>81</v>
      </c>
      <c r="C212" s="27" t="n">
        <v>-6906.25</v>
      </c>
      <c r="D212" s="28" t="n">
        <f aca="false">C212/$T$1*100</f>
        <v>-0.431640625</v>
      </c>
      <c r="E212" s="28" t="n">
        <f aca="false">E211+D212</f>
        <v>125.02077125</v>
      </c>
      <c r="F212" s="28" t="n">
        <f aca="false">MAX(0,MAX($E$2:E212))</f>
        <v>125.452411875</v>
      </c>
      <c r="G212" s="28" t="n">
        <f aca="false">E212-F212</f>
        <v>-0.431640625</v>
      </c>
      <c r="H212" s="25" t="n">
        <f aca="false">IF(G212&gt;=-0.0000001,A212,H211)</f>
        <v>46140</v>
      </c>
      <c r="I212" s="29" t="n">
        <f aca="false">IF(AND(G212&gt;=-0.0000001,G211&lt;0),1,0)</f>
        <v>0</v>
      </c>
      <c r="J212" s="30" t="str">
        <f aca="false">IF(I212=1,A212-H211,"")</f>
        <v/>
      </c>
      <c r="K212" s="27" t="n">
        <f aca="false">IF(B212="Wednesday",0,C212)</f>
        <v>0</v>
      </c>
      <c r="L212" s="28" t="n">
        <f aca="false">L211+K212/$T$1*100</f>
        <v>142.96616125</v>
      </c>
      <c r="M212" s="28" t="n">
        <f aca="false">MAX(0,MAX($L$2:L212))</f>
        <v>142.96616125</v>
      </c>
      <c r="N212" s="28" t="n">
        <f aca="false">L212-M212</f>
        <v>0</v>
      </c>
      <c r="O212" s="25" t="n">
        <f aca="false">IF(N212&gt;=-0.0000001,A212,O211)</f>
        <v>46141</v>
      </c>
      <c r="P212" s="29" t="n">
        <f aca="false">IF(AND(N212&gt;=-0.0000001,N211&lt;0),1,0)</f>
        <v>0</v>
      </c>
      <c r="Q212" s="30" t="str">
        <f aca="false">IF(P212=1,A212-O211,"")</f>
        <v/>
      </c>
    </row>
    <row r="213" customFormat="false" ht="15" hidden="false" customHeight="false" outlineLevel="0" collapsed="false">
      <c r="A213" s="25" t="n">
        <v>46142</v>
      </c>
      <c r="B213" s="26" t="s">
        <v>82</v>
      </c>
      <c r="C213" s="27" t="n">
        <v>78780</v>
      </c>
      <c r="D213" s="28" t="n">
        <f aca="false">C213/$T$1*100</f>
        <v>4.92375</v>
      </c>
      <c r="E213" s="28" t="n">
        <f aca="false">E212+D213</f>
        <v>129.94452125</v>
      </c>
      <c r="F213" s="28" t="n">
        <f aca="false">MAX(0,MAX($E$2:E213))</f>
        <v>129.94452125</v>
      </c>
      <c r="G213" s="28" t="n">
        <f aca="false">E213-F213</f>
        <v>0</v>
      </c>
      <c r="H213" s="25" t="n">
        <f aca="false">IF(G213&gt;=-0.0000001,A213,H212)</f>
        <v>46142</v>
      </c>
      <c r="I213" s="29" t="n">
        <f aca="false">IF(AND(G213&gt;=-0.0000001,G212&lt;0),1,0)</f>
        <v>1</v>
      </c>
      <c r="J213" s="30" t="n">
        <f aca="false">IF(I213=1,A213-H212,"")</f>
        <v>2</v>
      </c>
      <c r="K213" s="27" t="n">
        <f aca="false">IF(B213="Wednesday",0,C213)</f>
        <v>78780</v>
      </c>
      <c r="L213" s="28" t="n">
        <f aca="false">L212+K213/$T$1*100</f>
        <v>147.88991125</v>
      </c>
      <c r="M213" s="28" t="n">
        <f aca="false">MAX(0,MAX($L$2:L213))</f>
        <v>147.88991125</v>
      </c>
      <c r="N213" s="28" t="n">
        <f aca="false">L213-M213</f>
        <v>0</v>
      </c>
      <c r="O213" s="25" t="n">
        <f aca="false">IF(N213&gt;=-0.0000001,A213,O212)</f>
        <v>46142</v>
      </c>
      <c r="P213" s="29" t="n">
        <f aca="false">IF(AND(N213&gt;=-0.0000001,N212&lt;0),1,0)</f>
        <v>0</v>
      </c>
      <c r="Q213" s="30" t="str">
        <f aca="false">IF(P213=1,A213-O212,"")</f>
        <v/>
      </c>
    </row>
    <row r="214" customFormat="false" ht="15" hidden="false" customHeight="false" outlineLevel="0" collapsed="false">
      <c r="A214" s="25" t="n">
        <v>46146</v>
      </c>
      <c r="B214" s="26" t="s">
        <v>79</v>
      </c>
      <c r="C214" s="27" t="n">
        <v>11583</v>
      </c>
      <c r="D214" s="28" t="n">
        <f aca="false">C214/$T$1*100</f>
        <v>0.7239375</v>
      </c>
      <c r="E214" s="28" t="n">
        <f aca="false">E213+D214</f>
        <v>130.66845875</v>
      </c>
      <c r="F214" s="28" t="n">
        <f aca="false">MAX(0,MAX($E$2:E214))</f>
        <v>130.66845875</v>
      </c>
      <c r="G214" s="28" t="n">
        <f aca="false">E214-F214</f>
        <v>0</v>
      </c>
      <c r="H214" s="25" t="n">
        <f aca="false">IF(G214&gt;=-0.0000001,A214,H213)</f>
        <v>46146</v>
      </c>
      <c r="I214" s="29" t="n">
        <f aca="false">IF(AND(G214&gt;=-0.0000001,G213&lt;0),1,0)</f>
        <v>0</v>
      </c>
      <c r="J214" s="30" t="str">
        <f aca="false">IF(I214=1,A214-H213,"")</f>
        <v/>
      </c>
      <c r="K214" s="27" t="n">
        <f aca="false">IF(B214="Wednesday",0,C214)</f>
        <v>11583</v>
      </c>
      <c r="L214" s="28" t="n">
        <f aca="false">L213+K214/$T$1*100</f>
        <v>148.61384875</v>
      </c>
      <c r="M214" s="28" t="n">
        <f aca="false">MAX(0,MAX($L$2:L214))</f>
        <v>148.61384875</v>
      </c>
      <c r="N214" s="28" t="n">
        <f aca="false">L214-M214</f>
        <v>0</v>
      </c>
      <c r="O214" s="25" t="n">
        <f aca="false">IF(N214&gt;=-0.0000001,A214,O213)</f>
        <v>46146</v>
      </c>
      <c r="P214" s="29" t="n">
        <f aca="false">IF(AND(N214&gt;=-0.0000001,N213&lt;0),1,0)</f>
        <v>0</v>
      </c>
      <c r="Q214" s="30" t="str">
        <f aca="false">IF(P214=1,A214-O213,"")</f>
        <v/>
      </c>
    </row>
    <row r="215" customFormat="false" ht="15" hidden="false" customHeight="false" outlineLevel="0" collapsed="false">
      <c r="A215" s="25" t="n">
        <v>46147</v>
      </c>
      <c r="B215" s="26" t="s">
        <v>80</v>
      </c>
      <c r="C215" s="27" t="n">
        <v>102011</v>
      </c>
      <c r="D215" s="28" t="n">
        <f aca="false">C215/$T$1*100</f>
        <v>6.3756875</v>
      </c>
      <c r="E215" s="28" t="n">
        <f aca="false">E214+D215</f>
        <v>137.04414625</v>
      </c>
      <c r="F215" s="28" t="n">
        <f aca="false">MAX(0,MAX($E$2:E215))</f>
        <v>137.04414625</v>
      </c>
      <c r="G215" s="28" t="n">
        <f aca="false">E215-F215</f>
        <v>0</v>
      </c>
      <c r="H215" s="25" t="n">
        <f aca="false">IF(G215&gt;=-0.0000001,A215,H214)</f>
        <v>46147</v>
      </c>
      <c r="I215" s="29" t="n">
        <f aca="false">IF(AND(G215&gt;=-0.0000001,G214&lt;0),1,0)</f>
        <v>0</v>
      </c>
      <c r="J215" s="30" t="str">
        <f aca="false">IF(I215=1,A215-H214,"")</f>
        <v/>
      </c>
      <c r="K215" s="27" t="n">
        <f aca="false">IF(B215="Wednesday",0,C215)</f>
        <v>102011</v>
      </c>
      <c r="L215" s="28" t="n">
        <f aca="false">L214+K215/$T$1*100</f>
        <v>154.98953625</v>
      </c>
      <c r="M215" s="28" t="n">
        <f aca="false">MAX(0,MAX($L$2:L215))</f>
        <v>154.98953625</v>
      </c>
      <c r="N215" s="28" t="n">
        <f aca="false">L215-M215</f>
        <v>0</v>
      </c>
      <c r="O215" s="25" t="n">
        <f aca="false">IF(N215&gt;=-0.0000001,A215,O214)</f>
        <v>46147</v>
      </c>
      <c r="P215" s="29" t="n">
        <f aca="false">IF(AND(N215&gt;=-0.0000001,N214&lt;0),1,0)</f>
        <v>0</v>
      </c>
      <c r="Q215" s="30" t="str">
        <f aca="false">IF(P215=1,A215-O214,"")</f>
        <v/>
      </c>
    </row>
    <row r="216" customFormat="false" ht="15" hidden="false" customHeight="false" outlineLevel="0" collapsed="false">
      <c r="A216" s="25" t="n">
        <v>46148</v>
      </c>
      <c r="B216" s="26" t="s">
        <v>81</v>
      </c>
      <c r="C216" s="27" t="n">
        <v>-14105</v>
      </c>
      <c r="D216" s="28" t="n">
        <f aca="false">C216/$T$1*100</f>
        <v>-0.8815625</v>
      </c>
      <c r="E216" s="28" t="n">
        <f aca="false">E215+D216</f>
        <v>136.16258375</v>
      </c>
      <c r="F216" s="28" t="n">
        <f aca="false">MAX(0,MAX($E$2:E216))</f>
        <v>137.04414625</v>
      </c>
      <c r="G216" s="28" t="n">
        <f aca="false">E216-F216</f>
        <v>-0.881562500000001</v>
      </c>
      <c r="H216" s="25" t="n">
        <f aca="false">IF(G216&gt;=-0.0000001,A216,H215)</f>
        <v>46147</v>
      </c>
      <c r="I216" s="29" t="n">
        <f aca="false">IF(AND(G216&gt;=-0.0000001,G215&lt;0),1,0)</f>
        <v>0</v>
      </c>
      <c r="J216" s="30" t="str">
        <f aca="false">IF(I216=1,A216-H215,"")</f>
        <v/>
      </c>
      <c r="K216" s="27" t="n">
        <f aca="false">IF(B216="Wednesday",0,C216)</f>
        <v>0</v>
      </c>
      <c r="L216" s="28" t="n">
        <f aca="false">L215+K216/$T$1*100</f>
        <v>154.98953625</v>
      </c>
      <c r="M216" s="28" t="n">
        <f aca="false">MAX(0,MAX($L$2:L216))</f>
        <v>154.98953625</v>
      </c>
      <c r="N216" s="28" t="n">
        <f aca="false">L216-M216</f>
        <v>0</v>
      </c>
      <c r="O216" s="25" t="n">
        <f aca="false">IF(N216&gt;=-0.0000001,A216,O215)</f>
        <v>46148</v>
      </c>
      <c r="P216" s="29" t="n">
        <f aca="false">IF(AND(N216&gt;=-0.0000001,N215&lt;0),1,0)</f>
        <v>0</v>
      </c>
      <c r="Q216" s="30" t="str">
        <f aca="false">IF(P216=1,A216-O215,"")</f>
        <v/>
      </c>
    </row>
    <row r="217" customFormat="false" ht="15" hidden="false" customHeight="false" outlineLevel="0" collapsed="false">
      <c r="A217" s="25" t="n">
        <v>46149</v>
      </c>
      <c r="B217" s="26" t="s">
        <v>82</v>
      </c>
      <c r="C217" s="27" t="n">
        <v>34872.5</v>
      </c>
      <c r="D217" s="28" t="n">
        <f aca="false">C217/$T$1*100</f>
        <v>2.17953125</v>
      </c>
      <c r="E217" s="28" t="n">
        <f aca="false">E216+D217</f>
        <v>138.342115</v>
      </c>
      <c r="F217" s="28" t="n">
        <f aca="false">MAX(0,MAX($E$2:E217))</f>
        <v>138.342115</v>
      </c>
      <c r="G217" s="28" t="n">
        <f aca="false">E217-F217</f>
        <v>0</v>
      </c>
      <c r="H217" s="25" t="n">
        <f aca="false">IF(G217&gt;=-0.0000001,A217,H216)</f>
        <v>46149</v>
      </c>
      <c r="I217" s="29" t="n">
        <f aca="false">IF(AND(G217&gt;=-0.0000001,G216&lt;0),1,0)</f>
        <v>1</v>
      </c>
      <c r="J217" s="30" t="n">
        <f aca="false">IF(I217=1,A217-H216,"")</f>
        <v>2</v>
      </c>
      <c r="K217" s="27" t="n">
        <f aca="false">IF(B217="Wednesday",0,C217)</f>
        <v>34872.5</v>
      </c>
      <c r="L217" s="28" t="n">
        <f aca="false">L216+K217/$T$1*100</f>
        <v>157.1690675</v>
      </c>
      <c r="M217" s="28" t="n">
        <f aca="false">MAX(0,MAX($L$2:L217))</f>
        <v>157.1690675</v>
      </c>
      <c r="N217" s="28" t="n">
        <f aca="false">L217-M217</f>
        <v>0</v>
      </c>
      <c r="O217" s="25" t="n">
        <f aca="false">IF(N217&gt;=-0.0000001,A217,O216)</f>
        <v>46149</v>
      </c>
      <c r="P217" s="29" t="n">
        <f aca="false">IF(AND(N217&gt;=-0.0000001,N216&lt;0),1,0)</f>
        <v>0</v>
      </c>
      <c r="Q217" s="30" t="str">
        <f aca="false">IF(P217=1,A217-O216,"")</f>
        <v/>
      </c>
    </row>
    <row r="218" customFormat="false" ht="15" hidden="false" customHeight="false" outlineLevel="0" collapsed="false">
      <c r="A218" s="25" t="n">
        <v>46150</v>
      </c>
      <c r="B218" s="26" t="s">
        <v>83</v>
      </c>
      <c r="C218" s="27" t="n">
        <v>-9782.5</v>
      </c>
      <c r="D218" s="28" t="n">
        <f aca="false">C218/$T$1*100</f>
        <v>-0.61140625</v>
      </c>
      <c r="E218" s="28" t="n">
        <f aca="false">E217+D218</f>
        <v>137.73070875</v>
      </c>
      <c r="F218" s="28" t="n">
        <f aca="false">MAX(0,MAX($E$2:E218))</f>
        <v>138.342115</v>
      </c>
      <c r="G218" s="28" t="n">
        <f aca="false">E218-F218</f>
        <v>-0.611406249999988</v>
      </c>
      <c r="H218" s="25" t="n">
        <f aca="false">IF(G218&gt;=-0.0000001,A218,H217)</f>
        <v>46149</v>
      </c>
      <c r="I218" s="29" t="n">
        <f aca="false">IF(AND(G218&gt;=-0.0000001,G217&lt;0),1,0)</f>
        <v>0</v>
      </c>
      <c r="J218" s="30" t="str">
        <f aca="false">IF(I218=1,A218-H217,"")</f>
        <v/>
      </c>
      <c r="K218" s="27" t="n">
        <f aca="false">IF(B218="Wednesday",0,C218)</f>
        <v>-9782.5</v>
      </c>
      <c r="L218" s="28" t="n">
        <f aca="false">L217+K218/$T$1*100</f>
        <v>156.55766125</v>
      </c>
      <c r="M218" s="28" t="n">
        <f aca="false">MAX(0,MAX($L$2:L218))</f>
        <v>157.1690675</v>
      </c>
      <c r="N218" s="28" t="n">
        <f aca="false">L218-M218</f>
        <v>-0.611406249999988</v>
      </c>
      <c r="O218" s="25" t="n">
        <f aca="false">IF(N218&gt;=-0.0000001,A218,O217)</f>
        <v>46149</v>
      </c>
      <c r="P218" s="29" t="n">
        <f aca="false">IF(AND(N218&gt;=-0.0000001,N217&lt;0),1,0)</f>
        <v>0</v>
      </c>
      <c r="Q218" s="30" t="str">
        <f aca="false">IF(P218=1,A218-O217,"")</f>
        <v/>
      </c>
    </row>
    <row r="219" customFormat="false" ht="15" hidden="false" customHeight="false" outlineLevel="0" collapsed="false">
      <c r="A219" s="25" t="n">
        <v>46153</v>
      </c>
      <c r="B219" s="26" t="s">
        <v>79</v>
      </c>
      <c r="C219" s="27" t="n">
        <v>-110740.5</v>
      </c>
      <c r="D219" s="28" t="n">
        <f aca="false">C219/$T$1*100</f>
        <v>-6.92128125</v>
      </c>
      <c r="E219" s="28" t="n">
        <f aca="false">E218+D219</f>
        <v>130.8094275</v>
      </c>
      <c r="F219" s="28" t="n">
        <f aca="false">MAX(0,MAX($E$2:E219))</f>
        <v>138.342115</v>
      </c>
      <c r="G219" s="28" t="n">
        <f aca="false">E219-F219</f>
        <v>-7.53268749999998</v>
      </c>
      <c r="H219" s="25" t="n">
        <f aca="false">IF(G219&gt;=-0.0000001,A219,H218)</f>
        <v>46149</v>
      </c>
      <c r="I219" s="29" t="n">
        <f aca="false">IF(AND(G219&gt;=-0.0000001,G218&lt;0),1,0)</f>
        <v>0</v>
      </c>
      <c r="J219" s="30" t="str">
        <f aca="false">IF(I219=1,A219-H218,"")</f>
        <v/>
      </c>
      <c r="K219" s="27" t="n">
        <f aca="false">IF(B219="Wednesday",0,C219)</f>
        <v>-110740.5</v>
      </c>
      <c r="L219" s="28" t="n">
        <f aca="false">L218+K219/$T$1*100</f>
        <v>149.63638</v>
      </c>
      <c r="M219" s="28" t="n">
        <f aca="false">MAX(0,MAX($L$2:L219))</f>
        <v>157.1690675</v>
      </c>
      <c r="N219" s="28" t="n">
        <f aca="false">L219-M219</f>
        <v>-7.53268749999998</v>
      </c>
      <c r="O219" s="25" t="n">
        <f aca="false">IF(N219&gt;=-0.0000001,A219,O218)</f>
        <v>46149</v>
      </c>
      <c r="P219" s="29" t="n">
        <f aca="false">IF(AND(N219&gt;=-0.0000001,N218&lt;0),1,0)</f>
        <v>0</v>
      </c>
      <c r="Q219" s="30" t="str">
        <f aca="false">IF(P219=1,A219-O218,"")</f>
        <v/>
      </c>
    </row>
    <row r="220" customFormat="false" ht="15" hidden="false" customHeight="false" outlineLevel="0" collapsed="false">
      <c r="A220" s="25" t="n">
        <v>46154</v>
      </c>
      <c r="B220" s="26" t="s">
        <v>80</v>
      </c>
      <c r="C220" s="27" t="n">
        <v>12395.5</v>
      </c>
      <c r="D220" s="28" t="n">
        <f aca="false">C220/$T$1*100</f>
        <v>0.77471875</v>
      </c>
      <c r="E220" s="28" t="n">
        <f aca="false">E219+D220</f>
        <v>131.58414625</v>
      </c>
      <c r="F220" s="28" t="n">
        <f aca="false">MAX(0,MAX($E$2:E220))</f>
        <v>138.342115</v>
      </c>
      <c r="G220" s="28" t="n">
        <f aca="false">E220-F220</f>
        <v>-6.75796874999998</v>
      </c>
      <c r="H220" s="25" t="n">
        <f aca="false">IF(G220&gt;=-0.0000001,A220,H219)</f>
        <v>46149</v>
      </c>
      <c r="I220" s="29" t="n">
        <f aca="false">IF(AND(G220&gt;=-0.0000001,G219&lt;0),1,0)</f>
        <v>0</v>
      </c>
      <c r="J220" s="30" t="str">
        <f aca="false">IF(I220=1,A220-H219,"")</f>
        <v/>
      </c>
      <c r="K220" s="27" t="n">
        <f aca="false">IF(B220="Wednesday",0,C220)</f>
        <v>12395.5</v>
      </c>
      <c r="L220" s="28" t="n">
        <f aca="false">L219+K220/$T$1*100</f>
        <v>150.41109875</v>
      </c>
      <c r="M220" s="28" t="n">
        <f aca="false">MAX(0,MAX($L$2:L220))</f>
        <v>157.1690675</v>
      </c>
      <c r="N220" s="28" t="n">
        <f aca="false">L220-M220</f>
        <v>-6.75796874999998</v>
      </c>
      <c r="O220" s="25" t="n">
        <f aca="false">IF(N220&gt;=-0.0000001,A220,O219)</f>
        <v>46149</v>
      </c>
      <c r="P220" s="29" t="n">
        <f aca="false">IF(AND(N220&gt;=-0.0000001,N219&lt;0),1,0)</f>
        <v>0</v>
      </c>
      <c r="Q220" s="30" t="str">
        <f aca="false">IF(P220=1,A220-O219,"")</f>
        <v/>
      </c>
    </row>
    <row r="221" customFormat="false" ht="15" hidden="false" customHeight="false" outlineLevel="0" collapsed="false">
      <c r="A221" s="25" t="n">
        <v>46155</v>
      </c>
      <c r="B221" s="26" t="s">
        <v>81</v>
      </c>
      <c r="C221" s="27" t="n">
        <v>-698.75</v>
      </c>
      <c r="D221" s="28" t="n">
        <f aca="false">C221/$T$1*100</f>
        <v>-0.043671875</v>
      </c>
      <c r="E221" s="28" t="n">
        <f aca="false">E220+D221</f>
        <v>131.540474375</v>
      </c>
      <c r="F221" s="28" t="n">
        <f aca="false">MAX(0,MAX($E$2:E221))</f>
        <v>138.342115</v>
      </c>
      <c r="G221" s="28" t="n">
        <f aca="false">E221-F221</f>
        <v>-6.80164062499998</v>
      </c>
      <c r="H221" s="25" t="n">
        <f aca="false">IF(G221&gt;=-0.0000001,A221,H220)</f>
        <v>46149</v>
      </c>
      <c r="I221" s="29" t="n">
        <f aca="false">IF(AND(G221&gt;=-0.0000001,G220&lt;0),1,0)</f>
        <v>0</v>
      </c>
      <c r="J221" s="30" t="str">
        <f aca="false">IF(I221=1,A221-H220,"")</f>
        <v/>
      </c>
      <c r="K221" s="27" t="n">
        <f aca="false">IF(B221="Wednesday",0,C221)</f>
        <v>0</v>
      </c>
      <c r="L221" s="28" t="n">
        <f aca="false">L220+K221/$T$1*100</f>
        <v>150.41109875</v>
      </c>
      <c r="M221" s="28" t="n">
        <f aca="false">MAX(0,MAX($L$2:L221))</f>
        <v>157.1690675</v>
      </c>
      <c r="N221" s="28" t="n">
        <f aca="false">L221-M221</f>
        <v>-6.75796874999998</v>
      </c>
      <c r="O221" s="25" t="n">
        <f aca="false">IF(N221&gt;=-0.0000001,A221,O220)</f>
        <v>46149</v>
      </c>
      <c r="P221" s="29" t="n">
        <f aca="false">IF(AND(N221&gt;=-0.0000001,N220&lt;0),1,0)</f>
        <v>0</v>
      </c>
      <c r="Q221" s="30" t="str">
        <f aca="false">IF(P221=1,A221-O220,"")</f>
        <v/>
      </c>
    </row>
    <row r="222" customFormat="false" ht="15" hidden="false" customHeight="false" outlineLevel="0" collapsed="false">
      <c r="A222" s="25" t="n">
        <v>46156</v>
      </c>
      <c r="B222" s="26" t="s">
        <v>82</v>
      </c>
      <c r="C222" s="27" t="n">
        <v>44606.25</v>
      </c>
      <c r="D222" s="28" t="n">
        <f aca="false">C222/$T$1*100</f>
        <v>2.787890625</v>
      </c>
      <c r="E222" s="28" t="n">
        <f aca="false">E221+D222</f>
        <v>134.328365</v>
      </c>
      <c r="F222" s="28" t="n">
        <f aca="false">MAX(0,MAX($E$2:E222))</f>
        <v>138.342115</v>
      </c>
      <c r="G222" s="28" t="n">
        <f aca="false">E222-F222</f>
        <v>-4.01374999999999</v>
      </c>
      <c r="H222" s="25" t="n">
        <f aca="false">IF(G222&gt;=-0.0000001,A222,H221)</f>
        <v>46149</v>
      </c>
      <c r="I222" s="29" t="n">
        <f aca="false">IF(AND(G222&gt;=-0.0000001,G221&lt;0),1,0)</f>
        <v>0</v>
      </c>
      <c r="J222" s="30" t="str">
        <f aca="false">IF(I222=1,A222-H221,"")</f>
        <v/>
      </c>
      <c r="K222" s="27" t="n">
        <f aca="false">IF(B222="Wednesday",0,C222)</f>
        <v>44606.25</v>
      </c>
      <c r="L222" s="28" t="n">
        <f aca="false">L221+K222/$T$1*100</f>
        <v>153.198989375</v>
      </c>
      <c r="M222" s="28" t="n">
        <f aca="false">MAX(0,MAX($L$2:L222))</f>
        <v>157.1690675</v>
      </c>
      <c r="N222" s="28" t="n">
        <f aca="false">L222-M222</f>
        <v>-3.97007812499999</v>
      </c>
      <c r="O222" s="25" t="n">
        <f aca="false">IF(N222&gt;=-0.0000001,A222,O221)</f>
        <v>46149</v>
      </c>
      <c r="P222" s="29" t="n">
        <f aca="false">IF(AND(N222&gt;=-0.0000001,N221&lt;0),1,0)</f>
        <v>0</v>
      </c>
      <c r="Q222" s="30" t="str">
        <f aca="false">IF(P222=1,A222-O221,"")</f>
        <v/>
      </c>
    </row>
    <row r="223" customFormat="false" ht="15" hidden="false" customHeight="false" outlineLevel="0" collapsed="false">
      <c r="A223" s="25" t="n">
        <v>46157</v>
      </c>
      <c r="B223" s="26" t="s">
        <v>83</v>
      </c>
      <c r="C223" s="27" t="n">
        <v>-5687.5</v>
      </c>
      <c r="D223" s="28" t="n">
        <f aca="false">C223/$T$1*100</f>
        <v>-0.35546875</v>
      </c>
      <c r="E223" s="28" t="n">
        <f aca="false">E222+D223</f>
        <v>133.97289625</v>
      </c>
      <c r="F223" s="28" t="n">
        <f aca="false">MAX(0,MAX($E$2:E223))</f>
        <v>138.342115</v>
      </c>
      <c r="G223" s="28" t="n">
        <f aca="false">E223-F223</f>
        <v>-4.36921874999999</v>
      </c>
      <c r="H223" s="25" t="n">
        <f aca="false">IF(G223&gt;=-0.0000001,A223,H222)</f>
        <v>46149</v>
      </c>
      <c r="I223" s="29" t="n">
        <f aca="false">IF(AND(G223&gt;=-0.0000001,G222&lt;0),1,0)</f>
        <v>0</v>
      </c>
      <c r="J223" s="30" t="str">
        <f aca="false">IF(I223=1,A223-H222,"")</f>
        <v/>
      </c>
      <c r="K223" s="27" t="n">
        <f aca="false">IF(B223="Wednesday",0,C223)</f>
        <v>-5687.5</v>
      </c>
      <c r="L223" s="28" t="n">
        <f aca="false">L222+K223/$T$1*100</f>
        <v>152.843520625</v>
      </c>
      <c r="M223" s="28" t="n">
        <f aca="false">MAX(0,MAX($L$2:L223))</f>
        <v>157.1690675</v>
      </c>
      <c r="N223" s="28" t="n">
        <f aca="false">L223-M223</f>
        <v>-4.32554687499999</v>
      </c>
      <c r="O223" s="25" t="n">
        <f aca="false">IF(N223&gt;=-0.0000001,A223,O222)</f>
        <v>46149</v>
      </c>
      <c r="P223" s="29" t="n">
        <f aca="false">IF(AND(N223&gt;=-0.0000001,N222&lt;0),1,0)</f>
        <v>0</v>
      </c>
      <c r="Q223" s="30" t="str">
        <f aca="false">IF(P223=1,A223-O222,"")</f>
        <v/>
      </c>
    </row>
    <row r="224" customFormat="false" ht="15" hidden="false" customHeight="false" outlineLevel="0" collapsed="false">
      <c r="A224" s="25" t="n">
        <v>46160</v>
      </c>
      <c r="B224" s="26" t="s">
        <v>79</v>
      </c>
      <c r="C224" s="27" t="n">
        <v>57775.25</v>
      </c>
      <c r="D224" s="28" t="n">
        <f aca="false">C224/$T$1*100</f>
        <v>3.610953125</v>
      </c>
      <c r="E224" s="28" t="n">
        <f aca="false">E223+D224</f>
        <v>137.583849375</v>
      </c>
      <c r="F224" s="28" t="n">
        <f aca="false">MAX(0,MAX($E$2:E224))</f>
        <v>138.342115</v>
      </c>
      <c r="G224" s="28" t="n">
        <f aca="false">E224-F224</f>
        <v>-0.758265624999979</v>
      </c>
      <c r="H224" s="25" t="n">
        <f aca="false">IF(G224&gt;=-0.0000001,A224,H223)</f>
        <v>46149</v>
      </c>
      <c r="I224" s="29" t="n">
        <f aca="false">IF(AND(G224&gt;=-0.0000001,G223&lt;0),1,0)</f>
        <v>0</v>
      </c>
      <c r="J224" s="30" t="str">
        <f aca="false">IF(I224=1,A224-H223,"")</f>
        <v/>
      </c>
      <c r="K224" s="27" t="n">
        <f aca="false">IF(B224="Wednesday",0,C224)</f>
        <v>57775.25</v>
      </c>
      <c r="L224" s="28" t="n">
        <f aca="false">L223+K224/$T$1*100</f>
        <v>156.45447375</v>
      </c>
      <c r="M224" s="28" t="n">
        <f aca="false">MAX(0,MAX($L$2:L224))</f>
        <v>157.1690675</v>
      </c>
      <c r="N224" s="28" t="n">
        <f aca="false">L224-M224</f>
        <v>-0.714593749999978</v>
      </c>
      <c r="O224" s="25" t="n">
        <f aca="false">IF(N224&gt;=-0.0000001,A224,O223)</f>
        <v>46149</v>
      </c>
      <c r="P224" s="29" t="n">
        <f aca="false">IF(AND(N224&gt;=-0.0000001,N223&lt;0),1,0)</f>
        <v>0</v>
      </c>
      <c r="Q224" s="30" t="str">
        <f aca="false">IF(P224=1,A224-O223,"")</f>
        <v/>
      </c>
    </row>
    <row r="225" customFormat="false" ht="15" hidden="false" customHeight="false" outlineLevel="0" collapsed="false">
      <c r="A225" s="25" t="n">
        <v>46161</v>
      </c>
      <c r="B225" s="26" t="s">
        <v>80</v>
      </c>
      <c r="C225" s="27" t="n">
        <v>44817.5</v>
      </c>
      <c r="D225" s="28" t="n">
        <f aca="false">C225/$T$1*100</f>
        <v>2.80109375</v>
      </c>
      <c r="E225" s="28" t="n">
        <f aca="false">E224+D225</f>
        <v>140.384943125</v>
      </c>
      <c r="F225" s="28" t="n">
        <f aca="false">MAX(0,MAX($E$2:E225))</f>
        <v>140.384943125</v>
      </c>
      <c r="G225" s="28" t="n">
        <f aca="false">E225-F225</f>
        <v>0</v>
      </c>
      <c r="H225" s="25" t="n">
        <f aca="false">IF(G225&gt;=-0.0000001,A225,H224)</f>
        <v>46161</v>
      </c>
      <c r="I225" s="29" t="n">
        <f aca="false">IF(AND(G225&gt;=-0.0000001,G224&lt;0),1,0)</f>
        <v>1</v>
      </c>
      <c r="J225" s="30" t="n">
        <f aca="false">IF(I225=1,A225-H224,"")</f>
        <v>12</v>
      </c>
      <c r="K225" s="27" t="n">
        <f aca="false">IF(B225="Wednesday",0,C225)</f>
        <v>44817.5</v>
      </c>
      <c r="L225" s="28" t="n">
        <f aca="false">L224+K225/$T$1*100</f>
        <v>159.2555675</v>
      </c>
      <c r="M225" s="28" t="n">
        <f aca="false">MAX(0,MAX($L$2:L225))</f>
        <v>159.2555675</v>
      </c>
      <c r="N225" s="28" t="n">
        <f aca="false">L225-M225</f>
        <v>0</v>
      </c>
      <c r="O225" s="25" t="n">
        <f aca="false">IF(N225&gt;=-0.0000001,A225,O224)</f>
        <v>46161</v>
      </c>
      <c r="P225" s="29" t="n">
        <f aca="false">IF(AND(N225&gt;=-0.0000001,N224&lt;0),1,0)</f>
        <v>1</v>
      </c>
      <c r="Q225" s="30" t="n">
        <f aca="false">IF(P225=1,A225-O224,"")</f>
        <v>12</v>
      </c>
    </row>
    <row r="226" customFormat="false" ht="15" hidden="false" customHeight="false" outlineLevel="0" collapsed="false">
      <c r="A226" s="25" t="n">
        <v>46162</v>
      </c>
      <c r="B226" s="26" t="s">
        <v>81</v>
      </c>
      <c r="C226" s="27" t="n">
        <v>-50245</v>
      </c>
      <c r="D226" s="28" t="n">
        <f aca="false">C226/$T$1*100</f>
        <v>-3.1403125</v>
      </c>
      <c r="E226" s="28" t="n">
        <f aca="false">E225+D226</f>
        <v>137.244630625</v>
      </c>
      <c r="F226" s="28" t="n">
        <f aca="false">MAX(0,MAX($E$2:E226))</f>
        <v>140.384943125</v>
      </c>
      <c r="G226" s="28" t="n">
        <f aca="false">E226-F226</f>
        <v>-3.14031249999999</v>
      </c>
      <c r="H226" s="25" t="n">
        <f aca="false">IF(G226&gt;=-0.0000001,A226,H225)</f>
        <v>46161</v>
      </c>
      <c r="I226" s="29" t="n">
        <f aca="false">IF(AND(G226&gt;=-0.0000001,G225&lt;0),1,0)</f>
        <v>0</v>
      </c>
      <c r="J226" s="30" t="str">
        <f aca="false">IF(I226=1,A226-H225,"")</f>
        <v/>
      </c>
      <c r="K226" s="27" t="n">
        <f aca="false">IF(B226="Wednesday",0,C226)</f>
        <v>0</v>
      </c>
      <c r="L226" s="28" t="n">
        <f aca="false">L225+K226/$T$1*100</f>
        <v>159.2555675</v>
      </c>
      <c r="M226" s="28" t="n">
        <f aca="false">MAX(0,MAX($L$2:L226))</f>
        <v>159.2555675</v>
      </c>
      <c r="N226" s="28" t="n">
        <f aca="false">L226-M226</f>
        <v>0</v>
      </c>
      <c r="O226" s="25" t="n">
        <f aca="false">IF(N226&gt;=-0.0000001,A226,O225)</f>
        <v>46162</v>
      </c>
      <c r="P226" s="29" t="n">
        <f aca="false">IF(AND(N226&gt;=-0.0000001,N225&lt;0),1,0)</f>
        <v>0</v>
      </c>
      <c r="Q226" s="30" t="str">
        <f aca="false">IF(P226=1,A226-O225,"")</f>
        <v/>
      </c>
    </row>
    <row r="227" customFormat="false" ht="15" hidden="false" customHeight="false" outlineLevel="0" collapsed="false">
      <c r="A227" s="25" t="n">
        <v>46163</v>
      </c>
      <c r="B227" s="26" t="s">
        <v>82</v>
      </c>
      <c r="C227" s="27" t="n">
        <v>-7150</v>
      </c>
      <c r="D227" s="28" t="n">
        <f aca="false">C227/$T$1*100</f>
        <v>-0.446875</v>
      </c>
      <c r="E227" s="28" t="n">
        <f aca="false">E226+D227</f>
        <v>136.797755625</v>
      </c>
      <c r="F227" s="28" t="n">
        <f aca="false">MAX(0,MAX($E$2:E227))</f>
        <v>140.384943125</v>
      </c>
      <c r="G227" s="28" t="n">
        <f aca="false">E227-F227</f>
        <v>-3.5871875</v>
      </c>
      <c r="H227" s="25" t="n">
        <f aca="false">IF(G227&gt;=-0.0000001,A227,H226)</f>
        <v>46161</v>
      </c>
      <c r="I227" s="29" t="n">
        <f aca="false">IF(AND(G227&gt;=-0.0000001,G226&lt;0),1,0)</f>
        <v>0</v>
      </c>
      <c r="J227" s="30" t="str">
        <f aca="false">IF(I227=1,A227-H226,"")</f>
        <v/>
      </c>
      <c r="K227" s="27" t="n">
        <f aca="false">IF(B227="Wednesday",0,C227)</f>
        <v>-7150</v>
      </c>
      <c r="L227" s="28" t="n">
        <f aca="false">L226+K227/$T$1*100</f>
        <v>158.8086925</v>
      </c>
      <c r="M227" s="28" t="n">
        <f aca="false">MAX(0,MAX($L$2:L227))</f>
        <v>159.2555675</v>
      </c>
      <c r="N227" s="28" t="n">
        <f aca="false">L227-M227</f>
        <v>-0.446875000000006</v>
      </c>
      <c r="O227" s="25" t="n">
        <f aca="false">IF(N227&gt;=-0.0000001,A227,O226)</f>
        <v>46162</v>
      </c>
      <c r="P227" s="29" t="n">
        <f aca="false">IF(AND(N227&gt;=-0.0000001,N226&lt;0),1,0)</f>
        <v>0</v>
      </c>
      <c r="Q227" s="30" t="str">
        <f aca="false">IF(P227=1,A227-O226,"")</f>
        <v/>
      </c>
    </row>
    <row r="228" customFormat="false" ht="15" hidden="false" customHeight="false" outlineLevel="0" collapsed="false">
      <c r="A228" s="25" t="n">
        <v>46164</v>
      </c>
      <c r="B228" s="26" t="s">
        <v>83</v>
      </c>
      <c r="C228" s="27" t="n">
        <v>11878.75</v>
      </c>
      <c r="D228" s="28" t="n">
        <f aca="false">C228/$T$1*100</f>
        <v>0.742421875</v>
      </c>
      <c r="E228" s="28" t="n">
        <f aca="false">E227+D228</f>
        <v>137.5401775</v>
      </c>
      <c r="F228" s="28" t="n">
        <f aca="false">MAX(0,MAX($E$2:E228))</f>
        <v>140.384943125</v>
      </c>
      <c r="G228" s="28" t="n">
        <f aca="false">E228-F228</f>
        <v>-2.84476562500001</v>
      </c>
      <c r="H228" s="25" t="n">
        <f aca="false">IF(G228&gt;=-0.0000001,A228,H227)</f>
        <v>46161</v>
      </c>
      <c r="I228" s="29" t="n">
        <f aca="false">IF(AND(G228&gt;=-0.0000001,G227&lt;0),1,0)</f>
        <v>0</v>
      </c>
      <c r="J228" s="30" t="str">
        <f aca="false">IF(I228=1,A228-H227,"")</f>
        <v/>
      </c>
      <c r="K228" s="27" t="n">
        <f aca="false">IF(B228="Wednesday",0,C228)</f>
        <v>11878.75</v>
      </c>
      <c r="L228" s="28" t="n">
        <f aca="false">L227+K228/$T$1*100</f>
        <v>159.551114375</v>
      </c>
      <c r="M228" s="28" t="n">
        <f aca="false">MAX(0,MAX($L$2:L228))</f>
        <v>159.551114375</v>
      </c>
      <c r="N228" s="28" t="n">
        <f aca="false">L228-M228</f>
        <v>0</v>
      </c>
      <c r="O228" s="25" t="n">
        <f aca="false">IF(N228&gt;=-0.0000001,A228,O227)</f>
        <v>46164</v>
      </c>
      <c r="P228" s="29" t="n">
        <f aca="false">IF(AND(N228&gt;=-0.0000001,N227&lt;0),1,0)</f>
        <v>1</v>
      </c>
      <c r="Q228" s="30" t="n">
        <f aca="false">IF(P228=1,A228-O227,"")</f>
        <v>2</v>
      </c>
    </row>
    <row r="229" customFormat="false" ht="15" hidden="false" customHeight="false" outlineLevel="0" collapsed="false">
      <c r="A229" s="25" t="n">
        <v>46167</v>
      </c>
      <c r="B229" s="26" t="s">
        <v>79</v>
      </c>
      <c r="C229" s="27" t="n">
        <v>-34609.25</v>
      </c>
      <c r="D229" s="28" t="n">
        <f aca="false">C229/$T$1*100</f>
        <v>-2.163078125</v>
      </c>
      <c r="E229" s="28" t="n">
        <f aca="false">E228+D229</f>
        <v>135.377099375</v>
      </c>
      <c r="F229" s="28" t="n">
        <f aca="false">MAX(0,MAX($E$2:E229))</f>
        <v>140.384943125</v>
      </c>
      <c r="G229" s="28" t="n">
        <f aca="false">E229-F229</f>
        <v>-5.00784375000001</v>
      </c>
      <c r="H229" s="25" t="n">
        <f aca="false">IF(G229&gt;=-0.0000001,A229,H228)</f>
        <v>46161</v>
      </c>
      <c r="I229" s="29" t="n">
        <f aca="false">IF(AND(G229&gt;=-0.0000001,G228&lt;0),1,0)</f>
        <v>0</v>
      </c>
      <c r="J229" s="30" t="str">
        <f aca="false">IF(I229=1,A229-H228,"")</f>
        <v/>
      </c>
      <c r="K229" s="27" t="n">
        <f aca="false">IF(B229="Wednesday",0,C229)</f>
        <v>-34609.25</v>
      </c>
      <c r="L229" s="28" t="n">
        <f aca="false">L228+K229/$T$1*100</f>
        <v>157.38803625</v>
      </c>
      <c r="M229" s="28" t="n">
        <f aca="false">MAX(0,MAX($L$2:L229))</f>
        <v>159.551114375</v>
      </c>
      <c r="N229" s="28" t="n">
        <f aca="false">L229-M229</f>
        <v>-2.163078125</v>
      </c>
      <c r="O229" s="25" t="n">
        <f aca="false">IF(N229&gt;=-0.0000001,A229,O228)</f>
        <v>46164</v>
      </c>
      <c r="P229" s="29" t="n">
        <f aca="false">IF(AND(N229&gt;=-0.0000001,N228&lt;0),1,0)</f>
        <v>0</v>
      </c>
      <c r="Q229" s="30" t="str">
        <f aca="false">IF(P229=1,A229-O228,"")</f>
        <v/>
      </c>
    </row>
    <row r="230" customFormat="false" ht="15" hidden="false" customHeight="false" outlineLevel="0" collapsed="false">
      <c r="A230" s="25" t="n">
        <v>46168</v>
      </c>
      <c r="B230" s="26" t="s">
        <v>80</v>
      </c>
      <c r="C230" s="27" t="n">
        <v>47736</v>
      </c>
      <c r="D230" s="28" t="n">
        <f aca="false">C230/$T$1*100</f>
        <v>2.9835</v>
      </c>
      <c r="E230" s="28" t="n">
        <f aca="false">E229+D230</f>
        <v>138.360599375</v>
      </c>
      <c r="F230" s="28" t="n">
        <f aca="false">MAX(0,MAX($E$2:E230))</f>
        <v>140.384943125</v>
      </c>
      <c r="G230" s="28" t="n">
        <f aca="false">E230-F230</f>
        <v>-2.02434375000001</v>
      </c>
      <c r="H230" s="25" t="n">
        <f aca="false">IF(G230&gt;=-0.0000001,A230,H229)</f>
        <v>46161</v>
      </c>
      <c r="I230" s="29" t="n">
        <f aca="false">IF(AND(G230&gt;=-0.0000001,G229&lt;0),1,0)</f>
        <v>0</v>
      </c>
      <c r="J230" s="30" t="str">
        <f aca="false">IF(I230=1,A230-H229,"")</f>
        <v/>
      </c>
      <c r="K230" s="27" t="n">
        <f aca="false">IF(B230="Wednesday",0,C230)</f>
        <v>47736</v>
      </c>
      <c r="L230" s="28" t="n">
        <f aca="false">L229+K230/$T$1*100</f>
        <v>160.37153625</v>
      </c>
      <c r="M230" s="28" t="n">
        <f aca="false">MAX(0,MAX($L$2:L230))</f>
        <v>160.37153625</v>
      </c>
      <c r="N230" s="28" t="n">
        <f aca="false">L230-M230</f>
        <v>0</v>
      </c>
      <c r="O230" s="25" t="n">
        <f aca="false">IF(N230&gt;=-0.0000001,A230,O229)</f>
        <v>46168</v>
      </c>
      <c r="P230" s="29" t="n">
        <f aca="false">IF(AND(N230&gt;=-0.0000001,N229&lt;0),1,0)</f>
        <v>1</v>
      </c>
      <c r="Q230" s="30" t="n">
        <f aca="false">IF(P230=1,A230-O229,"")</f>
        <v>4</v>
      </c>
    </row>
    <row r="231" customFormat="false" ht="15" hidden="false" customHeight="false" outlineLevel="0" collapsed="false">
      <c r="A231" s="25" t="n">
        <v>46169</v>
      </c>
      <c r="B231" s="26" t="s">
        <v>81</v>
      </c>
      <c r="C231" s="27" t="n">
        <v>-5736.25</v>
      </c>
      <c r="D231" s="28" t="n">
        <f aca="false">C231/$T$1*100</f>
        <v>-0.358515625</v>
      </c>
      <c r="E231" s="28" t="n">
        <f aca="false">E230+D231</f>
        <v>138.00208375</v>
      </c>
      <c r="F231" s="28" t="n">
        <f aca="false">MAX(0,MAX($E$2:E231))</f>
        <v>140.384943125</v>
      </c>
      <c r="G231" s="28" t="n">
        <f aca="false">E231-F231</f>
        <v>-2.38285937500001</v>
      </c>
      <c r="H231" s="25" t="n">
        <f aca="false">IF(G231&gt;=-0.0000001,A231,H230)</f>
        <v>46161</v>
      </c>
      <c r="I231" s="29" t="n">
        <f aca="false">IF(AND(G231&gt;=-0.0000001,G230&lt;0),1,0)</f>
        <v>0</v>
      </c>
      <c r="J231" s="30" t="str">
        <f aca="false">IF(I231=1,A231-H230,"")</f>
        <v/>
      </c>
      <c r="K231" s="27" t="n">
        <f aca="false">IF(B231="Wednesday",0,C231)</f>
        <v>0</v>
      </c>
      <c r="L231" s="28" t="n">
        <f aca="false">L230+K231/$T$1*100</f>
        <v>160.37153625</v>
      </c>
      <c r="M231" s="28" t="n">
        <f aca="false">MAX(0,MAX($L$2:L231))</f>
        <v>160.37153625</v>
      </c>
      <c r="N231" s="28" t="n">
        <f aca="false">L231-M231</f>
        <v>0</v>
      </c>
      <c r="O231" s="25" t="n">
        <f aca="false">IF(N231&gt;=-0.0000001,A231,O230)</f>
        <v>46169</v>
      </c>
      <c r="P231" s="29" t="n">
        <f aca="false">IF(AND(N231&gt;=-0.0000001,N230&lt;0),1,0)</f>
        <v>0</v>
      </c>
      <c r="Q231" s="30" t="str">
        <f aca="false">IF(P231=1,A231-O230,"")</f>
        <v/>
      </c>
    </row>
    <row r="232" customFormat="false" ht="15" hidden="false" customHeight="false" outlineLevel="0" collapsed="false">
      <c r="A232" s="25" t="n">
        <v>46171</v>
      </c>
      <c r="B232" s="26" t="s">
        <v>83</v>
      </c>
      <c r="C232" s="27" t="n">
        <v>22668.75</v>
      </c>
      <c r="D232" s="28" t="n">
        <f aca="false">C232/$T$1*100</f>
        <v>1.416796875</v>
      </c>
      <c r="E232" s="28" t="n">
        <f aca="false">E231+D232</f>
        <v>139.418880625</v>
      </c>
      <c r="F232" s="28" t="n">
        <f aca="false">MAX(0,MAX($E$2:E232))</f>
        <v>140.384943125</v>
      </c>
      <c r="G232" s="28" t="n">
        <f aca="false">E232-F232</f>
        <v>-0.966062500000021</v>
      </c>
      <c r="H232" s="25" t="n">
        <f aca="false">IF(G232&gt;=-0.0000001,A232,H231)</f>
        <v>46161</v>
      </c>
      <c r="I232" s="29" t="n">
        <f aca="false">IF(AND(G232&gt;=-0.0000001,G231&lt;0),1,0)</f>
        <v>0</v>
      </c>
      <c r="J232" s="30" t="str">
        <f aca="false">IF(I232=1,A232-H231,"")</f>
        <v/>
      </c>
      <c r="K232" s="27" t="n">
        <f aca="false">IF(B232="Wednesday",0,C232)</f>
        <v>22668.75</v>
      </c>
      <c r="L232" s="28" t="n">
        <f aca="false">L231+K232/$T$1*100</f>
        <v>161.788333125</v>
      </c>
      <c r="M232" s="28" t="n">
        <f aca="false">MAX(0,MAX($L$2:L232))</f>
        <v>161.788333125</v>
      </c>
      <c r="N232" s="28" t="n">
        <f aca="false">L232-M232</f>
        <v>0</v>
      </c>
      <c r="O232" s="25" t="n">
        <f aca="false">IF(N232&gt;=-0.0000001,A232,O231)</f>
        <v>46171</v>
      </c>
      <c r="P232" s="29" t="n">
        <f aca="false">IF(AND(N232&gt;=-0.0000001,N231&lt;0),1,0)</f>
        <v>0</v>
      </c>
      <c r="Q232" s="30" t="str">
        <f aca="false">IF(P232=1,A232-O231,"")</f>
        <v/>
      </c>
    </row>
    <row r="233" customFormat="false" ht="15" hidden="false" customHeight="false" outlineLevel="0" collapsed="false">
      <c r="A233" s="25" t="n">
        <v>46174</v>
      </c>
      <c r="B233" s="26" t="s">
        <v>79</v>
      </c>
      <c r="C233" s="27" t="n">
        <v>41466.75</v>
      </c>
      <c r="D233" s="28" t="n">
        <f aca="false">C233/$T$1*100</f>
        <v>2.591671875</v>
      </c>
      <c r="E233" s="28" t="n">
        <f aca="false">E232+D233</f>
        <v>142.0105525</v>
      </c>
      <c r="F233" s="28" t="n">
        <f aca="false">MAX(0,MAX($E$2:E233))</f>
        <v>142.0105525</v>
      </c>
      <c r="G233" s="28" t="n">
        <f aca="false">E233-F233</f>
        <v>0</v>
      </c>
      <c r="H233" s="25" t="n">
        <f aca="false">IF(G233&gt;=-0.0000001,A233,H232)</f>
        <v>46174</v>
      </c>
      <c r="I233" s="29" t="n">
        <f aca="false">IF(AND(G233&gt;=-0.0000001,G232&lt;0),1,0)</f>
        <v>1</v>
      </c>
      <c r="J233" s="30" t="n">
        <f aca="false">IF(I233=1,A233-H232,"")</f>
        <v>13</v>
      </c>
      <c r="K233" s="27" t="n">
        <f aca="false">IF(B233="Wednesday",0,C233)</f>
        <v>41466.75</v>
      </c>
      <c r="L233" s="28" t="n">
        <f aca="false">L232+K233/$T$1*100</f>
        <v>164.380005</v>
      </c>
      <c r="M233" s="28" t="n">
        <f aca="false">MAX(0,MAX($L$2:L233))</f>
        <v>164.380005</v>
      </c>
      <c r="N233" s="28" t="n">
        <f aca="false">L233-M233</f>
        <v>0</v>
      </c>
      <c r="O233" s="25" t="n">
        <f aca="false">IF(N233&gt;=-0.0000001,A233,O232)</f>
        <v>46174</v>
      </c>
      <c r="P233" s="29" t="n">
        <f aca="false">IF(AND(N233&gt;=-0.0000001,N232&lt;0),1,0)</f>
        <v>0</v>
      </c>
      <c r="Q233" s="30" t="str">
        <f aca="false">IF(P233=1,A233-O232,"")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1600000</v>
      </c>
    </row>
    <row r="2" customFormat="false" ht="15" hidden="false" customHeight="false" outlineLevel="0" collapsed="false">
      <c r="A2" s="25" t="n">
        <v>45814</v>
      </c>
      <c r="B2" s="26" t="s">
        <v>83</v>
      </c>
      <c r="C2" s="27" t="n">
        <v>-30582.33</v>
      </c>
      <c r="D2" s="28" t="n">
        <f aca="false">C2/$T$1*100</f>
        <v>-1.911395625</v>
      </c>
      <c r="E2" s="28" t="n">
        <f aca="false">D2</f>
        <v>-1.911395625</v>
      </c>
      <c r="F2" s="28" t="n">
        <f aca="false">MAX(0,MAX($E$2:E2))</f>
        <v>0</v>
      </c>
      <c r="G2" s="28" t="n">
        <f aca="false">E2-F2</f>
        <v>-1.911395625</v>
      </c>
      <c r="H2" s="25" t="n">
        <f aca="false">IF(G2&gt;=-0.0000001,A2,A2)</f>
        <v>45814</v>
      </c>
      <c r="I2" s="29" t="n">
        <v>0</v>
      </c>
      <c r="J2" s="30"/>
      <c r="K2" s="27" t="n">
        <f aca="false">IF(B2="Wednesday",0,C2)</f>
        <v>-30582.33</v>
      </c>
      <c r="L2" s="28" t="n">
        <f aca="false">K2/$T$1*100</f>
        <v>-1.911395625</v>
      </c>
      <c r="M2" s="28" t="n">
        <f aca="false">MAX(0,MAX($L$2:L2))</f>
        <v>0</v>
      </c>
      <c r="N2" s="28" t="n">
        <f aca="false">L2-M2</f>
        <v>-1.911395625</v>
      </c>
      <c r="O2" s="25" t="n">
        <f aca="false">IF(N2&gt;=-0.0000001,A2,A2)</f>
        <v>45814</v>
      </c>
      <c r="P2" s="29" t="n">
        <v>0</v>
      </c>
      <c r="Q2" s="30"/>
      <c r="S2" s="23" t="s">
        <v>108</v>
      </c>
      <c r="T2" s="31" t="n">
        <f aca="false">MAX(A2:A233)</f>
        <v>46174</v>
      </c>
    </row>
    <row r="3" customFormat="false" ht="15" hidden="false" customHeight="false" outlineLevel="0" collapsed="false">
      <c r="A3" s="25" t="n">
        <v>45817</v>
      </c>
      <c r="B3" s="26" t="s">
        <v>79</v>
      </c>
      <c r="C3" s="27" t="n">
        <v>36146.06</v>
      </c>
      <c r="D3" s="28" t="n">
        <f aca="false">C3/$T$1*100</f>
        <v>2.25912875</v>
      </c>
      <c r="E3" s="28" t="n">
        <f aca="false">E2+D3</f>
        <v>0.347733125</v>
      </c>
      <c r="F3" s="28" t="n">
        <f aca="false">MAX(0,MAX($E$2:E3))</f>
        <v>0.347733125</v>
      </c>
      <c r="G3" s="28" t="n">
        <f aca="false">E3-F3</f>
        <v>0</v>
      </c>
      <c r="H3" s="25" t="n">
        <f aca="false">IF(G3&gt;=-0.0000001,A3,H2)</f>
        <v>45817</v>
      </c>
      <c r="I3" s="29" t="n">
        <f aca="false">IF(AND(G3&gt;=-0.0000001,G2&lt;0),1,0)</f>
        <v>1</v>
      </c>
      <c r="J3" s="30" t="n">
        <f aca="false">IF(I3=1,A3-H2,"")</f>
        <v>3</v>
      </c>
      <c r="K3" s="27" t="n">
        <f aca="false">IF(B3="Wednesday",0,C3)</f>
        <v>36146.06</v>
      </c>
      <c r="L3" s="28" t="n">
        <f aca="false">L2+K3/$T$1*100</f>
        <v>0.347733125</v>
      </c>
      <c r="M3" s="28" t="n">
        <f aca="false">MAX(0,MAX($L$2:L3))</f>
        <v>0.347733125</v>
      </c>
      <c r="N3" s="28" t="n">
        <f aca="false">L3-M3</f>
        <v>0</v>
      </c>
      <c r="O3" s="25" t="n">
        <f aca="false">IF(N3&gt;=-0.0000001,A3,O2)</f>
        <v>45817</v>
      </c>
      <c r="P3" s="29" t="n">
        <f aca="false">IF(AND(N3&gt;=-0.0000001,N2&lt;0),1,0)</f>
        <v>1</v>
      </c>
      <c r="Q3" s="30" t="n">
        <f aca="false">IF(P3=1,A3-O2,"")</f>
        <v>3</v>
      </c>
      <c r="S3" s="23" t="s">
        <v>109</v>
      </c>
      <c r="T3" s="31" t="n">
        <f aca="false">EDATE($T$2,-1)</f>
        <v>46143</v>
      </c>
    </row>
    <row r="4" customFormat="false" ht="15" hidden="false" customHeight="false" outlineLevel="0" collapsed="false">
      <c r="A4" s="25" t="n">
        <v>45819</v>
      </c>
      <c r="B4" s="26" t="s">
        <v>81</v>
      </c>
      <c r="C4" s="27" t="n">
        <v>3155.03</v>
      </c>
      <c r="D4" s="28" t="n">
        <f aca="false">C4/$T$1*100</f>
        <v>0.197189375</v>
      </c>
      <c r="E4" s="28" t="n">
        <f aca="false">E3+D4</f>
        <v>0.5449225</v>
      </c>
      <c r="F4" s="28" t="n">
        <f aca="false">MAX(0,MAX($E$2:E4))</f>
        <v>0.5449225</v>
      </c>
      <c r="G4" s="28" t="n">
        <f aca="false">E4-F4</f>
        <v>0</v>
      </c>
      <c r="H4" s="25" t="n">
        <f aca="false">IF(G4&gt;=-0.0000001,A4,H3)</f>
        <v>45819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0</v>
      </c>
      <c r="L4" s="28" t="n">
        <f aca="false">L3+K4/$T$1*100</f>
        <v>0.347733125</v>
      </c>
      <c r="M4" s="28" t="n">
        <f aca="false">MAX(0,MAX($L$2:L4))</f>
        <v>0.347733125</v>
      </c>
      <c r="N4" s="28" t="n">
        <f aca="false">L4-M4</f>
        <v>0</v>
      </c>
      <c r="O4" s="25" t="n">
        <f aca="false">IF(N4&gt;=-0.0000001,A4,O3)</f>
        <v>45819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46082</v>
      </c>
    </row>
    <row r="5" customFormat="false" ht="15" hidden="false" customHeight="false" outlineLevel="0" collapsed="false">
      <c r="A5" s="25" t="n">
        <v>45820</v>
      </c>
      <c r="B5" s="26" t="s">
        <v>82</v>
      </c>
      <c r="C5" s="27" t="n">
        <v>17909.47</v>
      </c>
      <c r="D5" s="28" t="n">
        <f aca="false">C5/$T$1*100</f>
        <v>1.119341875</v>
      </c>
      <c r="E5" s="28" t="n">
        <f aca="false">E4+D5</f>
        <v>1.664264375</v>
      </c>
      <c r="F5" s="28" t="n">
        <f aca="false">MAX(0,MAX($E$2:E5))</f>
        <v>1.664264375</v>
      </c>
      <c r="G5" s="28" t="n">
        <f aca="false">E5-F5</f>
        <v>0</v>
      </c>
      <c r="H5" s="25" t="n">
        <f aca="false">IF(G5&gt;=-0.0000001,A5,H4)</f>
        <v>45820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17909.47</v>
      </c>
      <c r="L5" s="28" t="n">
        <f aca="false">L4+K5/$T$1*100</f>
        <v>1.467075</v>
      </c>
      <c r="M5" s="28" t="n">
        <f aca="false">MAX(0,MAX($L$2:L5))</f>
        <v>1.467075</v>
      </c>
      <c r="N5" s="28" t="n">
        <f aca="false">L5-M5</f>
        <v>0</v>
      </c>
      <c r="O5" s="25" t="n">
        <f aca="false">IF(N5&gt;=-0.0000001,A5,O4)</f>
        <v>45820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45992</v>
      </c>
    </row>
    <row r="6" customFormat="false" ht="15" hidden="false" customHeight="false" outlineLevel="0" collapsed="false">
      <c r="A6" s="25" t="n">
        <v>45824</v>
      </c>
      <c r="B6" s="26" t="s">
        <v>79</v>
      </c>
      <c r="C6" s="27" t="n">
        <v>6661.82</v>
      </c>
      <c r="D6" s="28" t="n">
        <f aca="false">C6/$T$1*100</f>
        <v>0.41636375</v>
      </c>
      <c r="E6" s="28" t="n">
        <f aca="false">E5+D6</f>
        <v>2.080628125</v>
      </c>
      <c r="F6" s="28" t="n">
        <f aca="false">MAX(0,MAX($E$2:E6))</f>
        <v>2.080628125</v>
      </c>
      <c r="G6" s="28" t="n">
        <f aca="false">E6-F6</f>
        <v>0</v>
      </c>
      <c r="H6" s="25" t="n">
        <f aca="false">IF(G6&gt;=-0.0000001,A6,H5)</f>
        <v>45824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6661.82</v>
      </c>
      <c r="L6" s="28" t="n">
        <f aca="false">L5+K6/$T$1*100</f>
        <v>1.88343875</v>
      </c>
      <c r="M6" s="28" t="n">
        <f aca="false">MAX(0,MAX($L$2:L6))</f>
        <v>1.88343875</v>
      </c>
      <c r="N6" s="28" t="n">
        <f aca="false">L6-M6</f>
        <v>0</v>
      </c>
      <c r="O6" s="25" t="n">
        <f aca="false">IF(N6&gt;=-0.0000001,A6,O5)</f>
        <v>45824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45809</v>
      </c>
    </row>
    <row r="7" customFormat="false" ht="15" hidden="false" customHeight="false" outlineLevel="0" collapsed="false">
      <c r="A7" s="25" t="n">
        <v>45826</v>
      </c>
      <c r="B7" s="26" t="s">
        <v>81</v>
      </c>
      <c r="C7" s="27" t="n">
        <v>-29049.49</v>
      </c>
      <c r="D7" s="28" t="n">
        <f aca="false">C7/$T$1*100</f>
        <v>-1.815593125</v>
      </c>
      <c r="E7" s="28" t="n">
        <f aca="false">E6+D7</f>
        <v>0.265035</v>
      </c>
      <c r="F7" s="28" t="n">
        <f aca="false">MAX(0,MAX($E$2:E7))</f>
        <v>2.080628125</v>
      </c>
      <c r="G7" s="28" t="n">
        <f aca="false">E7-F7</f>
        <v>-1.815593125</v>
      </c>
      <c r="H7" s="25" t="n">
        <f aca="false">IF(G7&gt;=-0.0000001,A7,H6)</f>
        <v>45824</v>
      </c>
      <c r="I7" s="29" t="n">
        <f aca="false">IF(AND(G7&gt;=-0.0000001,G6&lt;0),1,0)</f>
        <v>0</v>
      </c>
      <c r="J7" s="30" t="str">
        <f aca="false">IF(I7=1,A7-H6,"")</f>
        <v/>
      </c>
      <c r="K7" s="27" t="n">
        <f aca="false">IF(B7="Wednesday",0,C7)</f>
        <v>0</v>
      </c>
      <c r="L7" s="28" t="n">
        <f aca="false">L6+K7/$T$1*100</f>
        <v>1.88343875</v>
      </c>
      <c r="M7" s="28" t="n">
        <f aca="false">MAX(0,MAX($L$2:L7))</f>
        <v>1.88343875</v>
      </c>
      <c r="N7" s="28" t="n">
        <f aca="false">L7-M7</f>
        <v>0</v>
      </c>
      <c r="O7" s="25" t="n">
        <f aca="false">IF(N7&gt;=-0.0000001,A7,O6)</f>
        <v>45826</v>
      </c>
      <c r="P7" s="29" t="n">
        <f aca="false">IF(AND(N7&gt;=-0.0000001,N6&lt;0),1,0)</f>
        <v>0</v>
      </c>
      <c r="Q7" s="30" t="str">
        <f aca="false">IF(P7=1,A7-O6,"")</f>
        <v/>
      </c>
      <c r="S7" s="23" t="s">
        <v>113</v>
      </c>
      <c r="T7" s="32" t="n">
        <f aca="false">IF(G233&lt;-0.0000001,$T$2-H233,0)</f>
        <v>0</v>
      </c>
    </row>
    <row r="8" customFormat="false" ht="15" hidden="false" customHeight="false" outlineLevel="0" collapsed="false">
      <c r="A8" s="25" t="n">
        <v>45827</v>
      </c>
      <c r="B8" s="26" t="s">
        <v>82</v>
      </c>
      <c r="C8" s="27" t="n">
        <v>28803.37</v>
      </c>
      <c r="D8" s="28" t="n">
        <f aca="false">C8/$T$1*100</f>
        <v>1.800210625</v>
      </c>
      <c r="E8" s="28" t="n">
        <f aca="false">E7+D8</f>
        <v>2.065245625</v>
      </c>
      <c r="F8" s="28" t="n">
        <f aca="false">MAX(0,MAX($E$2:E8))</f>
        <v>2.080628125</v>
      </c>
      <c r="G8" s="28" t="n">
        <f aca="false">E8-F8</f>
        <v>-0.0153824999999999</v>
      </c>
      <c r="H8" s="25" t="n">
        <f aca="false">IF(G8&gt;=-0.0000001,A8,H7)</f>
        <v>45824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28803.37</v>
      </c>
      <c r="L8" s="28" t="n">
        <f aca="false">L7+K8/$T$1*100</f>
        <v>3.683649375</v>
      </c>
      <c r="M8" s="28" t="n">
        <f aca="false">MAX(0,MAX($L$2:L8))</f>
        <v>3.683649375</v>
      </c>
      <c r="N8" s="28" t="n">
        <f aca="false">L8-M8</f>
        <v>0</v>
      </c>
      <c r="O8" s="25" t="n">
        <f aca="false">IF(N8&gt;=-0.0000001,A8,O7)</f>
        <v>45827</v>
      </c>
      <c r="P8" s="29" t="n">
        <f aca="false">IF(AND(N8&gt;=-0.0000001,N7&lt;0),1,0)</f>
        <v>0</v>
      </c>
      <c r="Q8" s="30" t="str">
        <f aca="false">IF(P8=1,A8-O7,"")</f>
        <v/>
      </c>
      <c r="S8" s="23" t="s">
        <v>114</v>
      </c>
      <c r="T8" s="32" t="n">
        <f aca="false">IF(N233&lt;-0.0000001,$T$2-O233,0)</f>
        <v>0</v>
      </c>
    </row>
    <row r="9" customFormat="false" ht="15" hidden="false" customHeight="false" outlineLevel="0" collapsed="false">
      <c r="A9" s="25" t="n">
        <v>45831</v>
      </c>
      <c r="B9" s="26" t="s">
        <v>79</v>
      </c>
      <c r="C9" s="27" t="n">
        <v>12581.92</v>
      </c>
      <c r="D9" s="28" t="n">
        <f aca="false">C9/$T$1*100</f>
        <v>0.78637</v>
      </c>
      <c r="E9" s="28" t="n">
        <f aca="false">E8+D9</f>
        <v>2.851615625</v>
      </c>
      <c r="F9" s="28" t="n">
        <f aca="false">MAX(0,MAX($E$2:E9))</f>
        <v>2.851615625</v>
      </c>
      <c r="G9" s="28" t="n">
        <f aca="false">E9-F9</f>
        <v>0</v>
      </c>
      <c r="H9" s="25" t="n">
        <f aca="false">IF(G9&gt;=-0.0000001,A9,H8)</f>
        <v>45831</v>
      </c>
      <c r="I9" s="29" t="n">
        <f aca="false">IF(AND(G9&gt;=-0.0000001,G8&lt;0),1,0)</f>
        <v>1</v>
      </c>
      <c r="J9" s="30" t="n">
        <f aca="false">IF(I9=1,A9-H8,"")</f>
        <v>7</v>
      </c>
      <c r="K9" s="27" t="n">
        <f aca="false">IF(B9="Wednesday",0,C9)</f>
        <v>12581.92</v>
      </c>
      <c r="L9" s="28" t="n">
        <f aca="false">L8+K9/$T$1*100</f>
        <v>4.470019375</v>
      </c>
      <c r="M9" s="28" t="n">
        <f aca="false">MAX(0,MAX($L$2:L9))</f>
        <v>4.470019375</v>
      </c>
      <c r="N9" s="28" t="n">
        <f aca="false">L9-M9</f>
        <v>0</v>
      </c>
      <c r="O9" s="25" t="n">
        <f aca="false">IF(N9&gt;=-0.0000001,A9,O8)</f>
        <v>45831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MIN(A2:A233)</f>
        <v>45814</v>
      </c>
    </row>
    <row r="10" customFormat="false" ht="15" hidden="false" customHeight="false" outlineLevel="0" collapsed="false">
      <c r="A10" s="25" t="n">
        <v>45832</v>
      </c>
      <c r="B10" s="26" t="s">
        <v>80</v>
      </c>
      <c r="C10" s="27" t="n">
        <v>-13758.85</v>
      </c>
      <c r="D10" s="28" t="n">
        <f aca="false">C10/$T$1*100</f>
        <v>-0.859928125</v>
      </c>
      <c r="E10" s="28" t="n">
        <f aca="false">E9+D10</f>
        <v>1.9916875</v>
      </c>
      <c r="F10" s="28" t="n">
        <f aca="false">MAX(0,MAX($E$2:E10))</f>
        <v>2.851615625</v>
      </c>
      <c r="G10" s="28" t="n">
        <f aca="false">E10-F10</f>
        <v>-0.859928125</v>
      </c>
      <c r="H10" s="25" t="n">
        <f aca="false">IF(G10&gt;=-0.0000001,A10,H9)</f>
        <v>45831</v>
      </c>
      <c r="I10" s="29" t="n">
        <f aca="false">IF(AND(G10&gt;=-0.0000001,G9&lt;0),1,0)</f>
        <v>0</v>
      </c>
      <c r="J10" s="30" t="str">
        <f aca="false">IF(I10=1,A10-H9,"")</f>
        <v/>
      </c>
      <c r="K10" s="27" t="n">
        <f aca="false">IF(B10="Wednesday",0,C10)</f>
        <v>-13758.85</v>
      </c>
      <c r="L10" s="28" t="n">
        <f aca="false">L9+K10/$T$1*100</f>
        <v>3.61009125</v>
      </c>
      <c r="M10" s="28" t="n">
        <f aca="false">MAX(0,MAX($L$2:L10))</f>
        <v>4.470019375</v>
      </c>
      <c r="N10" s="28" t="n">
        <f aca="false">L10-M10</f>
        <v>-0.859928125</v>
      </c>
      <c r="O10" s="25" t="n">
        <f aca="false">IF(N10&gt;=-0.0000001,A10,O9)</f>
        <v>45831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45833</v>
      </c>
      <c r="B11" s="26" t="s">
        <v>81</v>
      </c>
      <c r="C11" s="27" t="n">
        <v>23447.68</v>
      </c>
      <c r="D11" s="28" t="n">
        <f aca="false">C11/$T$1*100</f>
        <v>1.46548</v>
      </c>
      <c r="E11" s="28" t="n">
        <f aca="false">E10+D11</f>
        <v>3.4571675</v>
      </c>
      <c r="F11" s="28" t="n">
        <f aca="false">MAX(0,MAX($E$2:E11))</f>
        <v>3.4571675</v>
      </c>
      <c r="G11" s="28" t="n">
        <f aca="false">E11-F11</f>
        <v>0</v>
      </c>
      <c r="H11" s="25" t="n">
        <f aca="false">IF(G11&gt;=-0.0000001,A11,H10)</f>
        <v>45833</v>
      </c>
      <c r="I11" s="29" t="n">
        <f aca="false">IF(AND(G11&gt;=-0.0000001,G10&lt;0),1,0)</f>
        <v>1</v>
      </c>
      <c r="J11" s="30" t="n">
        <f aca="false">IF(I11=1,A11-H10,"")</f>
        <v>2</v>
      </c>
      <c r="K11" s="27" t="n">
        <f aca="false">IF(B11="Wednesday",0,C11)</f>
        <v>0</v>
      </c>
      <c r="L11" s="28" t="n">
        <f aca="false">L10+K11/$T$1*100</f>
        <v>3.61009125</v>
      </c>
      <c r="M11" s="28" t="n">
        <f aca="false">MAX(0,MAX($L$2:L11))</f>
        <v>4.470019375</v>
      </c>
      <c r="N11" s="28" t="n">
        <f aca="false">L11-M11</f>
        <v>-0.859928125</v>
      </c>
      <c r="O11" s="25" t="n">
        <f aca="false">IF(N11&gt;=-0.0000001,A11,O10)</f>
        <v>45831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45834</v>
      </c>
      <c r="B12" s="26" t="s">
        <v>82</v>
      </c>
      <c r="C12" s="27" t="n">
        <v>26066.85</v>
      </c>
      <c r="D12" s="28" t="n">
        <f aca="false">C12/$T$1*100</f>
        <v>1.629178125</v>
      </c>
      <c r="E12" s="28" t="n">
        <f aca="false">E11+D12</f>
        <v>5.086345625</v>
      </c>
      <c r="F12" s="28" t="n">
        <f aca="false">MAX(0,MAX($E$2:E12))</f>
        <v>5.086345625</v>
      </c>
      <c r="G12" s="28" t="n">
        <f aca="false">E12-F12</f>
        <v>0</v>
      </c>
      <c r="H12" s="25" t="n">
        <f aca="false">IF(G12&gt;=-0.0000001,A12,H11)</f>
        <v>45834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26066.85</v>
      </c>
      <c r="L12" s="28" t="n">
        <f aca="false">L11+K12/$T$1*100</f>
        <v>5.239269375</v>
      </c>
      <c r="M12" s="28" t="n">
        <f aca="false">MAX(0,MAX($L$2:L12))</f>
        <v>5.239269375</v>
      </c>
      <c r="N12" s="28" t="n">
        <f aca="false">L12-M12</f>
        <v>0</v>
      </c>
      <c r="O12" s="25" t="n">
        <f aca="false">IF(N12&gt;=-0.0000001,A12,O11)</f>
        <v>45834</v>
      </c>
      <c r="P12" s="29" t="n">
        <f aca="false">IF(AND(N12&gt;=-0.0000001,N11&lt;0),1,0)</f>
        <v>1</v>
      </c>
      <c r="Q12" s="30" t="n">
        <f aca="false">IF(P12=1,A12-O11,"")</f>
        <v>3</v>
      </c>
    </row>
    <row r="13" customFormat="false" ht="15" hidden="false" customHeight="false" outlineLevel="0" collapsed="false">
      <c r="A13" s="25" t="n">
        <v>45838</v>
      </c>
      <c r="B13" s="26" t="s">
        <v>79</v>
      </c>
      <c r="C13" s="27" t="n">
        <v>-22633.53</v>
      </c>
      <c r="D13" s="28" t="n">
        <f aca="false">C13/$T$1*100</f>
        <v>-1.414595625</v>
      </c>
      <c r="E13" s="28" t="n">
        <f aca="false">E12+D13</f>
        <v>3.67175</v>
      </c>
      <c r="F13" s="28" t="n">
        <f aca="false">MAX(0,MAX($E$2:E13))</f>
        <v>5.086345625</v>
      </c>
      <c r="G13" s="28" t="n">
        <f aca="false">E13-F13</f>
        <v>-1.414595625</v>
      </c>
      <c r="H13" s="25" t="n">
        <f aca="false">IF(G13&gt;=-0.0000001,A13,H12)</f>
        <v>45834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-22633.53</v>
      </c>
      <c r="L13" s="28" t="n">
        <f aca="false">L12+K13/$T$1*100</f>
        <v>3.82467375</v>
      </c>
      <c r="M13" s="28" t="n">
        <f aca="false">MAX(0,MAX($L$2:L13))</f>
        <v>5.239269375</v>
      </c>
      <c r="N13" s="28" t="n">
        <f aca="false">L13-M13</f>
        <v>-1.414595625</v>
      </c>
      <c r="O13" s="25" t="n">
        <f aca="false">IF(N13&gt;=-0.0000001,A13,O12)</f>
        <v>45834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45840</v>
      </c>
      <c r="B14" s="26" t="s">
        <v>81</v>
      </c>
      <c r="C14" s="27" t="n">
        <v>19007.79</v>
      </c>
      <c r="D14" s="28" t="n">
        <f aca="false">C14/$T$1*100</f>
        <v>1.187986875</v>
      </c>
      <c r="E14" s="28" t="n">
        <f aca="false">E13+D14</f>
        <v>4.859736875</v>
      </c>
      <c r="F14" s="28" t="n">
        <f aca="false">MAX(0,MAX($E$2:E14))</f>
        <v>5.086345625</v>
      </c>
      <c r="G14" s="28" t="n">
        <f aca="false">E14-F14</f>
        <v>-0.22660875</v>
      </c>
      <c r="H14" s="25" t="n">
        <f aca="false">IF(G14&gt;=-0.0000001,A14,H13)</f>
        <v>45834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0</v>
      </c>
      <c r="L14" s="28" t="n">
        <f aca="false">L13+K14/$T$1*100</f>
        <v>3.82467375</v>
      </c>
      <c r="M14" s="28" t="n">
        <f aca="false">MAX(0,MAX($L$2:L14))</f>
        <v>5.239269375</v>
      </c>
      <c r="N14" s="28" t="n">
        <f aca="false">L14-M14</f>
        <v>-1.414595625</v>
      </c>
      <c r="O14" s="25" t="n">
        <f aca="false">IF(N14&gt;=-0.0000001,A14,O13)</f>
        <v>45834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45841</v>
      </c>
      <c r="B15" s="26" t="s">
        <v>82</v>
      </c>
      <c r="C15" s="27" t="n">
        <v>29144.05</v>
      </c>
      <c r="D15" s="28" t="n">
        <f aca="false">C15/$T$1*100</f>
        <v>1.821503125</v>
      </c>
      <c r="E15" s="28" t="n">
        <f aca="false">E14+D15</f>
        <v>6.68124</v>
      </c>
      <c r="F15" s="28" t="n">
        <f aca="false">MAX(0,MAX($E$2:E15))</f>
        <v>6.68124</v>
      </c>
      <c r="G15" s="28" t="n">
        <f aca="false">E15-F15</f>
        <v>0</v>
      </c>
      <c r="H15" s="25" t="n">
        <f aca="false">IF(G15&gt;=-0.0000001,A15,H14)</f>
        <v>45841</v>
      </c>
      <c r="I15" s="29" t="n">
        <f aca="false">IF(AND(G15&gt;=-0.0000001,G14&lt;0),1,0)</f>
        <v>1</v>
      </c>
      <c r="J15" s="30" t="n">
        <f aca="false">IF(I15=1,A15-H14,"")</f>
        <v>7</v>
      </c>
      <c r="K15" s="27" t="n">
        <f aca="false">IF(B15="Wednesday",0,C15)</f>
        <v>29144.05</v>
      </c>
      <c r="L15" s="28" t="n">
        <f aca="false">L14+K15/$T$1*100</f>
        <v>5.646176875</v>
      </c>
      <c r="M15" s="28" t="n">
        <f aca="false">MAX(0,MAX($L$2:L15))</f>
        <v>5.646176875</v>
      </c>
      <c r="N15" s="28" t="n">
        <f aca="false">L15-M15</f>
        <v>0</v>
      </c>
      <c r="O15" s="25" t="n">
        <f aca="false">IF(N15&gt;=-0.0000001,A15,O14)</f>
        <v>45841</v>
      </c>
      <c r="P15" s="29" t="n">
        <f aca="false">IF(AND(N15&gt;=-0.0000001,N14&lt;0),1,0)</f>
        <v>1</v>
      </c>
      <c r="Q15" s="30" t="n">
        <f aca="false">IF(P15=1,A15-O14,"")</f>
        <v>7</v>
      </c>
    </row>
    <row r="16" customFormat="false" ht="15" hidden="false" customHeight="false" outlineLevel="0" collapsed="false">
      <c r="A16" s="25" t="n">
        <v>45845</v>
      </c>
      <c r="B16" s="26" t="s">
        <v>79</v>
      </c>
      <c r="C16" s="27" t="n">
        <v>-39.24</v>
      </c>
      <c r="D16" s="28" t="n">
        <f aca="false">C16/$T$1*100</f>
        <v>-0.0024525</v>
      </c>
      <c r="E16" s="28" t="n">
        <f aca="false">E15+D16</f>
        <v>6.6787875</v>
      </c>
      <c r="F16" s="28" t="n">
        <f aca="false">MAX(0,MAX($E$2:E16))</f>
        <v>6.68124</v>
      </c>
      <c r="G16" s="28" t="n">
        <f aca="false">E16-F16</f>
        <v>-0.00245250000000041</v>
      </c>
      <c r="H16" s="25" t="n">
        <f aca="false">IF(G16&gt;=-0.0000001,A16,H15)</f>
        <v>45841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-39.24</v>
      </c>
      <c r="L16" s="28" t="n">
        <f aca="false">L15+K16/$T$1*100</f>
        <v>5.643724375</v>
      </c>
      <c r="M16" s="28" t="n">
        <f aca="false">MAX(0,MAX($L$2:L16))</f>
        <v>5.646176875</v>
      </c>
      <c r="N16" s="28" t="n">
        <f aca="false">L16-M16</f>
        <v>-0.00245250000000041</v>
      </c>
      <c r="O16" s="25" t="n">
        <f aca="false">IF(N16&gt;=-0.0000001,A16,O15)</f>
        <v>45841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45846</v>
      </c>
      <c r="B17" s="26" t="s">
        <v>80</v>
      </c>
      <c r="C17" s="27" t="n">
        <v>-13379.48</v>
      </c>
      <c r="D17" s="28" t="n">
        <f aca="false">C17/$T$1*100</f>
        <v>-0.8362175</v>
      </c>
      <c r="E17" s="28" t="n">
        <f aca="false">E16+D17</f>
        <v>5.84257</v>
      </c>
      <c r="F17" s="28" t="n">
        <f aca="false">MAX(0,MAX($E$2:E17))</f>
        <v>6.68124</v>
      </c>
      <c r="G17" s="28" t="n">
        <f aca="false">E17-F17</f>
        <v>-0.838670000000001</v>
      </c>
      <c r="H17" s="25" t="n">
        <f aca="false">IF(G17&gt;=-0.0000001,A17,H16)</f>
        <v>45841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-13379.48</v>
      </c>
      <c r="L17" s="28" t="n">
        <f aca="false">L16+K17/$T$1*100</f>
        <v>4.807506875</v>
      </c>
      <c r="M17" s="28" t="n">
        <f aca="false">MAX(0,MAX($L$2:L17))</f>
        <v>5.646176875</v>
      </c>
      <c r="N17" s="28" t="n">
        <f aca="false">L17-M17</f>
        <v>-0.838670000000001</v>
      </c>
      <c r="O17" s="25" t="n">
        <f aca="false">IF(N17&gt;=-0.0000001,A17,O16)</f>
        <v>45841</v>
      </c>
      <c r="P17" s="29" t="n">
        <f aca="false">IF(AND(N17&gt;=-0.0000001,N16&lt;0),1,0)</f>
        <v>0</v>
      </c>
      <c r="Q17" s="30" t="str">
        <f aca="false">IF(P17=1,A17-O16,"")</f>
        <v/>
      </c>
    </row>
    <row r="18" customFormat="false" ht="15" hidden="false" customHeight="false" outlineLevel="0" collapsed="false">
      <c r="A18" s="25" t="n">
        <v>45847</v>
      </c>
      <c r="B18" s="26" t="s">
        <v>81</v>
      </c>
      <c r="C18" s="27" t="n">
        <v>-27009.78</v>
      </c>
      <c r="D18" s="28" t="n">
        <f aca="false">C18/$T$1*100</f>
        <v>-1.68811125</v>
      </c>
      <c r="E18" s="28" t="n">
        <f aca="false">E17+D18</f>
        <v>4.15445875</v>
      </c>
      <c r="F18" s="28" t="n">
        <f aca="false">MAX(0,MAX($E$2:E18))</f>
        <v>6.68124</v>
      </c>
      <c r="G18" s="28" t="n">
        <f aca="false">E18-F18</f>
        <v>-2.52678125</v>
      </c>
      <c r="H18" s="25" t="n">
        <f aca="false">IF(G18&gt;=-0.0000001,A18,H17)</f>
        <v>45841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0</v>
      </c>
      <c r="L18" s="28" t="n">
        <f aca="false">L17+K18/$T$1*100</f>
        <v>4.807506875</v>
      </c>
      <c r="M18" s="28" t="n">
        <f aca="false">MAX(0,MAX($L$2:L18))</f>
        <v>5.646176875</v>
      </c>
      <c r="N18" s="28" t="n">
        <f aca="false">L18-M18</f>
        <v>-0.838670000000001</v>
      </c>
      <c r="O18" s="25" t="n">
        <f aca="false">IF(N18&gt;=-0.0000001,A18,O17)</f>
        <v>45841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45848</v>
      </c>
      <c r="B19" s="26" t="s">
        <v>82</v>
      </c>
      <c r="C19" s="27" t="n">
        <v>15501.95</v>
      </c>
      <c r="D19" s="28" t="n">
        <f aca="false">C19/$T$1*100</f>
        <v>0.968871875</v>
      </c>
      <c r="E19" s="28" t="n">
        <f aca="false">E18+D19</f>
        <v>5.123330625</v>
      </c>
      <c r="F19" s="28" t="n">
        <f aca="false">MAX(0,MAX($E$2:E19))</f>
        <v>6.68124</v>
      </c>
      <c r="G19" s="28" t="n">
        <f aca="false">E19-F19</f>
        <v>-1.557909375</v>
      </c>
      <c r="H19" s="25" t="n">
        <f aca="false">IF(G19&gt;=-0.0000001,A19,H18)</f>
        <v>45841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15501.95</v>
      </c>
      <c r="L19" s="28" t="n">
        <f aca="false">L18+K19/$T$1*100</f>
        <v>5.77637875</v>
      </c>
      <c r="M19" s="28" t="n">
        <f aca="false">MAX(0,MAX($L$2:L19))</f>
        <v>5.77637875</v>
      </c>
      <c r="N19" s="28" t="n">
        <f aca="false">L19-M19</f>
        <v>0</v>
      </c>
      <c r="O19" s="25" t="n">
        <f aca="false">IF(N19&gt;=-0.0000001,A19,O18)</f>
        <v>45848</v>
      </c>
      <c r="P19" s="29" t="n">
        <f aca="false">IF(AND(N19&gt;=-0.0000001,N18&lt;0),1,0)</f>
        <v>1</v>
      </c>
      <c r="Q19" s="30" t="n">
        <f aca="false">IF(P19=1,A19-O18,"")</f>
        <v>7</v>
      </c>
    </row>
    <row r="20" customFormat="false" ht="15" hidden="false" customHeight="false" outlineLevel="0" collapsed="false">
      <c r="A20" s="25" t="n">
        <v>45849</v>
      </c>
      <c r="B20" s="26" t="s">
        <v>83</v>
      </c>
      <c r="C20" s="27" t="n">
        <v>-2171.25</v>
      </c>
      <c r="D20" s="28" t="n">
        <f aca="false">C20/$T$1*100</f>
        <v>-0.135703125</v>
      </c>
      <c r="E20" s="28" t="n">
        <f aca="false">E19+D20</f>
        <v>4.9876275</v>
      </c>
      <c r="F20" s="28" t="n">
        <f aca="false">MAX(0,MAX($E$2:E20))</f>
        <v>6.68124</v>
      </c>
      <c r="G20" s="28" t="n">
        <f aca="false">E20-F20</f>
        <v>-1.6936125</v>
      </c>
      <c r="H20" s="25" t="n">
        <f aca="false">IF(G20&gt;=-0.0000001,A20,H19)</f>
        <v>45841</v>
      </c>
      <c r="I20" s="29" t="n">
        <f aca="false">IF(AND(G20&gt;=-0.0000001,G19&lt;0),1,0)</f>
        <v>0</v>
      </c>
      <c r="J20" s="30" t="str">
        <f aca="false">IF(I20=1,A20-H19,"")</f>
        <v/>
      </c>
      <c r="K20" s="27" t="n">
        <f aca="false">IF(B20="Wednesday",0,C20)</f>
        <v>-2171.25</v>
      </c>
      <c r="L20" s="28" t="n">
        <f aca="false">L19+K20/$T$1*100</f>
        <v>5.640675625</v>
      </c>
      <c r="M20" s="28" t="n">
        <f aca="false">MAX(0,MAX($L$2:L20))</f>
        <v>5.77637875</v>
      </c>
      <c r="N20" s="28" t="n">
        <f aca="false">L20-M20</f>
        <v>-0.135703125</v>
      </c>
      <c r="O20" s="25" t="n">
        <f aca="false">IF(N20&gt;=-0.0000001,A20,O19)</f>
        <v>45848</v>
      </c>
      <c r="P20" s="29" t="n">
        <f aca="false">IF(AND(N20&gt;=-0.0000001,N19&lt;0),1,0)</f>
        <v>0</v>
      </c>
      <c r="Q20" s="30" t="str">
        <f aca="false">IF(P20=1,A20-O19,"")</f>
        <v/>
      </c>
    </row>
    <row r="21" customFormat="false" ht="15" hidden="false" customHeight="false" outlineLevel="0" collapsed="false">
      <c r="A21" s="25" t="n">
        <v>45852</v>
      </c>
      <c r="B21" s="26" t="s">
        <v>79</v>
      </c>
      <c r="C21" s="27" t="n">
        <v>23697.08</v>
      </c>
      <c r="D21" s="28" t="n">
        <f aca="false">C21/$T$1*100</f>
        <v>1.4810675</v>
      </c>
      <c r="E21" s="28" t="n">
        <f aca="false">E20+D21</f>
        <v>6.468695</v>
      </c>
      <c r="F21" s="28" t="n">
        <f aca="false">MAX(0,MAX($E$2:E21))</f>
        <v>6.68124</v>
      </c>
      <c r="G21" s="28" t="n">
        <f aca="false">E21-F21</f>
        <v>-0.212545000000001</v>
      </c>
      <c r="H21" s="25" t="n">
        <f aca="false">IF(G21&gt;=-0.0000001,A21,H20)</f>
        <v>45841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23697.08</v>
      </c>
      <c r="L21" s="28" t="n">
        <f aca="false">L20+K21/$T$1*100</f>
        <v>7.121743125</v>
      </c>
      <c r="M21" s="28" t="n">
        <f aca="false">MAX(0,MAX($L$2:L21))</f>
        <v>7.121743125</v>
      </c>
      <c r="N21" s="28" t="n">
        <f aca="false">L21-M21</f>
        <v>0</v>
      </c>
      <c r="O21" s="25" t="n">
        <f aca="false">IF(N21&gt;=-0.0000001,A21,O20)</f>
        <v>45852</v>
      </c>
      <c r="P21" s="29" t="n">
        <f aca="false">IF(AND(N21&gt;=-0.0000001,N20&lt;0),1,0)</f>
        <v>1</v>
      </c>
      <c r="Q21" s="30" t="n">
        <f aca="false">IF(P21=1,A21-O20,"")</f>
        <v>4</v>
      </c>
    </row>
    <row r="22" customFormat="false" ht="15" hidden="false" customHeight="false" outlineLevel="0" collapsed="false">
      <c r="A22" s="25" t="n">
        <v>45853</v>
      </c>
      <c r="B22" s="26" t="s">
        <v>80</v>
      </c>
      <c r="C22" s="27" t="n">
        <v>-26783.7</v>
      </c>
      <c r="D22" s="28" t="n">
        <f aca="false">C22/$T$1*100</f>
        <v>-1.67398125</v>
      </c>
      <c r="E22" s="28" t="n">
        <f aca="false">E21+D22</f>
        <v>4.79471375</v>
      </c>
      <c r="F22" s="28" t="n">
        <f aca="false">MAX(0,MAX($E$2:E22))</f>
        <v>6.68124</v>
      </c>
      <c r="G22" s="28" t="n">
        <f aca="false">E22-F22</f>
        <v>-1.88652625</v>
      </c>
      <c r="H22" s="25" t="n">
        <f aca="false">IF(G22&gt;=-0.0000001,A22,H21)</f>
        <v>45841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-26783.7</v>
      </c>
      <c r="L22" s="28" t="n">
        <f aca="false">L21+K22/$T$1*100</f>
        <v>5.447761875</v>
      </c>
      <c r="M22" s="28" t="n">
        <f aca="false">MAX(0,MAX($L$2:L22))</f>
        <v>7.121743125</v>
      </c>
      <c r="N22" s="28" t="n">
        <f aca="false">L22-M22</f>
        <v>-1.67398125</v>
      </c>
      <c r="O22" s="25" t="n">
        <f aca="false">IF(N22&gt;=-0.0000001,A22,O21)</f>
        <v>45852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45854</v>
      </c>
      <c r="B23" s="26" t="s">
        <v>81</v>
      </c>
      <c r="C23" s="27" t="n">
        <v>13497.36</v>
      </c>
      <c r="D23" s="28" t="n">
        <f aca="false">C23/$T$1*100</f>
        <v>0.843585</v>
      </c>
      <c r="E23" s="28" t="n">
        <f aca="false">E22+D23</f>
        <v>5.63829875</v>
      </c>
      <c r="F23" s="28" t="n">
        <f aca="false">MAX(0,MAX($E$2:E23))</f>
        <v>6.68124</v>
      </c>
      <c r="G23" s="28" t="n">
        <f aca="false">E23-F23</f>
        <v>-1.04294125</v>
      </c>
      <c r="H23" s="25" t="n">
        <f aca="false">IF(G23&gt;=-0.0000001,A23,H22)</f>
        <v>45841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0</v>
      </c>
      <c r="L23" s="28" t="n">
        <f aca="false">L22+K23/$T$1*100</f>
        <v>5.447761875</v>
      </c>
      <c r="M23" s="28" t="n">
        <f aca="false">MAX(0,MAX($L$2:L23))</f>
        <v>7.121743125</v>
      </c>
      <c r="N23" s="28" t="n">
        <f aca="false">L23-M23</f>
        <v>-1.67398125</v>
      </c>
      <c r="O23" s="25" t="n">
        <f aca="false">IF(N23&gt;=-0.0000001,A23,O22)</f>
        <v>45852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45855</v>
      </c>
      <c r="B24" s="26" t="s">
        <v>82</v>
      </c>
      <c r="C24" s="27" t="n">
        <v>-14708.18</v>
      </c>
      <c r="D24" s="28" t="n">
        <f aca="false">C24/$T$1*100</f>
        <v>-0.91926125</v>
      </c>
      <c r="E24" s="28" t="n">
        <f aca="false">E23+D24</f>
        <v>4.7190375</v>
      </c>
      <c r="F24" s="28" t="n">
        <f aca="false">MAX(0,MAX($E$2:E24))</f>
        <v>6.68124</v>
      </c>
      <c r="G24" s="28" t="n">
        <f aca="false">E24-F24</f>
        <v>-1.9622025</v>
      </c>
      <c r="H24" s="25" t="n">
        <f aca="false">IF(G24&gt;=-0.0000001,A24,H23)</f>
        <v>45841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-14708.18</v>
      </c>
      <c r="L24" s="28" t="n">
        <f aca="false">L23+K24/$T$1*100</f>
        <v>4.528500625</v>
      </c>
      <c r="M24" s="28" t="n">
        <f aca="false">MAX(0,MAX($L$2:L24))</f>
        <v>7.121743125</v>
      </c>
      <c r="N24" s="28" t="n">
        <f aca="false">L24-M24</f>
        <v>-2.5932425</v>
      </c>
      <c r="O24" s="25" t="n">
        <f aca="false">IF(N24&gt;=-0.0000001,A24,O23)</f>
        <v>45852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45859</v>
      </c>
      <c r="B25" s="26" t="s">
        <v>79</v>
      </c>
      <c r="C25" s="27" t="n">
        <v>14454.48</v>
      </c>
      <c r="D25" s="28" t="n">
        <f aca="false">C25/$T$1*100</f>
        <v>0.903405</v>
      </c>
      <c r="E25" s="28" t="n">
        <f aca="false">E24+D25</f>
        <v>5.6224425</v>
      </c>
      <c r="F25" s="28" t="n">
        <f aca="false">MAX(0,MAX($E$2:E25))</f>
        <v>6.68124</v>
      </c>
      <c r="G25" s="28" t="n">
        <f aca="false">E25-F25</f>
        <v>-1.0587975</v>
      </c>
      <c r="H25" s="25" t="n">
        <f aca="false">IF(G25&gt;=-0.0000001,A25,H24)</f>
        <v>45841</v>
      </c>
      <c r="I25" s="29" t="n">
        <f aca="false">IF(AND(G25&gt;=-0.0000001,G24&lt;0),1,0)</f>
        <v>0</v>
      </c>
      <c r="J25" s="30" t="str">
        <f aca="false">IF(I25=1,A25-H24,"")</f>
        <v/>
      </c>
      <c r="K25" s="27" t="n">
        <f aca="false">IF(B25="Wednesday",0,C25)</f>
        <v>14454.48</v>
      </c>
      <c r="L25" s="28" t="n">
        <f aca="false">L24+K25/$T$1*100</f>
        <v>5.431905625</v>
      </c>
      <c r="M25" s="28" t="n">
        <f aca="false">MAX(0,MAX($L$2:L25))</f>
        <v>7.121743125</v>
      </c>
      <c r="N25" s="28" t="n">
        <f aca="false">L25-M25</f>
        <v>-1.6898375</v>
      </c>
      <c r="O25" s="25" t="n">
        <f aca="false">IF(N25&gt;=-0.0000001,A25,O24)</f>
        <v>45852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45860</v>
      </c>
      <c r="B26" s="26" t="s">
        <v>80</v>
      </c>
      <c r="C26" s="27" t="n">
        <v>-14085</v>
      </c>
      <c r="D26" s="28" t="n">
        <f aca="false">C26/$T$1*100</f>
        <v>-0.8803125</v>
      </c>
      <c r="E26" s="28" t="n">
        <f aca="false">E25+D26</f>
        <v>4.74213</v>
      </c>
      <c r="F26" s="28" t="n">
        <f aca="false">MAX(0,MAX($E$2:E26))</f>
        <v>6.68124</v>
      </c>
      <c r="G26" s="28" t="n">
        <f aca="false">E26-F26</f>
        <v>-1.93911</v>
      </c>
      <c r="H26" s="25" t="n">
        <f aca="false">IF(G26&gt;=-0.0000001,A26,H25)</f>
        <v>45841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-14085</v>
      </c>
      <c r="L26" s="28" t="n">
        <f aca="false">L25+K26/$T$1*100</f>
        <v>4.551593125</v>
      </c>
      <c r="M26" s="28" t="n">
        <f aca="false">MAX(0,MAX($L$2:L26))</f>
        <v>7.121743125</v>
      </c>
      <c r="N26" s="28" t="n">
        <f aca="false">L26-M26</f>
        <v>-2.57015</v>
      </c>
      <c r="O26" s="25" t="n">
        <f aca="false">IF(N26&gt;=-0.0000001,A26,O25)</f>
        <v>45852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45861</v>
      </c>
      <c r="B27" s="26" t="s">
        <v>81</v>
      </c>
      <c r="C27" s="27" t="n">
        <v>-26684.52</v>
      </c>
      <c r="D27" s="28" t="n">
        <f aca="false">C27/$T$1*100</f>
        <v>-1.6677825</v>
      </c>
      <c r="E27" s="28" t="n">
        <f aca="false">E26+D27</f>
        <v>3.0743475</v>
      </c>
      <c r="F27" s="28" t="n">
        <f aca="false">MAX(0,MAX($E$2:E27))</f>
        <v>6.68124</v>
      </c>
      <c r="G27" s="28" t="n">
        <f aca="false">E27-F27</f>
        <v>-3.6068925</v>
      </c>
      <c r="H27" s="25" t="n">
        <f aca="false">IF(G27&gt;=-0.0000001,A27,H26)</f>
        <v>45841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0</v>
      </c>
      <c r="L27" s="28" t="n">
        <f aca="false">L26+K27/$T$1*100</f>
        <v>4.551593125</v>
      </c>
      <c r="M27" s="28" t="n">
        <f aca="false">MAX(0,MAX($L$2:L27))</f>
        <v>7.121743125</v>
      </c>
      <c r="N27" s="28" t="n">
        <f aca="false">L27-M27</f>
        <v>-2.57015</v>
      </c>
      <c r="O27" s="25" t="n">
        <f aca="false">IF(N27&gt;=-0.0000001,A27,O26)</f>
        <v>45852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45862</v>
      </c>
      <c r="B28" s="26" t="s">
        <v>82</v>
      </c>
      <c r="C28" s="27" t="n">
        <v>-2592.16</v>
      </c>
      <c r="D28" s="28" t="n">
        <f aca="false">C28/$T$1*100</f>
        <v>-0.16201</v>
      </c>
      <c r="E28" s="28" t="n">
        <f aca="false">E27+D28</f>
        <v>2.9123375</v>
      </c>
      <c r="F28" s="28" t="n">
        <f aca="false">MAX(0,MAX($E$2:E28))</f>
        <v>6.68124</v>
      </c>
      <c r="G28" s="28" t="n">
        <f aca="false">E28-F28</f>
        <v>-3.7689025</v>
      </c>
      <c r="H28" s="25" t="n">
        <f aca="false">IF(G28&gt;=-0.0000001,A28,H27)</f>
        <v>45841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-2592.16</v>
      </c>
      <c r="L28" s="28" t="n">
        <f aca="false">L27+K28/$T$1*100</f>
        <v>4.389583125</v>
      </c>
      <c r="M28" s="28" t="n">
        <f aca="false">MAX(0,MAX($L$2:L28))</f>
        <v>7.121743125</v>
      </c>
      <c r="N28" s="28" t="n">
        <f aca="false">L28-M28</f>
        <v>-2.73216</v>
      </c>
      <c r="O28" s="25" t="n">
        <f aca="false">IF(N28&gt;=-0.0000001,A28,O27)</f>
        <v>45852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45863</v>
      </c>
      <c r="B29" s="26" t="s">
        <v>83</v>
      </c>
      <c r="C29" s="27" t="n">
        <v>16481.25</v>
      </c>
      <c r="D29" s="28" t="n">
        <f aca="false">C29/$T$1*100</f>
        <v>1.030078125</v>
      </c>
      <c r="E29" s="28" t="n">
        <f aca="false">E28+D29</f>
        <v>3.942415625</v>
      </c>
      <c r="F29" s="28" t="n">
        <f aca="false">MAX(0,MAX($E$2:E29))</f>
        <v>6.68124</v>
      </c>
      <c r="G29" s="28" t="n">
        <f aca="false">E29-F29</f>
        <v>-2.738824375</v>
      </c>
      <c r="H29" s="25" t="n">
        <f aca="false">IF(G29&gt;=-0.0000001,A29,H28)</f>
        <v>45841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16481.25</v>
      </c>
      <c r="L29" s="28" t="n">
        <f aca="false">L28+K29/$T$1*100</f>
        <v>5.41966125</v>
      </c>
      <c r="M29" s="28" t="n">
        <f aca="false">MAX(0,MAX($L$2:L29))</f>
        <v>7.121743125</v>
      </c>
      <c r="N29" s="28" t="n">
        <f aca="false">L29-M29</f>
        <v>-1.702081875</v>
      </c>
      <c r="O29" s="25" t="n">
        <f aca="false">IF(N29&gt;=-0.0000001,A29,O28)</f>
        <v>45852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45866</v>
      </c>
      <c r="B30" s="26" t="s">
        <v>79</v>
      </c>
      <c r="C30" s="27" t="n">
        <v>79927.77</v>
      </c>
      <c r="D30" s="28" t="n">
        <f aca="false">C30/$T$1*100</f>
        <v>4.995485625</v>
      </c>
      <c r="E30" s="28" t="n">
        <f aca="false">E29+D30</f>
        <v>8.93790125</v>
      </c>
      <c r="F30" s="28" t="n">
        <f aca="false">MAX(0,MAX($E$2:E30))</f>
        <v>8.93790125</v>
      </c>
      <c r="G30" s="28" t="n">
        <f aca="false">E30-F30</f>
        <v>0</v>
      </c>
      <c r="H30" s="25" t="n">
        <f aca="false">IF(G30&gt;=-0.0000001,A30,H29)</f>
        <v>45866</v>
      </c>
      <c r="I30" s="29" t="n">
        <f aca="false">IF(AND(G30&gt;=-0.0000001,G29&lt;0),1,0)</f>
        <v>1</v>
      </c>
      <c r="J30" s="30" t="n">
        <f aca="false">IF(I30=1,A30-H29,"")</f>
        <v>25</v>
      </c>
      <c r="K30" s="27" t="n">
        <f aca="false">IF(B30="Wednesday",0,C30)</f>
        <v>79927.77</v>
      </c>
      <c r="L30" s="28" t="n">
        <f aca="false">L29+K30/$T$1*100</f>
        <v>10.415146875</v>
      </c>
      <c r="M30" s="28" t="n">
        <f aca="false">MAX(0,MAX($L$2:L30))</f>
        <v>10.415146875</v>
      </c>
      <c r="N30" s="28" t="n">
        <f aca="false">L30-M30</f>
        <v>0</v>
      </c>
      <c r="O30" s="25" t="n">
        <f aca="false">IF(N30&gt;=-0.0000001,A30,O29)</f>
        <v>45866</v>
      </c>
      <c r="P30" s="29" t="n">
        <f aca="false">IF(AND(N30&gt;=-0.0000001,N29&lt;0),1,0)</f>
        <v>1</v>
      </c>
      <c r="Q30" s="30" t="n">
        <f aca="false">IF(P30=1,A30-O29,"")</f>
        <v>14</v>
      </c>
    </row>
    <row r="31" customFormat="false" ht="15" hidden="false" customHeight="false" outlineLevel="0" collapsed="false">
      <c r="A31" s="25" t="n">
        <v>45867</v>
      </c>
      <c r="B31" s="26" t="s">
        <v>80</v>
      </c>
      <c r="C31" s="27" t="n">
        <v>-14310</v>
      </c>
      <c r="D31" s="28" t="n">
        <f aca="false">C31/$T$1*100</f>
        <v>-0.894375</v>
      </c>
      <c r="E31" s="28" t="n">
        <f aca="false">E30+D31</f>
        <v>8.04352625</v>
      </c>
      <c r="F31" s="28" t="n">
        <f aca="false">MAX(0,MAX($E$2:E31))</f>
        <v>8.93790125</v>
      </c>
      <c r="G31" s="28" t="n">
        <f aca="false">E31-F31</f>
        <v>-0.894375</v>
      </c>
      <c r="H31" s="25" t="n">
        <f aca="false">IF(G31&gt;=-0.0000001,A31,H30)</f>
        <v>45866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-14310</v>
      </c>
      <c r="L31" s="28" t="n">
        <f aca="false">L30+K31/$T$1*100</f>
        <v>9.520771875</v>
      </c>
      <c r="M31" s="28" t="n">
        <f aca="false">MAX(0,MAX($L$2:L31))</f>
        <v>10.415146875</v>
      </c>
      <c r="N31" s="28" t="n">
        <f aca="false">L31-M31</f>
        <v>-0.894375</v>
      </c>
      <c r="O31" s="25" t="n">
        <f aca="false">IF(N31&gt;=-0.0000001,A31,O30)</f>
        <v>45866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45868</v>
      </c>
      <c r="B32" s="26" t="s">
        <v>81</v>
      </c>
      <c r="C32" s="27" t="n">
        <v>19953.77</v>
      </c>
      <c r="D32" s="28" t="n">
        <f aca="false">C32/$T$1*100</f>
        <v>1.247110625</v>
      </c>
      <c r="E32" s="28" t="n">
        <f aca="false">E31+D32</f>
        <v>9.290636875</v>
      </c>
      <c r="F32" s="28" t="n">
        <f aca="false">MAX(0,MAX($E$2:E32))</f>
        <v>9.290636875</v>
      </c>
      <c r="G32" s="28" t="n">
        <f aca="false">E32-F32</f>
        <v>0</v>
      </c>
      <c r="H32" s="25" t="n">
        <f aca="false">IF(G32&gt;=-0.0000001,A32,H31)</f>
        <v>45868</v>
      </c>
      <c r="I32" s="29" t="n">
        <f aca="false">IF(AND(G32&gt;=-0.0000001,G31&lt;0),1,0)</f>
        <v>1</v>
      </c>
      <c r="J32" s="30" t="n">
        <f aca="false">IF(I32=1,A32-H31,"")</f>
        <v>2</v>
      </c>
      <c r="K32" s="27" t="n">
        <f aca="false">IF(B32="Wednesday",0,C32)</f>
        <v>0</v>
      </c>
      <c r="L32" s="28" t="n">
        <f aca="false">L31+K32/$T$1*100</f>
        <v>9.520771875</v>
      </c>
      <c r="M32" s="28" t="n">
        <f aca="false">MAX(0,MAX($L$2:L32))</f>
        <v>10.415146875</v>
      </c>
      <c r="N32" s="28" t="n">
        <f aca="false">L32-M32</f>
        <v>-0.894375</v>
      </c>
      <c r="O32" s="25" t="n">
        <f aca="false">IF(N32&gt;=-0.0000001,A32,O31)</f>
        <v>45866</v>
      </c>
      <c r="P32" s="29" t="n">
        <f aca="false">IF(AND(N32&gt;=-0.0000001,N31&lt;0),1,0)</f>
        <v>0</v>
      </c>
      <c r="Q32" s="30" t="str">
        <f aca="false">IF(P32=1,A32-O31,"")</f>
        <v/>
      </c>
    </row>
    <row r="33" customFormat="false" ht="15" hidden="false" customHeight="false" outlineLevel="0" collapsed="false">
      <c r="A33" s="25" t="n">
        <v>45869</v>
      </c>
      <c r="B33" s="26" t="s">
        <v>82</v>
      </c>
      <c r="C33" s="27" t="n">
        <v>-50199.95</v>
      </c>
      <c r="D33" s="28" t="n">
        <f aca="false">C33/$T$1*100</f>
        <v>-3.137496875</v>
      </c>
      <c r="E33" s="28" t="n">
        <f aca="false">E32+D33</f>
        <v>6.15314</v>
      </c>
      <c r="F33" s="28" t="n">
        <f aca="false">MAX(0,MAX($E$2:E33))</f>
        <v>9.290636875</v>
      </c>
      <c r="G33" s="28" t="n">
        <f aca="false">E33-F33</f>
        <v>-3.137496875</v>
      </c>
      <c r="H33" s="25" t="n">
        <f aca="false">IF(G33&gt;=-0.0000001,A33,H32)</f>
        <v>45868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-50199.95</v>
      </c>
      <c r="L33" s="28" t="n">
        <f aca="false">L32+K33/$T$1*100</f>
        <v>6.383275</v>
      </c>
      <c r="M33" s="28" t="n">
        <f aca="false">MAX(0,MAX($L$2:L33))</f>
        <v>10.415146875</v>
      </c>
      <c r="N33" s="28" t="n">
        <f aca="false">L33-M33</f>
        <v>-4.031871875</v>
      </c>
      <c r="O33" s="25" t="n">
        <f aca="false">IF(N33&gt;=-0.0000001,A33,O32)</f>
        <v>45866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45870</v>
      </c>
      <c r="B34" s="26" t="s">
        <v>83</v>
      </c>
      <c r="C34" s="27" t="n">
        <v>-20861.65</v>
      </c>
      <c r="D34" s="28" t="n">
        <f aca="false">C34/$T$1*100</f>
        <v>-1.303853125</v>
      </c>
      <c r="E34" s="28" t="n">
        <f aca="false">E33+D34</f>
        <v>4.849286875</v>
      </c>
      <c r="F34" s="28" t="n">
        <f aca="false">MAX(0,MAX($E$2:E34))</f>
        <v>9.290636875</v>
      </c>
      <c r="G34" s="28" t="n">
        <f aca="false">E34-F34</f>
        <v>-4.44135</v>
      </c>
      <c r="H34" s="25" t="n">
        <f aca="false">IF(G34&gt;=-0.0000001,A34,H33)</f>
        <v>45868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-20861.65</v>
      </c>
      <c r="L34" s="28" t="n">
        <f aca="false">L33+K34/$T$1*100</f>
        <v>5.079421875</v>
      </c>
      <c r="M34" s="28" t="n">
        <f aca="false">MAX(0,MAX($L$2:L34))</f>
        <v>10.415146875</v>
      </c>
      <c r="N34" s="28" t="n">
        <f aca="false">L34-M34</f>
        <v>-5.335725</v>
      </c>
      <c r="O34" s="25" t="n">
        <f aca="false">IF(N34&gt;=-0.0000001,A34,O33)</f>
        <v>45866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45873</v>
      </c>
      <c r="B35" s="26" t="s">
        <v>79</v>
      </c>
      <c r="C35" s="27" t="n">
        <v>32632.3</v>
      </c>
      <c r="D35" s="28" t="n">
        <f aca="false">C35/$T$1*100</f>
        <v>2.03951875</v>
      </c>
      <c r="E35" s="28" t="n">
        <f aca="false">E34+D35</f>
        <v>6.888805625</v>
      </c>
      <c r="F35" s="28" t="n">
        <f aca="false">MAX(0,MAX($E$2:E35))</f>
        <v>9.290636875</v>
      </c>
      <c r="G35" s="28" t="n">
        <f aca="false">E35-F35</f>
        <v>-2.40183125</v>
      </c>
      <c r="H35" s="25" t="n">
        <f aca="false">IF(G35&gt;=-0.0000001,A35,H34)</f>
        <v>45868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32632.3</v>
      </c>
      <c r="L35" s="28" t="n">
        <f aca="false">L34+K35/$T$1*100</f>
        <v>7.118940625</v>
      </c>
      <c r="M35" s="28" t="n">
        <f aca="false">MAX(0,MAX($L$2:L35))</f>
        <v>10.415146875</v>
      </c>
      <c r="N35" s="28" t="n">
        <f aca="false">L35-M35</f>
        <v>-3.29620625</v>
      </c>
      <c r="O35" s="25" t="n">
        <f aca="false">IF(N35&gt;=-0.0000001,A35,O34)</f>
        <v>45866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45875</v>
      </c>
      <c r="B36" s="26" t="s">
        <v>81</v>
      </c>
      <c r="C36" s="27" t="n">
        <v>47388.37</v>
      </c>
      <c r="D36" s="28" t="n">
        <f aca="false">C36/$T$1*100</f>
        <v>2.961773125</v>
      </c>
      <c r="E36" s="28" t="n">
        <f aca="false">E35+D36</f>
        <v>9.85057875</v>
      </c>
      <c r="F36" s="28" t="n">
        <f aca="false">MAX(0,MAX($E$2:E36))</f>
        <v>9.85057875</v>
      </c>
      <c r="G36" s="28" t="n">
        <f aca="false">E36-F36</f>
        <v>0</v>
      </c>
      <c r="H36" s="25" t="n">
        <f aca="false">IF(G36&gt;=-0.0000001,A36,H35)</f>
        <v>45875</v>
      </c>
      <c r="I36" s="29" t="n">
        <f aca="false">IF(AND(G36&gt;=-0.0000001,G35&lt;0),1,0)</f>
        <v>1</v>
      </c>
      <c r="J36" s="30" t="n">
        <f aca="false">IF(I36=1,A36-H35,"")</f>
        <v>7</v>
      </c>
      <c r="K36" s="27" t="n">
        <f aca="false">IF(B36="Wednesday",0,C36)</f>
        <v>0</v>
      </c>
      <c r="L36" s="28" t="n">
        <f aca="false">L35+K36/$T$1*100</f>
        <v>7.118940625</v>
      </c>
      <c r="M36" s="28" t="n">
        <f aca="false">MAX(0,MAX($L$2:L36))</f>
        <v>10.415146875</v>
      </c>
      <c r="N36" s="28" t="n">
        <f aca="false">L36-M36</f>
        <v>-3.29620625</v>
      </c>
      <c r="O36" s="25" t="n">
        <f aca="false">IF(N36&gt;=-0.0000001,A36,O35)</f>
        <v>45866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45876</v>
      </c>
      <c r="B37" s="26" t="s">
        <v>82</v>
      </c>
      <c r="C37" s="27" t="n">
        <v>12145.02</v>
      </c>
      <c r="D37" s="28" t="n">
        <f aca="false">C37/$T$1*100</f>
        <v>0.75906375</v>
      </c>
      <c r="E37" s="28" t="n">
        <f aca="false">E36+D37</f>
        <v>10.6096425</v>
      </c>
      <c r="F37" s="28" t="n">
        <f aca="false">MAX(0,MAX($E$2:E37))</f>
        <v>10.6096425</v>
      </c>
      <c r="G37" s="28" t="n">
        <f aca="false">E37-F37</f>
        <v>0</v>
      </c>
      <c r="H37" s="25" t="n">
        <f aca="false">IF(G37&gt;=-0.0000001,A37,H36)</f>
        <v>45876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12145.02</v>
      </c>
      <c r="L37" s="28" t="n">
        <f aca="false">L36+K37/$T$1*100</f>
        <v>7.878004375</v>
      </c>
      <c r="M37" s="28" t="n">
        <f aca="false">MAX(0,MAX($L$2:L37))</f>
        <v>10.415146875</v>
      </c>
      <c r="N37" s="28" t="n">
        <f aca="false">L37-M37</f>
        <v>-2.5371425</v>
      </c>
      <c r="O37" s="25" t="n">
        <f aca="false">IF(N37&gt;=-0.0000001,A37,O36)</f>
        <v>45866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45877</v>
      </c>
      <c r="B38" s="26" t="s">
        <v>83</v>
      </c>
      <c r="C38" s="27" t="n">
        <v>-13890</v>
      </c>
      <c r="D38" s="28" t="n">
        <f aca="false">C38/$T$1*100</f>
        <v>-0.868125</v>
      </c>
      <c r="E38" s="28" t="n">
        <f aca="false">E37+D38</f>
        <v>9.7415175</v>
      </c>
      <c r="F38" s="28" t="n">
        <f aca="false">MAX(0,MAX($E$2:E38))</f>
        <v>10.6096425</v>
      </c>
      <c r="G38" s="28" t="n">
        <f aca="false">E38-F38</f>
        <v>-0.868124999999999</v>
      </c>
      <c r="H38" s="25" t="n">
        <f aca="false">IF(G38&gt;=-0.0000001,A38,H37)</f>
        <v>45876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-13890</v>
      </c>
      <c r="L38" s="28" t="n">
        <f aca="false">L37+K38/$T$1*100</f>
        <v>7.009879375</v>
      </c>
      <c r="M38" s="28" t="n">
        <f aca="false">MAX(0,MAX($L$2:L38))</f>
        <v>10.415146875</v>
      </c>
      <c r="N38" s="28" t="n">
        <f aca="false">L38-M38</f>
        <v>-3.4052675</v>
      </c>
      <c r="O38" s="25" t="n">
        <f aca="false">IF(N38&gt;=-0.0000001,A38,O37)</f>
        <v>45866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45880</v>
      </c>
      <c r="B39" s="26" t="s">
        <v>79</v>
      </c>
      <c r="C39" s="27" t="n">
        <v>-24512.39</v>
      </c>
      <c r="D39" s="28" t="n">
        <f aca="false">C39/$T$1*100</f>
        <v>-1.532024375</v>
      </c>
      <c r="E39" s="28" t="n">
        <f aca="false">E38+D39</f>
        <v>8.209493125</v>
      </c>
      <c r="F39" s="28" t="n">
        <f aca="false">MAX(0,MAX($E$2:E39))</f>
        <v>10.6096425</v>
      </c>
      <c r="G39" s="28" t="n">
        <f aca="false">E39-F39</f>
        <v>-2.400149375</v>
      </c>
      <c r="H39" s="25" t="n">
        <f aca="false">IF(G39&gt;=-0.0000001,A39,H38)</f>
        <v>45876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-24512.39</v>
      </c>
      <c r="L39" s="28" t="n">
        <f aca="false">L38+K39/$T$1*100</f>
        <v>5.477855</v>
      </c>
      <c r="M39" s="28" t="n">
        <f aca="false">MAX(0,MAX($L$2:L39))</f>
        <v>10.415146875</v>
      </c>
      <c r="N39" s="28" t="n">
        <f aca="false">L39-M39</f>
        <v>-4.937291875</v>
      </c>
      <c r="O39" s="25" t="n">
        <f aca="false">IF(N39&gt;=-0.0000001,A39,O38)</f>
        <v>45866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45881</v>
      </c>
      <c r="B40" s="26" t="s">
        <v>80</v>
      </c>
      <c r="C40" s="27" t="n">
        <v>-13433.17</v>
      </c>
      <c r="D40" s="28" t="n">
        <f aca="false">C40/$T$1*100</f>
        <v>-0.839573125</v>
      </c>
      <c r="E40" s="28" t="n">
        <f aca="false">E39+D40</f>
        <v>7.36992</v>
      </c>
      <c r="F40" s="28" t="n">
        <f aca="false">MAX(0,MAX($E$2:E40))</f>
        <v>10.6096425</v>
      </c>
      <c r="G40" s="28" t="n">
        <f aca="false">E40-F40</f>
        <v>-3.2397225</v>
      </c>
      <c r="H40" s="25" t="n">
        <f aca="false">IF(G40&gt;=-0.0000001,A40,H39)</f>
        <v>45876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-13433.17</v>
      </c>
      <c r="L40" s="28" t="n">
        <f aca="false">L39+K40/$T$1*100</f>
        <v>4.638281875</v>
      </c>
      <c r="M40" s="28" t="n">
        <f aca="false">MAX(0,MAX($L$2:L40))</f>
        <v>10.415146875</v>
      </c>
      <c r="N40" s="28" t="n">
        <f aca="false">L40-M40</f>
        <v>-5.776865</v>
      </c>
      <c r="O40" s="25" t="n">
        <f aca="false">IF(N40&gt;=-0.0000001,A40,O39)</f>
        <v>45866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45882</v>
      </c>
      <c r="B41" s="26" t="s">
        <v>81</v>
      </c>
      <c r="C41" s="27" t="n">
        <v>21283.4</v>
      </c>
      <c r="D41" s="28" t="n">
        <f aca="false">C41/$T$1*100</f>
        <v>1.3302125</v>
      </c>
      <c r="E41" s="28" t="n">
        <f aca="false">E40+D41</f>
        <v>8.7001325</v>
      </c>
      <c r="F41" s="28" t="n">
        <f aca="false">MAX(0,MAX($E$2:E41))</f>
        <v>10.6096425</v>
      </c>
      <c r="G41" s="28" t="n">
        <f aca="false">E41-F41</f>
        <v>-1.90951</v>
      </c>
      <c r="H41" s="25" t="n">
        <f aca="false">IF(G41&gt;=-0.0000001,A41,H40)</f>
        <v>45876</v>
      </c>
      <c r="I41" s="29" t="n">
        <f aca="false">IF(AND(G41&gt;=-0.0000001,G40&lt;0),1,0)</f>
        <v>0</v>
      </c>
      <c r="J41" s="30" t="str">
        <f aca="false">IF(I41=1,A41-H40,"")</f>
        <v/>
      </c>
      <c r="K41" s="27" t="n">
        <f aca="false">IF(B41="Wednesday",0,C41)</f>
        <v>0</v>
      </c>
      <c r="L41" s="28" t="n">
        <f aca="false">L40+K41/$T$1*100</f>
        <v>4.638281875</v>
      </c>
      <c r="M41" s="28" t="n">
        <f aca="false">MAX(0,MAX($L$2:L41))</f>
        <v>10.415146875</v>
      </c>
      <c r="N41" s="28" t="n">
        <f aca="false">L41-M41</f>
        <v>-5.776865</v>
      </c>
      <c r="O41" s="25" t="n">
        <f aca="false">IF(N41&gt;=-0.0000001,A41,O40)</f>
        <v>45866</v>
      </c>
      <c r="P41" s="29" t="n">
        <f aca="false">IF(AND(N41&gt;=-0.0000001,N40&lt;0),1,0)</f>
        <v>0</v>
      </c>
      <c r="Q41" s="30" t="str">
        <f aca="false">IF(P41=1,A41-O40,"")</f>
        <v/>
      </c>
    </row>
    <row r="42" customFormat="false" ht="15" hidden="false" customHeight="false" outlineLevel="0" collapsed="false">
      <c r="A42" s="25" t="n">
        <v>45883</v>
      </c>
      <c r="B42" s="26" t="s">
        <v>82</v>
      </c>
      <c r="C42" s="27" t="n">
        <v>12293.63</v>
      </c>
      <c r="D42" s="28" t="n">
        <f aca="false">C42/$T$1*100</f>
        <v>0.768351875</v>
      </c>
      <c r="E42" s="28" t="n">
        <f aca="false">E41+D42</f>
        <v>9.468484375</v>
      </c>
      <c r="F42" s="28" t="n">
        <f aca="false">MAX(0,MAX($E$2:E42))</f>
        <v>10.6096425</v>
      </c>
      <c r="G42" s="28" t="n">
        <f aca="false">E42-F42</f>
        <v>-1.141158125</v>
      </c>
      <c r="H42" s="25" t="n">
        <f aca="false">IF(G42&gt;=-0.0000001,A42,H41)</f>
        <v>45876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12293.63</v>
      </c>
      <c r="L42" s="28" t="n">
        <f aca="false">L41+K42/$T$1*100</f>
        <v>5.40663375</v>
      </c>
      <c r="M42" s="28" t="n">
        <f aca="false">MAX(0,MAX($L$2:L42))</f>
        <v>10.415146875</v>
      </c>
      <c r="N42" s="28" t="n">
        <f aca="false">L42-M42</f>
        <v>-5.008513125</v>
      </c>
      <c r="O42" s="25" t="n">
        <f aca="false">IF(N42&gt;=-0.0000001,A42,O41)</f>
        <v>45866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45884</v>
      </c>
      <c r="B43" s="26" t="s">
        <v>83</v>
      </c>
      <c r="C43" s="27" t="n">
        <v>13590</v>
      </c>
      <c r="D43" s="28" t="n">
        <f aca="false">C43/$T$1*100</f>
        <v>0.849375</v>
      </c>
      <c r="E43" s="28" t="n">
        <f aca="false">E42+D43</f>
        <v>10.317859375</v>
      </c>
      <c r="F43" s="28" t="n">
        <f aca="false">MAX(0,MAX($E$2:E43))</f>
        <v>10.6096425</v>
      </c>
      <c r="G43" s="28" t="n">
        <f aca="false">E43-F43</f>
        <v>-0.291783124999999</v>
      </c>
      <c r="H43" s="25" t="n">
        <f aca="false">IF(G43&gt;=-0.0000001,A43,H42)</f>
        <v>45876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13590</v>
      </c>
      <c r="L43" s="28" t="n">
        <f aca="false">L42+K43/$T$1*100</f>
        <v>6.25600875</v>
      </c>
      <c r="M43" s="28" t="n">
        <f aca="false">MAX(0,MAX($L$2:L43))</f>
        <v>10.415146875</v>
      </c>
      <c r="N43" s="28" t="n">
        <f aca="false">L43-M43</f>
        <v>-4.159138125</v>
      </c>
      <c r="O43" s="25" t="n">
        <f aca="false">IF(N43&gt;=-0.0000001,A43,O42)</f>
        <v>45866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45887</v>
      </c>
      <c r="B44" s="26" t="s">
        <v>79</v>
      </c>
      <c r="C44" s="27" t="n">
        <v>-27959.6</v>
      </c>
      <c r="D44" s="28" t="n">
        <f aca="false">C44/$T$1*100</f>
        <v>-1.747475</v>
      </c>
      <c r="E44" s="28" t="n">
        <f aca="false">E43+D44</f>
        <v>8.570384375</v>
      </c>
      <c r="F44" s="28" t="n">
        <f aca="false">MAX(0,MAX($E$2:E44))</f>
        <v>10.6096425</v>
      </c>
      <c r="G44" s="28" t="n">
        <f aca="false">E44-F44</f>
        <v>-2.039258125</v>
      </c>
      <c r="H44" s="25" t="n">
        <f aca="false">IF(G44&gt;=-0.0000001,A44,H43)</f>
        <v>45876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-27959.6</v>
      </c>
      <c r="L44" s="28" t="n">
        <f aca="false">L43+K44/$T$1*100</f>
        <v>4.50853375</v>
      </c>
      <c r="M44" s="28" t="n">
        <f aca="false">MAX(0,MAX($L$2:L44))</f>
        <v>10.415146875</v>
      </c>
      <c r="N44" s="28" t="n">
        <f aca="false">L44-M44</f>
        <v>-5.906613125</v>
      </c>
      <c r="O44" s="25" t="n">
        <f aca="false">IF(N44&gt;=-0.0000001,A44,O43)</f>
        <v>45866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45888</v>
      </c>
      <c r="B45" s="26" t="s">
        <v>80</v>
      </c>
      <c r="C45" s="27" t="n">
        <v>45008.36</v>
      </c>
      <c r="D45" s="28" t="n">
        <f aca="false">C45/$T$1*100</f>
        <v>2.8130225</v>
      </c>
      <c r="E45" s="28" t="n">
        <f aca="false">E44+D45</f>
        <v>11.383406875</v>
      </c>
      <c r="F45" s="28" t="n">
        <f aca="false">MAX(0,MAX($E$2:E45))</f>
        <v>11.383406875</v>
      </c>
      <c r="G45" s="28" t="n">
        <f aca="false">E45-F45</f>
        <v>0</v>
      </c>
      <c r="H45" s="25" t="n">
        <f aca="false">IF(G45&gt;=-0.0000001,A45,H44)</f>
        <v>45888</v>
      </c>
      <c r="I45" s="29" t="n">
        <f aca="false">IF(AND(G45&gt;=-0.0000001,G44&lt;0),1,0)</f>
        <v>1</v>
      </c>
      <c r="J45" s="30" t="n">
        <f aca="false">IF(I45=1,A45-H44,"")</f>
        <v>12</v>
      </c>
      <c r="K45" s="27" t="n">
        <f aca="false">IF(B45="Wednesday",0,C45)</f>
        <v>45008.36</v>
      </c>
      <c r="L45" s="28" t="n">
        <f aca="false">L44+K45/$T$1*100</f>
        <v>7.32155625</v>
      </c>
      <c r="M45" s="28" t="n">
        <f aca="false">MAX(0,MAX($L$2:L45))</f>
        <v>10.415146875</v>
      </c>
      <c r="N45" s="28" t="n">
        <f aca="false">L45-M45</f>
        <v>-3.093590625</v>
      </c>
      <c r="O45" s="25" t="n">
        <f aca="false">IF(N45&gt;=-0.0000001,A45,O44)</f>
        <v>45866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45889</v>
      </c>
      <c r="B46" s="26" t="s">
        <v>81</v>
      </c>
      <c r="C46" s="27" t="n">
        <v>8385.36</v>
      </c>
      <c r="D46" s="28" t="n">
        <f aca="false">C46/$T$1*100</f>
        <v>0.524085</v>
      </c>
      <c r="E46" s="28" t="n">
        <f aca="false">E45+D46</f>
        <v>11.907491875</v>
      </c>
      <c r="F46" s="28" t="n">
        <f aca="false">MAX(0,MAX($E$2:E46))</f>
        <v>11.907491875</v>
      </c>
      <c r="G46" s="28" t="n">
        <f aca="false">E46-F46</f>
        <v>0</v>
      </c>
      <c r="H46" s="25" t="n">
        <f aca="false">IF(G46&gt;=-0.0000001,A46,H45)</f>
        <v>45889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0</v>
      </c>
      <c r="L46" s="28" t="n">
        <f aca="false">L45+K46/$T$1*100</f>
        <v>7.32155625</v>
      </c>
      <c r="M46" s="28" t="n">
        <f aca="false">MAX(0,MAX($L$2:L46))</f>
        <v>10.415146875</v>
      </c>
      <c r="N46" s="28" t="n">
        <f aca="false">L46-M46</f>
        <v>-3.093590625</v>
      </c>
      <c r="O46" s="25" t="n">
        <f aca="false">IF(N46&gt;=-0.0000001,A46,O45)</f>
        <v>45866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45890</v>
      </c>
      <c r="B47" s="26" t="s">
        <v>82</v>
      </c>
      <c r="C47" s="27" t="n">
        <v>25956.14</v>
      </c>
      <c r="D47" s="28" t="n">
        <f aca="false">C47/$T$1*100</f>
        <v>1.62225875</v>
      </c>
      <c r="E47" s="28" t="n">
        <f aca="false">E46+D47</f>
        <v>13.529750625</v>
      </c>
      <c r="F47" s="28" t="n">
        <f aca="false">MAX(0,MAX($E$2:E47))</f>
        <v>13.529750625</v>
      </c>
      <c r="G47" s="28" t="n">
        <f aca="false">E47-F47</f>
        <v>0</v>
      </c>
      <c r="H47" s="25" t="n">
        <f aca="false">IF(G47&gt;=-0.0000001,A47,H46)</f>
        <v>45890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25956.14</v>
      </c>
      <c r="L47" s="28" t="n">
        <f aca="false">L46+K47/$T$1*100</f>
        <v>8.943815</v>
      </c>
      <c r="M47" s="28" t="n">
        <f aca="false">MAX(0,MAX($L$2:L47))</f>
        <v>10.415146875</v>
      </c>
      <c r="N47" s="28" t="n">
        <f aca="false">L47-M47</f>
        <v>-1.471331875</v>
      </c>
      <c r="O47" s="25" t="n">
        <f aca="false">IF(N47&gt;=-0.0000001,A47,O46)</f>
        <v>45866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45891</v>
      </c>
      <c r="B48" s="26" t="s">
        <v>83</v>
      </c>
      <c r="C48" s="27" t="n">
        <v>5636.25</v>
      </c>
      <c r="D48" s="28" t="n">
        <f aca="false">C48/$T$1*100</f>
        <v>0.352265625</v>
      </c>
      <c r="E48" s="28" t="n">
        <f aca="false">E47+D48</f>
        <v>13.88201625</v>
      </c>
      <c r="F48" s="28" t="n">
        <f aca="false">MAX(0,MAX($E$2:E48))</f>
        <v>13.88201625</v>
      </c>
      <c r="G48" s="28" t="n">
        <f aca="false">E48-F48</f>
        <v>0</v>
      </c>
      <c r="H48" s="25" t="n">
        <f aca="false">IF(G48&gt;=-0.0000001,A48,H47)</f>
        <v>45891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5636.25</v>
      </c>
      <c r="L48" s="28" t="n">
        <f aca="false">L47+K48/$T$1*100</f>
        <v>9.296080625</v>
      </c>
      <c r="M48" s="28" t="n">
        <f aca="false">MAX(0,MAX($L$2:L48))</f>
        <v>10.415146875</v>
      </c>
      <c r="N48" s="28" t="n">
        <f aca="false">L48-M48</f>
        <v>-1.11906625</v>
      </c>
      <c r="O48" s="25" t="n">
        <f aca="false">IF(N48&gt;=-0.0000001,A48,O47)</f>
        <v>45866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45894</v>
      </c>
      <c r="B49" s="26" t="s">
        <v>79</v>
      </c>
      <c r="C49" s="27" t="n">
        <v>1749.9</v>
      </c>
      <c r="D49" s="28" t="n">
        <f aca="false">C49/$T$1*100</f>
        <v>0.10936875</v>
      </c>
      <c r="E49" s="28" t="n">
        <f aca="false">E48+D49</f>
        <v>13.991385</v>
      </c>
      <c r="F49" s="28" t="n">
        <f aca="false">MAX(0,MAX($E$2:E49))</f>
        <v>13.991385</v>
      </c>
      <c r="G49" s="28" t="n">
        <f aca="false">E49-F49</f>
        <v>0</v>
      </c>
      <c r="H49" s="25" t="n">
        <f aca="false">IF(G49&gt;=-0.0000001,A49,H48)</f>
        <v>45894</v>
      </c>
      <c r="I49" s="29" t="n">
        <f aca="false">IF(AND(G49&gt;=-0.0000001,G48&lt;0),1,0)</f>
        <v>0</v>
      </c>
      <c r="J49" s="30" t="str">
        <f aca="false">IF(I49=1,A49-H48,"")</f>
        <v/>
      </c>
      <c r="K49" s="27" t="n">
        <f aca="false">IF(B49="Wednesday",0,C49)</f>
        <v>1749.9</v>
      </c>
      <c r="L49" s="28" t="n">
        <f aca="false">L48+K49/$T$1*100</f>
        <v>9.405449375</v>
      </c>
      <c r="M49" s="28" t="n">
        <f aca="false">MAX(0,MAX($L$2:L49))</f>
        <v>10.415146875</v>
      </c>
      <c r="N49" s="28" t="n">
        <f aca="false">L49-M49</f>
        <v>-1.0096975</v>
      </c>
      <c r="O49" s="25" t="n">
        <f aca="false">IF(N49&gt;=-0.0000001,A49,O48)</f>
        <v>45866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45895</v>
      </c>
      <c r="B50" s="26" t="s">
        <v>80</v>
      </c>
      <c r="C50" s="27" t="n">
        <v>-14505.21</v>
      </c>
      <c r="D50" s="28" t="n">
        <f aca="false">C50/$T$1*100</f>
        <v>-0.906575625</v>
      </c>
      <c r="E50" s="28" t="n">
        <f aca="false">E49+D50</f>
        <v>13.084809375</v>
      </c>
      <c r="F50" s="28" t="n">
        <f aca="false">MAX(0,MAX($E$2:E50))</f>
        <v>13.991385</v>
      </c>
      <c r="G50" s="28" t="n">
        <f aca="false">E50-F50</f>
        <v>-0.906575625</v>
      </c>
      <c r="H50" s="25" t="n">
        <f aca="false">IF(G50&gt;=-0.0000001,A50,H49)</f>
        <v>45894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-14505.21</v>
      </c>
      <c r="L50" s="28" t="n">
        <f aca="false">L49+K50/$T$1*100</f>
        <v>8.49887375</v>
      </c>
      <c r="M50" s="28" t="n">
        <f aca="false">MAX(0,MAX($L$2:L50))</f>
        <v>10.415146875</v>
      </c>
      <c r="N50" s="28" t="n">
        <f aca="false">L50-M50</f>
        <v>-1.916273125</v>
      </c>
      <c r="O50" s="25" t="n">
        <f aca="false">IF(N50&gt;=-0.0000001,A50,O49)</f>
        <v>45866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45896</v>
      </c>
      <c r="B51" s="26" t="s">
        <v>81</v>
      </c>
      <c r="C51" s="27" t="n">
        <v>11550</v>
      </c>
      <c r="D51" s="28" t="n">
        <f aca="false">C51/$T$1*100</f>
        <v>0.721875</v>
      </c>
      <c r="E51" s="28" t="n">
        <f aca="false">E50+D51</f>
        <v>13.806684375</v>
      </c>
      <c r="F51" s="28" t="n">
        <f aca="false">MAX(0,MAX($E$2:E51))</f>
        <v>13.991385</v>
      </c>
      <c r="G51" s="28" t="n">
        <f aca="false">E51-F51</f>
        <v>-0.184700625</v>
      </c>
      <c r="H51" s="25" t="n">
        <f aca="false">IF(G51&gt;=-0.0000001,A51,H50)</f>
        <v>45894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0</v>
      </c>
      <c r="L51" s="28" t="n">
        <f aca="false">L50+K51/$T$1*100</f>
        <v>8.49887375</v>
      </c>
      <c r="M51" s="28" t="n">
        <f aca="false">MAX(0,MAX($L$2:L51))</f>
        <v>10.415146875</v>
      </c>
      <c r="N51" s="28" t="n">
        <f aca="false">L51-M51</f>
        <v>-1.916273125</v>
      </c>
      <c r="O51" s="25" t="n">
        <f aca="false">IF(N51&gt;=-0.0000001,A51,O50)</f>
        <v>45866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45897</v>
      </c>
      <c r="B52" s="26" t="s">
        <v>82</v>
      </c>
      <c r="C52" s="27" t="n">
        <v>30021.41</v>
      </c>
      <c r="D52" s="28" t="n">
        <f aca="false">C52/$T$1*100</f>
        <v>1.876338125</v>
      </c>
      <c r="E52" s="28" t="n">
        <f aca="false">E51+D52</f>
        <v>15.6830225</v>
      </c>
      <c r="F52" s="28" t="n">
        <f aca="false">MAX(0,MAX($E$2:E52))</f>
        <v>15.6830225</v>
      </c>
      <c r="G52" s="28" t="n">
        <f aca="false">E52-F52</f>
        <v>0</v>
      </c>
      <c r="H52" s="25" t="n">
        <f aca="false">IF(G52&gt;=-0.0000001,A52,H51)</f>
        <v>45897</v>
      </c>
      <c r="I52" s="29" t="n">
        <f aca="false">IF(AND(G52&gt;=-0.0000001,G51&lt;0),1,0)</f>
        <v>1</v>
      </c>
      <c r="J52" s="30" t="n">
        <f aca="false">IF(I52=1,A52-H51,"")</f>
        <v>3</v>
      </c>
      <c r="K52" s="27" t="n">
        <f aca="false">IF(B52="Wednesday",0,C52)</f>
        <v>30021.41</v>
      </c>
      <c r="L52" s="28" t="n">
        <f aca="false">L51+K52/$T$1*100</f>
        <v>10.375211875</v>
      </c>
      <c r="M52" s="28" t="n">
        <f aca="false">MAX(0,MAX($L$2:L52))</f>
        <v>10.415146875</v>
      </c>
      <c r="N52" s="28" t="n">
        <f aca="false">L52-M52</f>
        <v>-0.0399349999999998</v>
      </c>
      <c r="O52" s="25" t="n">
        <f aca="false">IF(N52&gt;=-0.0000001,A52,O51)</f>
        <v>45866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45898</v>
      </c>
      <c r="B53" s="26" t="s">
        <v>83</v>
      </c>
      <c r="C53" s="27" t="n">
        <v>-5944.92</v>
      </c>
      <c r="D53" s="28" t="n">
        <f aca="false">C53/$T$1*100</f>
        <v>-0.3715575</v>
      </c>
      <c r="E53" s="28" t="n">
        <f aca="false">E52+D53</f>
        <v>15.311465</v>
      </c>
      <c r="F53" s="28" t="n">
        <f aca="false">MAX(0,MAX($E$2:E53))</f>
        <v>15.6830225</v>
      </c>
      <c r="G53" s="28" t="n">
        <f aca="false">E53-F53</f>
        <v>-0.3715575</v>
      </c>
      <c r="H53" s="25" t="n">
        <f aca="false">IF(G53&gt;=-0.0000001,A53,H52)</f>
        <v>45897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-5944.92</v>
      </c>
      <c r="L53" s="28" t="n">
        <f aca="false">L52+K53/$T$1*100</f>
        <v>10.003654375</v>
      </c>
      <c r="M53" s="28" t="n">
        <f aca="false">MAX(0,MAX($L$2:L53))</f>
        <v>10.415146875</v>
      </c>
      <c r="N53" s="28" t="n">
        <f aca="false">L53-M53</f>
        <v>-0.4114925</v>
      </c>
      <c r="O53" s="25" t="n">
        <f aca="false">IF(N53&gt;=-0.0000001,A53,O52)</f>
        <v>45866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45901</v>
      </c>
      <c r="B54" s="26" t="s">
        <v>79</v>
      </c>
      <c r="C54" s="27" t="n">
        <v>-4569.1</v>
      </c>
      <c r="D54" s="28" t="n">
        <f aca="false">C54/$T$1*100</f>
        <v>-0.28556875</v>
      </c>
      <c r="E54" s="28" t="n">
        <f aca="false">E53+D54</f>
        <v>15.02589625</v>
      </c>
      <c r="F54" s="28" t="n">
        <f aca="false">MAX(0,MAX($E$2:E54))</f>
        <v>15.6830225</v>
      </c>
      <c r="G54" s="28" t="n">
        <f aca="false">E54-F54</f>
        <v>-0.657126249999999</v>
      </c>
      <c r="H54" s="25" t="n">
        <f aca="false">IF(G54&gt;=-0.0000001,A54,H53)</f>
        <v>45897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-4569.1</v>
      </c>
      <c r="L54" s="28" t="n">
        <f aca="false">L53+K54/$T$1*100</f>
        <v>9.718085625</v>
      </c>
      <c r="M54" s="28" t="n">
        <f aca="false">MAX(0,MAX($L$2:L54))</f>
        <v>10.415146875</v>
      </c>
      <c r="N54" s="28" t="n">
        <f aca="false">L54-M54</f>
        <v>-0.697061249999999</v>
      </c>
      <c r="O54" s="25" t="n">
        <f aca="false">IF(N54&gt;=-0.0000001,A54,O53)</f>
        <v>45866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45902</v>
      </c>
      <c r="B55" s="26" t="s">
        <v>80</v>
      </c>
      <c r="C55" s="27" t="n">
        <v>7854.01</v>
      </c>
      <c r="D55" s="28" t="n">
        <f aca="false">C55/$T$1*100</f>
        <v>0.490875625</v>
      </c>
      <c r="E55" s="28" t="n">
        <f aca="false">E54+D55</f>
        <v>15.516771875</v>
      </c>
      <c r="F55" s="28" t="n">
        <f aca="false">MAX(0,MAX($E$2:E55))</f>
        <v>15.6830225</v>
      </c>
      <c r="G55" s="28" t="n">
        <f aca="false">E55-F55</f>
        <v>-0.166250625</v>
      </c>
      <c r="H55" s="25" t="n">
        <f aca="false">IF(G55&gt;=-0.0000001,A55,H54)</f>
        <v>45897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7854.01</v>
      </c>
      <c r="L55" s="28" t="n">
        <f aca="false">L54+K55/$T$1*100</f>
        <v>10.20896125</v>
      </c>
      <c r="M55" s="28" t="n">
        <f aca="false">MAX(0,MAX($L$2:L55))</f>
        <v>10.415146875</v>
      </c>
      <c r="N55" s="28" t="n">
        <f aca="false">L55-M55</f>
        <v>-0.206185625</v>
      </c>
      <c r="O55" s="25" t="n">
        <f aca="false">IF(N55&gt;=-0.0000001,A55,O54)</f>
        <v>45866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45903</v>
      </c>
      <c r="B56" s="26" t="s">
        <v>81</v>
      </c>
      <c r="C56" s="27" t="n">
        <v>-18667.12</v>
      </c>
      <c r="D56" s="28" t="n">
        <f aca="false">C56/$T$1*100</f>
        <v>-1.166695</v>
      </c>
      <c r="E56" s="28" t="n">
        <f aca="false">E55+D56</f>
        <v>14.350076875</v>
      </c>
      <c r="F56" s="28" t="n">
        <f aca="false">MAX(0,MAX($E$2:E56))</f>
        <v>15.6830225</v>
      </c>
      <c r="G56" s="28" t="n">
        <f aca="false">E56-F56</f>
        <v>-1.332945625</v>
      </c>
      <c r="H56" s="25" t="n">
        <f aca="false">IF(G56&gt;=-0.0000001,A56,H55)</f>
        <v>45897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0</v>
      </c>
      <c r="L56" s="28" t="n">
        <f aca="false">L55+K56/$T$1*100</f>
        <v>10.20896125</v>
      </c>
      <c r="M56" s="28" t="n">
        <f aca="false">MAX(0,MAX($L$2:L56))</f>
        <v>10.415146875</v>
      </c>
      <c r="N56" s="28" t="n">
        <f aca="false">L56-M56</f>
        <v>-0.206185625</v>
      </c>
      <c r="O56" s="25" t="n">
        <f aca="false">IF(N56&gt;=-0.0000001,A56,O55)</f>
        <v>45866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45904</v>
      </c>
      <c r="B57" s="26" t="s">
        <v>82</v>
      </c>
      <c r="C57" s="27" t="n">
        <v>12560.38</v>
      </c>
      <c r="D57" s="28" t="n">
        <f aca="false">C57/$T$1*100</f>
        <v>0.78502375</v>
      </c>
      <c r="E57" s="28" t="n">
        <f aca="false">E56+D57</f>
        <v>15.135100625</v>
      </c>
      <c r="F57" s="28" t="n">
        <f aca="false">MAX(0,MAX($E$2:E57))</f>
        <v>15.6830225</v>
      </c>
      <c r="G57" s="28" t="n">
        <f aca="false">E57-F57</f>
        <v>-0.547921875</v>
      </c>
      <c r="H57" s="25" t="n">
        <f aca="false">IF(G57&gt;=-0.0000001,A57,H56)</f>
        <v>45897</v>
      </c>
      <c r="I57" s="29" t="n">
        <f aca="false">IF(AND(G57&gt;=-0.0000001,G56&lt;0),1,0)</f>
        <v>0</v>
      </c>
      <c r="J57" s="30" t="str">
        <f aca="false">IF(I57=1,A57-H56,"")</f>
        <v/>
      </c>
      <c r="K57" s="27" t="n">
        <f aca="false">IF(B57="Wednesday",0,C57)</f>
        <v>12560.38</v>
      </c>
      <c r="L57" s="28" t="n">
        <f aca="false">L56+K57/$T$1*100</f>
        <v>10.993985</v>
      </c>
      <c r="M57" s="28" t="n">
        <f aca="false">MAX(0,MAX($L$2:L57))</f>
        <v>10.993985</v>
      </c>
      <c r="N57" s="28" t="n">
        <f aca="false">L57-M57</f>
        <v>0</v>
      </c>
      <c r="O57" s="25" t="n">
        <f aca="false">IF(N57&gt;=-0.0000001,A57,O56)</f>
        <v>45904</v>
      </c>
      <c r="P57" s="29" t="n">
        <f aca="false">IF(AND(N57&gt;=-0.0000001,N56&lt;0),1,0)</f>
        <v>1</v>
      </c>
      <c r="Q57" s="30" t="n">
        <f aca="false">IF(P57=1,A57-O56,"")</f>
        <v>38</v>
      </c>
    </row>
    <row r="58" customFormat="false" ht="15" hidden="false" customHeight="false" outlineLevel="0" collapsed="false">
      <c r="A58" s="25" t="n">
        <v>45905</v>
      </c>
      <c r="B58" s="26" t="s">
        <v>83</v>
      </c>
      <c r="C58" s="27" t="n">
        <v>22111.38</v>
      </c>
      <c r="D58" s="28" t="n">
        <f aca="false">C58/$T$1*100</f>
        <v>1.38196125</v>
      </c>
      <c r="E58" s="28" t="n">
        <f aca="false">E57+D58</f>
        <v>16.517061875</v>
      </c>
      <c r="F58" s="28" t="n">
        <f aca="false">MAX(0,MAX($E$2:E58))</f>
        <v>16.517061875</v>
      </c>
      <c r="G58" s="28" t="n">
        <f aca="false">E58-F58</f>
        <v>0</v>
      </c>
      <c r="H58" s="25" t="n">
        <f aca="false">IF(G58&gt;=-0.0000001,A58,H57)</f>
        <v>45905</v>
      </c>
      <c r="I58" s="29" t="n">
        <f aca="false">IF(AND(G58&gt;=-0.0000001,G57&lt;0),1,0)</f>
        <v>1</v>
      </c>
      <c r="J58" s="30" t="n">
        <f aca="false">IF(I58=1,A58-H57,"")</f>
        <v>8</v>
      </c>
      <c r="K58" s="27" t="n">
        <f aca="false">IF(B58="Wednesday",0,C58)</f>
        <v>22111.38</v>
      </c>
      <c r="L58" s="28" t="n">
        <f aca="false">L57+K58/$T$1*100</f>
        <v>12.37594625</v>
      </c>
      <c r="M58" s="28" t="n">
        <f aca="false">MAX(0,MAX($L$2:L58))</f>
        <v>12.37594625</v>
      </c>
      <c r="N58" s="28" t="n">
        <f aca="false">L58-M58</f>
        <v>0</v>
      </c>
      <c r="O58" s="25" t="n">
        <f aca="false">IF(N58&gt;=-0.0000001,A58,O57)</f>
        <v>45905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45908</v>
      </c>
      <c r="B59" s="26" t="s">
        <v>79</v>
      </c>
      <c r="C59" s="27" t="n">
        <v>-16433.68</v>
      </c>
      <c r="D59" s="28" t="n">
        <f aca="false">C59/$T$1*100</f>
        <v>-1.027105</v>
      </c>
      <c r="E59" s="28" t="n">
        <f aca="false">E58+D59</f>
        <v>15.489956875</v>
      </c>
      <c r="F59" s="28" t="n">
        <f aca="false">MAX(0,MAX($E$2:E59))</f>
        <v>16.517061875</v>
      </c>
      <c r="G59" s="28" t="n">
        <f aca="false">E59-F59</f>
        <v>-1.027105</v>
      </c>
      <c r="H59" s="25" t="n">
        <f aca="false">IF(G59&gt;=-0.0000001,A59,H58)</f>
        <v>45905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-16433.68</v>
      </c>
      <c r="L59" s="28" t="n">
        <f aca="false">L58+K59/$T$1*100</f>
        <v>11.34884125</v>
      </c>
      <c r="M59" s="28" t="n">
        <f aca="false">MAX(0,MAX($L$2:L59))</f>
        <v>12.37594625</v>
      </c>
      <c r="N59" s="28" t="n">
        <f aca="false">L59-M59</f>
        <v>-1.027105</v>
      </c>
      <c r="O59" s="25" t="n">
        <f aca="false">IF(N59&gt;=-0.0000001,A59,O58)</f>
        <v>45905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45909</v>
      </c>
      <c r="B60" s="26" t="s">
        <v>80</v>
      </c>
      <c r="C60" s="27" t="n">
        <v>19918.42</v>
      </c>
      <c r="D60" s="28" t="n">
        <f aca="false">C60/$T$1*100</f>
        <v>1.24490125</v>
      </c>
      <c r="E60" s="28" t="n">
        <f aca="false">E59+D60</f>
        <v>16.734858125</v>
      </c>
      <c r="F60" s="28" t="n">
        <f aca="false">MAX(0,MAX($E$2:E60))</f>
        <v>16.734858125</v>
      </c>
      <c r="G60" s="28" t="n">
        <f aca="false">E60-F60</f>
        <v>0</v>
      </c>
      <c r="H60" s="25" t="n">
        <f aca="false">IF(G60&gt;=-0.0000001,A60,H59)</f>
        <v>45909</v>
      </c>
      <c r="I60" s="29" t="n">
        <f aca="false">IF(AND(G60&gt;=-0.0000001,G59&lt;0),1,0)</f>
        <v>1</v>
      </c>
      <c r="J60" s="30" t="n">
        <f aca="false">IF(I60=1,A60-H59,"")</f>
        <v>4</v>
      </c>
      <c r="K60" s="27" t="n">
        <f aca="false">IF(B60="Wednesday",0,C60)</f>
        <v>19918.42</v>
      </c>
      <c r="L60" s="28" t="n">
        <f aca="false">L59+K60/$T$1*100</f>
        <v>12.5937425</v>
      </c>
      <c r="M60" s="28" t="n">
        <f aca="false">MAX(0,MAX($L$2:L60))</f>
        <v>12.5937425</v>
      </c>
      <c r="N60" s="28" t="n">
        <f aca="false">L60-M60</f>
        <v>0</v>
      </c>
      <c r="O60" s="25" t="n">
        <f aca="false">IF(N60&gt;=-0.0000001,A60,O59)</f>
        <v>45909</v>
      </c>
      <c r="P60" s="29" t="n">
        <f aca="false">IF(AND(N60&gt;=-0.0000001,N59&lt;0),1,0)</f>
        <v>1</v>
      </c>
      <c r="Q60" s="30" t="n">
        <f aca="false">IF(P60=1,A60-O59,"")</f>
        <v>4</v>
      </c>
    </row>
    <row r="61" customFormat="false" ht="15" hidden="false" customHeight="false" outlineLevel="0" collapsed="false">
      <c r="A61" s="25" t="n">
        <v>45910</v>
      </c>
      <c r="B61" s="26" t="s">
        <v>81</v>
      </c>
      <c r="C61" s="27" t="n">
        <v>2576.25</v>
      </c>
      <c r="D61" s="28" t="n">
        <f aca="false">C61/$T$1*100</f>
        <v>0.161015625</v>
      </c>
      <c r="E61" s="28" t="n">
        <f aca="false">E60+D61</f>
        <v>16.89587375</v>
      </c>
      <c r="F61" s="28" t="n">
        <f aca="false">MAX(0,MAX($E$2:E61))</f>
        <v>16.89587375</v>
      </c>
      <c r="G61" s="28" t="n">
        <f aca="false">E61-F61</f>
        <v>0</v>
      </c>
      <c r="H61" s="25" t="n">
        <f aca="false">IF(G61&gt;=-0.0000001,A61,H60)</f>
        <v>45910</v>
      </c>
      <c r="I61" s="29" t="n">
        <f aca="false">IF(AND(G61&gt;=-0.0000001,G60&lt;0),1,0)</f>
        <v>0</v>
      </c>
      <c r="J61" s="30" t="str">
        <f aca="false">IF(I61=1,A61-H60,"")</f>
        <v/>
      </c>
      <c r="K61" s="27" t="n">
        <f aca="false">IF(B61="Wednesday",0,C61)</f>
        <v>0</v>
      </c>
      <c r="L61" s="28" t="n">
        <f aca="false">L60+K61/$T$1*100</f>
        <v>12.5937425</v>
      </c>
      <c r="M61" s="28" t="n">
        <f aca="false">MAX(0,MAX($L$2:L61))</f>
        <v>12.5937425</v>
      </c>
      <c r="N61" s="28" t="n">
        <f aca="false">L61-M61</f>
        <v>0</v>
      </c>
      <c r="O61" s="25" t="n">
        <f aca="false">IF(N61&gt;=-0.0000001,A61,O60)</f>
        <v>45910</v>
      </c>
      <c r="P61" s="29" t="n">
        <f aca="false">IF(AND(N61&gt;=-0.0000001,N60&lt;0),1,0)</f>
        <v>0</v>
      </c>
      <c r="Q61" s="30" t="str">
        <f aca="false">IF(P61=1,A61-O60,"")</f>
        <v/>
      </c>
    </row>
    <row r="62" customFormat="false" ht="15" hidden="false" customHeight="false" outlineLevel="0" collapsed="false">
      <c r="A62" s="25" t="n">
        <v>45911</v>
      </c>
      <c r="B62" s="26" t="s">
        <v>82</v>
      </c>
      <c r="C62" s="27" t="n">
        <v>-929.89</v>
      </c>
      <c r="D62" s="28" t="n">
        <f aca="false">C62/$T$1*100</f>
        <v>-0.058118125</v>
      </c>
      <c r="E62" s="28" t="n">
        <f aca="false">E61+D62</f>
        <v>16.837755625</v>
      </c>
      <c r="F62" s="28" t="n">
        <f aca="false">MAX(0,MAX($E$2:E62))</f>
        <v>16.89587375</v>
      </c>
      <c r="G62" s="28" t="n">
        <f aca="false">E62-F62</f>
        <v>-0.058118125</v>
      </c>
      <c r="H62" s="25" t="n">
        <f aca="false">IF(G62&gt;=-0.0000001,A62,H61)</f>
        <v>45910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-929.89</v>
      </c>
      <c r="L62" s="28" t="n">
        <f aca="false">L61+K62/$T$1*100</f>
        <v>12.535624375</v>
      </c>
      <c r="M62" s="28" t="n">
        <f aca="false">MAX(0,MAX($L$2:L62))</f>
        <v>12.5937425</v>
      </c>
      <c r="N62" s="28" t="n">
        <f aca="false">L62-M62</f>
        <v>-0.058118125</v>
      </c>
      <c r="O62" s="25" t="n">
        <f aca="false">IF(N62&gt;=-0.0000001,A62,O61)</f>
        <v>45910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45912</v>
      </c>
      <c r="B63" s="26" t="s">
        <v>83</v>
      </c>
      <c r="C63" s="27" t="n">
        <v>10585.45</v>
      </c>
      <c r="D63" s="28" t="n">
        <f aca="false">C63/$T$1*100</f>
        <v>0.661590625</v>
      </c>
      <c r="E63" s="28" t="n">
        <f aca="false">E62+D63</f>
        <v>17.49934625</v>
      </c>
      <c r="F63" s="28" t="n">
        <f aca="false">MAX(0,MAX($E$2:E63))</f>
        <v>17.49934625</v>
      </c>
      <c r="G63" s="28" t="n">
        <f aca="false">E63-F63</f>
        <v>0</v>
      </c>
      <c r="H63" s="25" t="n">
        <f aca="false">IF(G63&gt;=-0.0000001,A63,H62)</f>
        <v>45912</v>
      </c>
      <c r="I63" s="29" t="n">
        <f aca="false">IF(AND(G63&gt;=-0.0000001,G62&lt;0),1,0)</f>
        <v>1</v>
      </c>
      <c r="J63" s="30" t="n">
        <f aca="false">IF(I63=1,A63-H62,"")</f>
        <v>2</v>
      </c>
      <c r="K63" s="27" t="n">
        <f aca="false">IF(B63="Wednesday",0,C63)</f>
        <v>10585.45</v>
      </c>
      <c r="L63" s="28" t="n">
        <f aca="false">L62+K63/$T$1*100</f>
        <v>13.197215</v>
      </c>
      <c r="M63" s="28" t="n">
        <f aca="false">MAX(0,MAX($L$2:L63))</f>
        <v>13.197215</v>
      </c>
      <c r="N63" s="28" t="n">
        <f aca="false">L63-M63</f>
        <v>0</v>
      </c>
      <c r="O63" s="25" t="n">
        <f aca="false">IF(N63&gt;=-0.0000001,A63,O62)</f>
        <v>45912</v>
      </c>
      <c r="P63" s="29" t="n">
        <f aca="false">IF(AND(N63&gt;=-0.0000001,N62&lt;0),1,0)</f>
        <v>1</v>
      </c>
      <c r="Q63" s="30" t="n">
        <f aca="false">IF(P63=1,A63-O62,"")</f>
        <v>2</v>
      </c>
    </row>
    <row r="64" customFormat="false" ht="15" hidden="false" customHeight="false" outlineLevel="0" collapsed="false">
      <c r="A64" s="25" t="n">
        <v>45915</v>
      </c>
      <c r="B64" s="26" t="s">
        <v>79</v>
      </c>
      <c r="C64" s="27" t="n">
        <v>26945</v>
      </c>
      <c r="D64" s="28" t="n">
        <f aca="false">C64/$T$1*100</f>
        <v>1.6840625</v>
      </c>
      <c r="E64" s="28" t="n">
        <f aca="false">E63+D64</f>
        <v>19.18340875</v>
      </c>
      <c r="F64" s="28" t="n">
        <f aca="false">MAX(0,MAX($E$2:E64))</f>
        <v>19.18340875</v>
      </c>
      <c r="G64" s="28" t="n">
        <f aca="false">E64-F64</f>
        <v>0</v>
      </c>
      <c r="H64" s="25" t="n">
        <f aca="false">IF(G64&gt;=-0.0000001,A64,H63)</f>
        <v>45915</v>
      </c>
      <c r="I64" s="29" t="n">
        <f aca="false">IF(AND(G64&gt;=-0.0000001,G63&lt;0),1,0)</f>
        <v>0</v>
      </c>
      <c r="J64" s="30" t="str">
        <f aca="false">IF(I64=1,A64-H63,"")</f>
        <v/>
      </c>
      <c r="K64" s="27" t="n">
        <f aca="false">IF(B64="Wednesday",0,C64)</f>
        <v>26945</v>
      </c>
      <c r="L64" s="28" t="n">
        <f aca="false">L63+K64/$T$1*100</f>
        <v>14.8812775</v>
      </c>
      <c r="M64" s="28" t="n">
        <f aca="false">MAX(0,MAX($L$2:L64))</f>
        <v>14.8812775</v>
      </c>
      <c r="N64" s="28" t="n">
        <f aca="false">L64-M64</f>
        <v>0</v>
      </c>
      <c r="O64" s="25" t="n">
        <f aca="false">IF(N64&gt;=-0.0000001,A64,O63)</f>
        <v>45915</v>
      </c>
      <c r="P64" s="29" t="n">
        <f aca="false">IF(AND(N64&gt;=-0.0000001,N63&lt;0),1,0)</f>
        <v>0</v>
      </c>
      <c r="Q64" s="30" t="str">
        <f aca="false">IF(P64=1,A64-O63,"")</f>
        <v/>
      </c>
    </row>
    <row r="65" customFormat="false" ht="15" hidden="false" customHeight="false" outlineLevel="0" collapsed="false">
      <c r="A65" s="25" t="n">
        <v>45916</v>
      </c>
      <c r="B65" s="26" t="s">
        <v>80</v>
      </c>
      <c r="C65" s="27" t="n">
        <v>5881.3</v>
      </c>
      <c r="D65" s="28" t="n">
        <f aca="false">C65/$T$1*100</f>
        <v>0.36758125</v>
      </c>
      <c r="E65" s="28" t="n">
        <f aca="false">E64+D65</f>
        <v>19.55099</v>
      </c>
      <c r="F65" s="28" t="n">
        <f aca="false">MAX(0,MAX($E$2:E65))</f>
        <v>19.55099</v>
      </c>
      <c r="G65" s="28" t="n">
        <f aca="false">E65-F65</f>
        <v>0</v>
      </c>
      <c r="H65" s="25" t="n">
        <f aca="false">IF(G65&gt;=-0.0000001,A65,H64)</f>
        <v>45916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5881.3</v>
      </c>
      <c r="L65" s="28" t="n">
        <f aca="false">L64+K65/$T$1*100</f>
        <v>15.24885875</v>
      </c>
      <c r="M65" s="28" t="n">
        <f aca="false">MAX(0,MAX($L$2:L65))</f>
        <v>15.24885875</v>
      </c>
      <c r="N65" s="28" t="n">
        <f aca="false">L65-M65</f>
        <v>0</v>
      </c>
      <c r="O65" s="25" t="n">
        <f aca="false">IF(N65&gt;=-0.0000001,A65,O64)</f>
        <v>45916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45917</v>
      </c>
      <c r="B66" s="26" t="s">
        <v>81</v>
      </c>
      <c r="C66" s="27" t="n">
        <v>-4492.5</v>
      </c>
      <c r="D66" s="28" t="n">
        <f aca="false">C66/$T$1*100</f>
        <v>-0.28078125</v>
      </c>
      <c r="E66" s="28" t="n">
        <f aca="false">E65+D66</f>
        <v>19.27020875</v>
      </c>
      <c r="F66" s="28" t="n">
        <f aca="false">MAX(0,MAX($E$2:E66))</f>
        <v>19.55099</v>
      </c>
      <c r="G66" s="28" t="n">
        <f aca="false">E66-F66</f>
        <v>-0.28078125</v>
      </c>
      <c r="H66" s="25" t="n">
        <f aca="false">IF(G66&gt;=-0.0000001,A66,H65)</f>
        <v>45916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0</v>
      </c>
      <c r="L66" s="28" t="n">
        <f aca="false">L65+K66/$T$1*100</f>
        <v>15.24885875</v>
      </c>
      <c r="M66" s="28" t="n">
        <f aca="false">MAX(0,MAX($L$2:L66))</f>
        <v>15.24885875</v>
      </c>
      <c r="N66" s="28" t="n">
        <f aca="false">L66-M66</f>
        <v>0</v>
      </c>
      <c r="O66" s="25" t="n">
        <f aca="false">IF(N66&gt;=-0.0000001,A66,O65)</f>
        <v>45917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45918</v>
      </c>
      <c r="B67" s="26" t="s">
        <v>82</v>
      </c>
      <c r="C67" s="27" t="n">
        <v>-45657.81</v>
      </c>
      <c r="D67" s="28" t="n">
        <f aca="false">C67/$T$1*100</f>
        <v>-2.853613125</v>
      </c>
      <c r="E67" s="28" t="n">
        <f aca="false">E66+D67</f>
        <v>16.416595625</v>
      </c>
      <c r="F67" s="28" t="n">
        <f aca="false">MAX(0,MAX($E$2:E67))</f>
        <v>19.55099</v>
      </c>
      <c r="G67" s="28" t="n">
        <f aca="false">E67-F67</f>
        <v>-3.134394375</v>
      </c>
      <c r="H67" s="25" t="n">
        <f aca="false">IF(G67&gt;=-0.0000001,A67,H66)</f>
        <v>45916</v>
      </c>
      <c r="I67" s="29" t="n">
        <f aca="false">IF(AND(G67&gt;=-0.0000001,G66&lt;0),1,0)</f>
        <v>0</v>
      </c>
      <c r="J67" s="30" t="str">
        <f aca="false">IF(I67=1,A67-H66,"")</f>
        <v/>
      </c>
      <c r="K67" s="27" t="n">
        <f aca="false">IF(B67="Wednesday",0,C67)</f>
        <v>-45657.81</v>
      </c>
      <c r="L67" s="28" t="n">
        <f aca="false">L66+K67/$T$1*100</f>
        <v>12.395245625</v>
      </c>
      <c r="M67" s="28" t="n">
        <f aca="false">MAX(0,MAX($L$2:L67))</f>
        <v>15.24885875</v>
      </c>
      <c r="N67" s="28" t="n">
        <f aca="false">L67-M67</f>
        <v>-2.853613125</v>
      </c>
      <c r="O67" s="25" t="n">
        <f aca="false">IF(N67&gt;=-0.0000001,A67,O66)</f>
        <v>45917</v>
      </c>
      <c r="P67" s="29" t="n">
        <f aca="false">IF(AND(N67&gt;=-0.0000001,N66&lt;0),1,0)</f>
        <v>0</v>
      </c>
      <c r="Q67" s="30" t="str">
        <f aca="false">IF(P67=1,A67-O66,"")</f>
        <v/>
      </c>
    </row>
    <row r="68" customFormat="false" ht="15" hidden="false" customHeight="false" outlineLevel="0" collapsed="false">
      <c r="A68" s="25" t="n">
        <v>45919</v>
      </c>
      <c r="B68" s="26" t="s">
        <v>83</v>
      </c>
      <c r="C68" s="27" t="n">
        <v>35922.6</v>
      </c>
      <c r="D68" s="28" t="n">
        <f aca="false">C68/$T$1*100</f>
        <v>2.2451625</v>
      </c>
      <c r="E68" s="28" t="n">
        <f aca="false">E67+D68</f>
        <v>18.661758125</v>
      </c>
      <c r="F68" s="28" t="n">
        <f aca="false">MAX(0,MAX($E$2:E68))</f>
        <v>19.55099</v>
      </c>
      <c r="G68" s="28" t="n">
        <f aca="false">E68-F68</f>
        <v>-0.889231875</v>
      </c>
      <c r="H68" s="25" t="n">
        <f aca="false">IF(G68&gt;=-0.0000001,A68,H67)</f>
        <v>45916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35922.6</v>
      </c>
      <c r="L68" s="28" t="n">
        <f aca="false">L67+K68/$T$1*100</f>
        <v>14.640408125</v>
      </c>
      <c r="M68" s="28" t="n">
        <f aca="false">MAX(0,MAX($L$2:L68))</f>
        <v>15.24885875</v>
      </c>
      <c r="N68" s="28" t="n">
        <f aca="false">L68-M68</f>
        <v>-0.608450625000002</v>
      </c>
      <c r="O68" s="25" t="n">
        <f aca="false">IF(N68&gt;=-0.0000001,A68,O67)</f>
        <v>45917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45922</v>
      </c>
      <c r="B69" s="26" t="s">
        <v>79</v>
      </c>
      <c r="C69" s="27" t="n">
        <v>46623.53</v>
      </c>
      <c r="D69" s="28" t="n">
        <f aca="false">C69/$T$1*100</f>
        <v>2.913970625</v>
      </c>
      <c r="E69" s="28" t="n">
        <f aca="false">E68+D69</f>
        <v>21.57572875</v>
      </c>
      <c r="F69" s="28" t="n">
        <f aca="false">MAX(0,MAX($E$2:E69))</f>
        <v>21.57572875</v>
      </c>
      <c r="G69" s="28" t="n">
        <f aca="false">E69-F69</f>
        <v>0</v>
      </c>
      <c r="H69" s="25" t="n">
        <f aca="false">IF(G69&gt;=-0.0000001,A69,H68)</f>
        <v>45922</v>
      </c>
      <c r="I69" s="29" t="n">
        <f aca="false">IF(AND(G69&gt;=-0.0000001,G68&lt;0),1,0)</f>
        <v>1</v>
      </c>
      <c r="J69" s="30" t="n">
        <f aca="false">IF(I69=1,A69-H68,"")</f>
        <v>6</v>
      </c>
      <c r="K69" s="27" t="n">
        <f aca="false">IF(B69="Wednesday",0,C69)</f>
        <v>46623.53</v>
      </c>
      <c r="L69" s="28" t="n">
        <f aca="false">L68+K69/$T$1*100</f>
        <v>17.55437875</v>
      </c>
      <c r="M69" s="28" t="n">
        <f aca="false">MAX(0,MAX($L$2:L69))</f>
        <v>17.55437875</v>
      </c>
      <c r="N69" s="28" t="n">
        <f aca="false">L69-M69</f>
        <v>0</v>
      </c>
      <c r="O69" s="25" t="n">
        <f aca="false">IF(N69&gt;=-0.0000001,A69,O68)</f>
        <v>45922</v>
      </c>
      <c r="P69" s="29" t="n">
        <f aca="false">IF(AND(N69&gt;=-0.0000001,N68&lt;0),1,0)</f>
        <v>1</v>
      </c>
      <c r="Q69" s="30" t="n">
        <f aca="false">IF(P69=1,A69-O68,"")</f>
        <v>5</v>
      </c>
    </row>
    <row r="70" customFormat="false" ht="15" hidden="false" customHeight="false" outlineLevel="0" collapsed="false">
      <c r="A70" s="25" t="n">
        <v>45923</v>
      </c>
      <c r="B70" s="26" t="s">
        <v>80</v>
      </c>
      <c r="C70" s="27" t="n">
        <v>60754.38</v>
      </c>
      <c r="D70" s="28" t="n">
        <f aca="false">C70/$T$1*100</f>
        <v>3.79714875</v>
      </c>
      <c r="E70" s="28" t="n">
        <f aca="false">E69+D70</f>
        <v>25.3728775</v>
      </c>
      <c r="F70" s="28" t="n">
        <f aca="false">MAX(0,MAX($E$2:E70))</f>
        <v>25.3728775</v>
      </c>
      <c r="G70" s="28" t="n">
        <f aca="false">E70-F70</f>
        <v>0</v>
      </c>
      <c r="H70" s="25" t="n">
        <f aca="false">IF(G70&gt;=-0.0000001,A70,H69)</f>
        <v>45923</v>
      </c>
      <c r="I70" s="29" t="n">
        <f aca="false">IF(AND(G70&gt;=-0.0000001,G69&lt;0),1,0)</f>
        <v>0</v>
      </c>
      <c r="J70" s="30" t="str">
        <f aca="false">IF(I70=1,A70-H69,"")</f>
        <v/>
      </c>
      <c r="K70" s="27" t="n">
        <f aca="false">IF(B70="Wednesday",0,C70)</f>
        <v>60754.38</v>
      </c>
      <c r="L70" s="28" t="n">
        <f aca="false">L69+K70/$T$1*100</f>
        <v>21.3515275</v>
      </c>
      <c r="M70" s="28" t="n">
        <f aca="false">MAX(0,MAX($L$2:L70))</f>
        <v>21.3515275</v>
      </c>
      <c r="N70" s="28" t="n">
        <f aca="false">L70-M70</f>
        <v>0</v>
      </c>
      <c r="O70" s="25" t="n">
        <f aca="false">IF(N70&gt;=-0.0000001,A70,O69)</f>
        <v>45923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45924</v>
      </c>
      <c r="B71" s="26" t="s">
        <v>81</v>
      </c>
      <c r="C71" s="27" t="n">
        <v>-5737.5</v>
      </c>
      <c r="D71" s="28" t="n">
        <f aca="false">C71/$T$1*100</f>
        <v>-0.35859375</v>
      </c>
      <c r="E71" s="28" t="n">
        <f aca="false">E70+D71</f>
        <v>25.01428375</v>
      </c>
      <c r="F71" s="28" t="n">
        <f aca="false">MAX(0,MAX($E$2:E71))</f>
        <v>25.3728775</v>
      </c>
      <c r="G71" s="28" t="n">
        <f aca="false">E71-F71</f>
        <v>-0.358593750000001</v>
      </c>
      <c r="H71" s="25" t="n">
        <f aca="false">IF(G71&gt;=-0.0000001,A71,H70)</f>
        <v>45923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0</v>
      </c>
      <c r="L71" s="28" t="n">
        <f aca="false">L70+K71/$T$1*100</f>
        <v>21.3515275</v>
      </c>
      <c r="M71" s="28" t="n">
        <f aca="false">MAX(0,MAX($L$2:L71))</f>
        <v>21.3515275</v>
      </c>
      <c r="N71" s="28" t="n">
        <f aca="false">L71-M71</f>
        <v>0</v>
      </c>
      <c r="O71" s="25" t="n">
        <f aca="false">IF(N71&gt;=-0.0000001,A71,O70)</f>
        <v>45924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45925</v>
      </c>
      <c r="B72" s="26" t="s">
        <v>82</v>
      </c>
      <c r="C72" s="27" t="n">
        <v>-15567.23</v>
      </c>
      <c r="D72" s="28" t="n">
        <f aca="false">C72/$T$1*100</f>
        <v>-0.972951875</v>
      </c>
      <c r="E72" s="28" t="n">
        <f aca="false">E71+D72</f>
        <v>24.041331875</v>
      </c>
      <c r="F72" s="28" t="n">
        <f aca="false">MAX(0,MAX($E$2:E72))</f>
        <v>25.3728775</v>
      </c>
      <c r="G72" s="28" t="n">
        <f aca="false">E72-F72</f>
        <v>-1.331545625</v>
      </c>
      <c r="H72" s="25" t="n">
        <f aca="false">IF(G72&gt;=-0.0000001,A72,H71)</f>
        <v>45923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-15567.23</v>
      </c>
      <c r="L72" s="28" t="n">
        <f aca="false">L71+K72/$T$1*100</f>
        <v>20.378575625</v>
      </c>
      <c r="M72" s="28" t="n">
        <f aca="false">MAX(0,MAX($L$2:L72))</f>
        <v>21.3515275</v>
      </c>
      <c r="N72" s="28" t="n">
        <f aca="false">L72-M72</f>
        <v>-0.972951875</v>
      </c>
      <c r="O72" s="25" t="n">
        <f aca="false">IF(N72&gt;=-0.0000001,A72,O71)</f>
        <v>45924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45926</v>
      </c>
      <c r="B73" s="26" t="s">
        <v>83</v>
      </c>
      <c r="C73" s="27" t="n">
        <v>22765.18</v>
      </c>
      <c r="D73" s="28" t="n">
        <f aca="false">C73/$T$1*100</f>
        <v>1.42282375</v>
      </c>
      <c r="E73" s="28" t="n">
        <f aca="false">E72+D73</f>
        <v>25.464155625</v>
      </c>
      <c r="F73" s="28" t="n">
        <f aca="false">MAX(0,MAX($E$2:E73))</f>
        <v>25.464155625</v>
      </c>
      <c r="G73" s="28" t="n">
        <f aca="false">E73-F73</f>
        <v>0</v>
      </c>
      <c r="H73" s="25" t="n">
        <f aca="false">IF(G73&gt;=-0.0000001,A73,H72)</f>
        <v>45926</v>
      </c>
      <c r="I73" s="29" t="n">
        <f aca="false">IF(AND(G73&gt;=-0.0000001,G72&lt;0),1,0)</f>
        <v>1</v>
      </c>
      <c r="J73" s="30" t="n">
        <f aca="false">IF(I73=1,A73-H72,"")</f>
        <v>3</v>
      </c>
      <c r="K73" s="27" t="n">
        <f aca="false">IF(B73="Wednesday",0,C73)</f>
        <v>22765.18</v>
      </c>
      <c r="L73" s="28" t="n">
        <f aca="false">L72+K73/$T$1*100</f>
        <v>21.801399375</v>
      </c>
      <c r="M73" s="28" t="n">
        <f aca="false">MAX(0,MAX($L$2:L73))</f>
        <v>21.801399375</v>
      </c>
      <c r="N73" s="28" t="n">
        <f aca="false">L73-M73</f>
        <v>0</v>
      </c>
      <c r="O73" s="25" t="n">
        <f aca="false">IF(N73&gt;=-0.0000001,A73,O72)</f>
        <v>45926</v>
      </c>
      <c r="P73" s="29" t="n">
        <f aca="false">IF(AND(N73&gt;=-0.0000001,N72&lt;0),1,0)</f>
        <v>1</v>
      </c>
      <c r="Q73" s="30" t="n">
        <f aca="false">IF(P73=1,A73-O72,"")</f>
        <v>2</v>
      </c>
    </row>
    <row r="74" customFormat="false" ht="15" hidden="false" customHeight="false" outlineLevel="0" collapsed="false">
      <c r="A74" s="25" t="n">
        <v>45929</v>
      </c>
      <c r="B74" s="26" t="s">
        <v>79</v>
      </c>
      <c r="C74" s="27" t="n">
        <v>35639.05</v>
      </c>
      <c r="D74" s="28" t="n">
        <f aca="false">C74/$T$1*100</f>
        <v>2.227440625</v>
      </c>
      <c r="E74" s="28" t="n">
        <f aca="false">E73+D74</f>
        <v>27.69159625</v>
      </c>
      <c r="F74" s="28" t="n">
        <f aca="false">MAX(0,MAX($E$2:E74))</f>
        <v>27.69159625</v>
      </c>
      <c r="G74" s="28" t="n">
        <f aca="false">E74-F74</f>
        <v>0</v>
      </c>
      <c r="H74" s="25" t="n">
        <f aca="false">IF(G74&gt;=-0.0000001,A74,H73)</f>
        <v>45929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35639.05</v>
      </c>
      <c r="L74" s="28" t="n">
        <f aca="false">L73+K74/$T$1*100</f>
        <v>24.02884</v>
      </c>
      <c r="M74" s="28" t="n">
        <f aca="false">MAX(0,MAX($L$2:L74))</f>
        <v>24.02884</v>
      </c>
      <c r="N74" s="28" t="n">
        <f aca="false">L74-M74</f>
        <v>0</v>
      </c>
      <c r="O74" s="25" t="n">
        <f aca="false">IF(N74&gt;=-0.0000001,A74,O73)</f>
        <v>45929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45930</v>
      </c>
      <c r="B75" s="26" t="s">
        <v>80</v>
      </c>
      <c r="C75" s="27" t="n">
        <v>76585.24</v>
      </c>
      <c r="D75" s="28" t="n">
        <f aca="false">C75/$T$1*100</f>
        <v>4.7865775</v>
      </c>
      <c r="E75" s="28" t="n">
        <f aca="false">E74+D75</f>
        <v>32.47817375</v>
      </c>
      <c r="F75" s="28" t="n">
        <f aca="false">MAX(0,MAX($E$2:E75))</f>
        <v>32.47817375</v>
      </c>
      <c r="G75" s="28" t="n">
        <f aca="false">E75-F75</f>
        <v>0</v>
      </c>
      <c r="H75" s="25" t="n">
        <f aca="false">IF(G75&gt;=-0.0000001,A75,H74)</f>
        <v>45930</v>
      </c>
      <c r="I75" s="29" t="n">
        <f aca="false">IF(AND(G75&gt;=-0.0000001,G74&lt;0),1,0)</f>
        <v>0</v>
      </c>
      <c r="J75" s="30" t="str">
        <f aca="false">IF(I75=1,A75-H74,"")</f>
        <v/>
      </c>
      <c r="K75" s="27" t="n">
        <f aca="false">IF(B75="Wednesday",0,C75)</f>
        <v>76585.24</v>
      </c>
      <c r="L75" s="28" t="n">
        <f aca="false">L74+K75/$T$1*100</f>
        <v>28.8154175</v>
      </c>
      <c r="M75" s="28" t="n">
        <f aca="false">MAX(0,MAX($L$2:L75))</f>
        <v>28.8154175</v>
      </c>
      <c r="N75" s="28" t="n">
        <f aca="false">L75-M75</f>
        <v>0</v>
      </c>
      <c r="O75" s="25" t="n">
        <f aca="false">IF(N75&gt;=-0.0000001,A75,O74)</f>
        <v>45930</v>
      </c>
      <c r="P75" s="29" t="n">
        <f aca="false">IF(AND(N75&gt;=-0.0000001,N74&lt;0),1,0)</f>
        <v>0</v>
      </c>
      <c r="Q75" s="30" t="str">
        <f aca="false">IF(P75=1,A75-O74,"")</f>
        <v/>
      </c>
    </row>
    <row r="76" customFormat="false" ht="15" hidden="false" customHeight="false" outlineLevel="0" collapsed="false">
      <c r="A76" s="25" t="n">
        <v>45931</v>
      </c>
      <c r="B76" s="26" t="s">
        <v>81</v>
      </c>
      <c r="C76" s="27" t="n">
        <v>-29981.75</v>
      </c>
      <c r="D76" s="28" t="n">
        <f aca="false">C76/$T$1*100</f>
        <v>-1.873859375</v>
      </c>
      <c r="E76" s="28" t="n">
        <f aca="false">E75+D76</f>
        <v>30.604314375</v>
      </c>
      <c r="F76" s="28" t="n">
        <f aca="false">MAX(0,MAX($E$2:E76))</f>
        <v>32.47817375</v>
      </c>
      <c r="G76" s="28" t="n">
        <f aca="false">E76-F76</f>
        <v>-1.873859375</v>
      </c>
      <c r="H76" s="25" t="n">
        <f aca="false">IF(G76&gt;=-0.0000001,A76,H75)</f>
        <v>45930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0</v>
      </c>
      <c r="L76" s="28" t="n">
        <f aca="false">L75+K76/$T$1*100</f>
        <v>28.8154175</v>
      </c>
      <c r="M76" s="28" t="n">
        <f aca="false">MAX(0,MAX($L$2:L76))</f>
        <v>28.8154175</v>
      </c>
      <c r="N76" s="28" t="n">
        <f aca="false">L76-M76</f>
        <v>0</v>
      </c>
      <c r="O76" s="25" t="n">
        <f aca="false">IF(N76&gt;=-0.0000001,A76,O75)</f>
        <v>45931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45933</v>
      </c>
      <c r="B77" s="26" t="s">
        <v>83</v>
      </c>
      <c r="C77" s="27" t="n">
        <v>-9315</v>
      </c>
      <c r="D77" s="28" t="n">
        <f aca="false">C77/$T$1*100</f>
        <v>-0.5821875</v>
      </c>
      <c r="E77" s="28" t="n">
        <f aca="false">E76+D77</f>
        <v>30.022126875</v>
      </c>
      <c r="F77" s="28" t="n">
        <f aca="false">MAX(0,MAX($E$2:E77))</f>
        <v>32.47817375</v>
      </c>
      <c r="G77" s="28" t="n">
        <f aca="false">E77-F77</f>
        <v>-2.456046875</v>
      </c>
      <c r="H77" s="25" t="n">
        <f aca="false">IF(G77&gt;=-0.0000001,A77,H76)</f>
        <v>45930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-9315</v>
      </c>
      <c r="L77" s="28" t="n">
        <f aca="false">L76+K77/$T$1*100</f>
        <v>28.23323</v>
      </c>
      <c r="M77" s="28" t="n">
        <f aca="false">MAX(0,MAX($L$2:L77))</f>
        <v>28.8154175</v>
      </c>
      <c r="N77" s="28" t="n">
        <f aca="false">L77-M77</f>
        <v>-0.5821875</v>
      </c>
      <c r="O77" s="25" t="n">
        <f aca="false">IF(N77&gt;=-0.0000001,A77,O76)</f>
        <v>45931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45936</v>
      </c>
      <c r="B78" s="26" t="s">
        <v>79</v>
      </c>
      <c r="C78" s="27" t="n">
        <v>-18116.69</v>
      </c>
      <c r="D78" s="28" t="n">
        <f aca="false">C78/$T$1*100</f>
        <v>-1.132293125</v>
      </c>
      <c r="E78" s="28" t="n">
        <f aca="false">E77+D78</f>
        <v>28.88983375</v>
      </c>
      <c r="F78" s="28" t="n">
        <f aca="false">MAX(0,MAX($E$2:E78))</f>
        <v>32.47817375</v>
      </c>
      <c r="G78" s="28" t="n">
        <f aca="false">E78-F78</f>
        <v>-3.58834</v>
      </c>
      <c r="H78" s="25" t="n">
        <f aca="false">IF(G78&gt;=-0.0000001,A78,H77)</f>
        <v>45930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-18116.69</v>
      </c>
      <c r="L78" s="28" t="n">
        <f aca="false">L77+K78/$T$1*100</f>
        <v>27.100936875</v>
      </c>
      <c r="M78" s="28" t="n">
        <f aca="false">MAX(0,MAX($L$2:L78))</f>
        <v>28.8154175</v>
      </c>
      <c r="N78" s="28" t="n">
        <f aca="false">L78-M78</f>
        <v>-1.714480625</v>
      </c>
      <c r="O78" s="25" t="n">
        <f aca="false">IF(N78&gt;=-0.0000001,A78,O77)</f>
        <v>45931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45937</v>
      </c>
      <c r="B79" s="26" t="s">
        <v>80</v>
      </c>
      <c r="C79" s="27" t="n">
        <v>22691.87</v>
      </c>
      <c r="D79" s="28" t="n">
        <f aca="false">C79/$T$1*100</f>
        <v>1.418241875</v>
      </c>
      <c r="E79" s="28" t="n">
        <f aca="false">E78+D79</f>
        <v>30.308075625</v>
      </c>
      <c r="F79" s="28" t="n">
        <f aca="false">MAX(0,MAX($E$2:E79))</f>
        <v>32.47817375</v>
      </c>
      <c r="G79" s="28" t="n">
        <f aca="false">E79-F79</f>
        <v>-2.170098125</v>
      </c>
      <c r="H79" s="25" t="n">
        <f aca="false">IF(G79&gt;=-0.0000001,A79,H78)</f>
        <v>45930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22691.87</v>
      </c>
      <c r="L79" s="28" t="n">
        <f aca="false">L78+K79/$T$1*100</f>
        <v>28.51917875</v>
      </c>
      <c r="M79" s="28" t="n">
        <f aca="false">MAX(0,MAX($L$2:L79))</f>
        <v>28.8154175</v>
      </c>
      <c r="N79" s="28" t="n">
        <f aca="false">L79-M79</f>
        <v>-0.296238750000001</v>
      </c>
      <c r="O79" s="25" t="n">
        <f aca="false">IF(N79&gt;=-0.0000001,A79,O78)</f>
        <v>45931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45938</v>
      </c>
      <c r="B80" s="26" t="s">
        <v>81</v>
      </c>
      <c r="C80" s="27" t="n">
        <v>6140.17</v>
      </c>
      <c r="D80" s="28" t="n">
        <f aca="false">C80/$T$1*100</f>
        <v>0.383760625</v>
      </c>
      <c r="E80" s="28" t="n">
        <f aca="false">E79+D80</f>
        <v>30.69183625</v>
      </c>
      <c r="F80" s="28" t="n">
        <f aca="false">MAX(0,MAX($E$2:E80))</f>
        <v>32.47817375</v>
      </c>
      <c r="G80" s="28" t="n">
        <f aca="false">E80-F80</f>
        <v>-1.7863375</v>
      </c>
      <c r="H80" s="25" t="n">
        <f aca="false">IF(G80&gt;=-0.0000001,A80,H79)</f>
        <v>45930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0</v>
      </c>
      <c r="L80" s="28" t="n">
        <f aca="false">L79+K80/$T$1*100</f>
        <v>28.51917875</v>
      </c>
      <c r="M80" s="28" t="n">
        <f aca="false">MAX(0,MAX($L$2:L80))</f>
        <v>28.8154175</v>
      </c>
      <c r="N80" s="28" t="n">
        <f aca="false">L80-M80</f>
        <v>-0.296238750000001</v>
      </c>
      <c r="O80" s="25" t="n">
        <f aca="false">IF(N80&gt;=-0.0000001,A80,O79)</f>
        <v>45931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45939</v>
      </c>
      <c r="B81" s="26" t="s">
        <v>82</v>
      </c>
      <c r="C81" s="27" t="n">
        <v>25540.75</v>
      </c>
      <c r="D81" s="28" t="n">
        <f aca="false">C81/$T$1*100</f>
        <v>1.596296875</v>
      </c>
      <c r="E81" s="28" t="n">
        <f aca="false">E80+D81</f>
        <v>32.288133125</v>
      </c>
      <c r="F81" s="28" t="n">
        <f aca="false">MAX(0,MAX($E$2:E81))</f>
        <v>32.47817375</v>
      </c>
      <c r="G81" s="28" t="n">
        <f aca="false">E81-F81</f>
        <v>-0.190040625000002</v>
      </c>
      <c r="H81" s="25" t="n">
        <f aca="false">IF(G81&gt;=-0.0000001,A81,H80)</f>
        <v>45930</v>
      </c>
      <c r="I81" s="29" t="n">
        <f aca="false">IF(AND(G81&gt;=-0.0000001,G80&lt;0),1,0)</f>
        <v>0</v>
      </c>
      <c r="J81" s="30" t="str">
        <f aca="false">IF(I81=1,A81-H80,"")</f>
        <v/>
      </c>
      <c r="K81" s="27" t="n">
        <f aca="false">IF(B81="Wednesday",0,C81)</f>
        <v>25540.75</v>
      </c>
      <c r="L81" s="28" t="n">
        <f aca="false">L80+K81/$T$1*100</f>
        <v>30.115475625</v>
      </c>
      <c r="M81" s="28" t="n">
        <f aca="false">MAX(0,MAX($L$2:L81))</f>
        <v>30.115475625</v>
      </c>
      <c r="N81" s="28" t="n">
        <f aca="false">L81-M81</f>
        <v>0</v>
      </c>
      <c r="O81" s="25" t="n">
        <f aca="false">IF(N81&gt;=-0.0000001,A81,O80)</f>
        <v>45939</v>
      </c>
      <c r="P81" s="29" t="n">
        <f aca="false">IF(AND(N81&gt;=-0.0000001,N80&lt;0),1,0)</f>
        <v>1</v>
      </c>
      <c r="Q81" s="30" t="n">
        <f aca="false">IF(P81=1,A81-O80,"")</f>
        <v>8</v>
      </c>
    </row>
    <row r="82" customFormat="false" ht="15" hidden="false" customHeight="false" outlineLevel="0" collapsed="false">
      <c r="A82" s="25" t="n">
        <v>45940</v>
      </c>
      <c r="B82" s="26" t="s">
        <v>83</v>
      </c>
      <c r="C82" s="27" t="n">
        <v>-11577.05</v>
      </c>
      <c r="D82" s="28" t="n">
        <f aca="false">C82/$T$1*100</f>
        <v>-0.723565625</v>
      </c>
      <c r="E82" s="28" t="n">
        <f aca="false">E81+D82</f>
        <v>31.5645675</v>
      </c>
      <c r="F82" s="28" t="n">
        <f aca="false">MAX(0,MAX($E$2:E82))</f>
        <v>32.47817375</v>
      </c>
      <c r="G82" s="28" t="n">
        <f aca="false">E82-F82</f>
        <v>-0.913606250000001</v>
      </c>
      <c r="H82" s="25" t="n">
        <f aca="false">IF(G82&gt;=-0.0000001,A82,H81)</f>
        <v>45930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-11577.05</v>
      </c>
      <c r="L82" s="28" t="n">
        <f aca="false">L81+K82/$T$1*100</f>
        <v>29.39191</v>
      </c>
      <c r="M82" s="28" t="n">
        <f aca="false">MAX(0,MAX($L$2:L82))</f>
        <v>30.115475625</v>
      </c>
      <c r="N82" s="28" t="n">
        <f aca="false">L82-M82</f>
        <v>-0.723565624999999</v>
      </c>
      <c r="O82" s="25" t="n">
        <f aca="false">IF(N82&gt;=-0.0000001,A82,O81)</f>
        <v>45939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45943</v>
      </c>
      <c r="B83" s="26" t="s">
        <v>79</v>
      </c>
      <c r="C83" s="27" t="n">
        <v>-1222.39</v>
      </c>
      <c r="D83" s="28" t="n">
        <f aca="false">C83/$T$1*100</f>
        <v>-0.076399375</v>
      </c>
      <c r="E83" s="28" t="n">
        <f aca="false">E82+D83</f>
        <v>31.488168125</v>
      </c>
      <c r="F83" s="28" t="n">
        <f aca="false">MAX(0,MAX($E$2:E83))</f>
        <v>32.47817375</v>
      </c>
      <c r="G83" s="28" t="n">
        <f aca="false">E83-F83</f>
        <v>-0.990005625000002</v>
      </c>
      <c r="H83" s="25" t="n">
        <f aca="false">IF(G83&gt;=-0.0000001,A83,H82)</f>
        <v>45930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-1222.39</v>
      </c>
      <c r="L83" s="28" t="n">
        <f aca="false">L82+K83/$T$1*100</f>
        <v>29.315510625</v>
      </c>
      <c r="M83" s="28" t="n">
        <f aca="false">MAX(0,MAX($L$2:L83))</f>
        <v>30.115475625</v>
      </c>
      <c r="N83" s="28" t="n">
        <f aca="false">L83-M83</f>
        <v>-0.799965</v>
      </c>
      <c r="O83" s="25" t="n">
        <f aca="false">IF(N83&gt;=-0.0000001,A83,O82)</f>
        <v>45939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45944</v>
      </c>
      <c r="B84" s="26" t="s">
        <v>80</v>
      </c>
      <c r="C84" s="27" t="n">
        <v>7921.51</v>
      </c>
      <c r="D84" s="28" t="n">
        <f aca="false">C84/$T$1*100</f>
        <v>0.495094375</v>
      </c>
      <c r="E84" s="28" t="n">
        <f aca="false">E83+D84</f>
        <v>31.9832625</v>
      </c>
      <c r="F84" s="28" t="n">
        <f aca="false">MAX(0,MAX($E$2:E84))</f>
        <v>32.47817375</v>
      </c>
      <c r="G84" s="28" t="n">
        <f aca="false">E84-F84</f>
        <v>-0.494911250000001</v>
      </c>
      <c r="H84" s="25" t="n">
        <f aca="false">IF(G84&gt;=-0.0000001,A84,H83)</f>
        <v>45930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7921.51</v>
      </c>
      <c r="L84" s="28" t="n">
        <f aca="false">L83+K84/$T$1*100</f>
        <v>29.810605</v>
      </c>
      <c r="M84" s="28" t="n">
        <f aca="false">MAX(0,MAX($L$2:L84))</f>
        <v>30.115475625</v>
      </c>
      <c r="N84" s="28" t="n">
        <f aca="false">L84-M84</f>
        <v>-0.304870625</v>
      </c>
      <c r="O84" s="25" t="n">
        <f aca="false">IF(N84&gt;=-0.0000001,A84,O83)</f>
        <v>45939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45945</v>
      </c>
      <c r="B85" s="26" t="s">
        <v>81</v>
      </c>
      <c r="C85" s="27" t="n">
        <v>7725</v>
      </c>
      <c r="D85" s="28" t="n">
        <f aca="false">C85/$T$1*100</f>
        <v>0.4828125</v>
      </c>
      <c r="E85" s="28" t="n">
        <f aca="false">E84+D85</f>
        <v>32.466075</v>
      </c>
      <c r="F85" s="28" t="n">
        <f aca="false">MAX(0,MAX($E$2:E85))</f>
        <v>32.47817375</v>
      </c>
      <c r="G85" s="28" t="n">
        <f aca="false">E85-F85</f>
        <v>-0.0120987499999998</v>
      </c>
      <c r="H85" s="25" t="n">
        <f aca="false">IF(G85&gt;=-0.0000001,A85,H84)</f>
        <v>45930</v>
      </c>
      <c r="I85" s="29" t="n">
        <f aca="false">IF(AND(G85&gt;=-0.0000001,G84&lt;0),1,0)</f>
        <v>0</v>
      </c>
      <c r="J85" s="30" t="str">
        <f aca="false">IF(I85=1,A85-H84,"")</f>
        <v/>
      </c>
      <c r="K85" s="27" t="n">
        <f aca="false">IF(B85="Wednesday",0,C85)</f>
        <v>0</v>
      </c>
      <c r="L85" s="28" t="n">
        <f aca="false">L84+K85/$T$1*100</f>
        <v>29.810605</v>
      </c>
      <c r="M85" s="28" t="n">
        <f aca="false">MAX(0,MAX($L$2:L85))</f>
        <v>30.115475625</v>
      </c>
      <c r="N85" s="28" t="n">
        <f aca="false">L85-M85</f>
        <v>-0.304870625</v>
      </c>
      <c r="O85" s="25" t="n">
        <f aca="false">IF(N85&gt;=-0.0000001,A85,O84)</f>
        <v>45939</v>
      </c>
      <c r="P85" s="29" t="n">
        <f aca="false">IF(AND(N85&gt;=-0.0000001,N84&lt;0),1,0)</f>
        <v>0</v>
      </c>
      <c r="Q85" s="30" t="str">
        <f aca="false">IF(P85=1,A85-O84,"")</f>
        <v/>
      </c>
    </row>
    <row r="86" customFormat="false" ht="15" hidden="false" customHeight="false" outlineLevel="0" collapsed="false">
      <c r="A86" s="25" t="n">
        <v>45946</v>
      </c>
      <c r="B86" s="26" t="s">
        <v>82</v>
      </c>
      <c r="C86" s="27" t="n">
        <v>31701.01</v>
      </c>
      <c r="D86" s="28" t="n">
        <f aca="false">C86/$T$1*100</f>
        <v>1.981313125</v>
      </c>
      <c r="E86" s="28" t="n">
        <f aca="false">E85+D86</f>
        <v>34.447388125</v>
      </c>
      <c r="F86" s="28" t="n">
        <f aca="false">MAX(0,MAX($E$2:E86))</f>
        <v>34.447388125</v>
      </c>
      <c r="G86" s="28" t="n">
        <f aca="false">E86-F86</f>
        <v>0</v>
      </c>
      <c r="H86" s="25" t="n">
        <f aca="false">IF(G86&gt;=-0.0000001,A86,H85)</f>
        <v>45946</v>
      </c>
      <c r="I86" s="29" t="n">
        <f aca="false">IF(AND(G86&gt;=-0.0000001,G85&lt;0),1,0)</f>
        <v>1</v>
      </c>
      <c r="J86" s="30" t="n">
        <f aca="false">IF(I86=1,A86-H85,"")</f>
        <v>16</v>
      </c>
      <c r="K86" s="27" t="n">
        <f aca="false">IF(B86="Wednesday",0,C86)</f>
        <v>31701.01</v>
      </c>
      <c r="L86" s="28" t="n">
        <f aca="false">L85+K86/$T$1*100</f>
        <v>31.791918125</v>
      </c>
      <c r="M86" s="28" t="n">
        <f aca="false">MAX(0,MAX($L$2:L86))</f>
        <v>31.791918125</v>
      </c>
      <c r="N86" s="28" t="n">
        <f aca="false">L86-M86</f>
        <v>0</v>
      </c>
      <c r="O86" s="25" t="n">
        <f aca="false">IF(N86&gt;=-0.0000001,A86,O85)</f>
        <v>45946</v>
      </c>
      <c r="P86" s="29" t="n">
        <f aca="false">IF(AND(N86&gt;=-0.0000001,N85&lt;0),1,0)</f>
        <v>1</v>
      </c>
      <c r="Q86" s="30" t="n">
        <f aca="false">IF(P86=1,A86-O85,"")</f>
        <v>7</v>
      </c>
    </row>
    <row r="87" customFormat="false" ht="15" hidden="false" customHeight="false" outlineLevel="0" collapsed="false">
      <c r="A87" s="25" t="n">
        <v>45947</v>
      </c>
      <c r="B87" s="26" t="s">
        <v>83</v>
      </c>
      <c r="C87" s="27" t="n">
        <v>-96417.87</v>
      </c>
      <c r="D87" s="28" t="n">
        <f aca="false">C87/$T$1*100</f>
        <v>-6.026116875</v>
      </c>
      <c r="E87" s="28" t="n">
        <f aca="false">E86+D87</f>
        <v>28.42127125</v>
      </c>
      <c r="F87" s="28" t="n">
        <f aca="false">MAX(0,MAX($E$2:E87))</f>
        <v>34.447388125</v>
      </c>
      <c r="G87" s="28" t="n">
        <f aca="false">E87-F87</f>
        <v>-6.026116875</v>
      </c>
      <c r="H87" s="25" t="n">
        <f aca="false">IF(G87&gt;=-0.0000001,A87,H86)</f>
        <v>45946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-96417.87</v>
      </c>
      <c r="L87" s="28" t="n">
        <f aca="false">L86+K87/$T$1*100</f>
        <v>25.76580125</v>
      </c>
      <c r="M87" s="28" t="n">
        <f aca="false">MAX(0,MAX($L$2:L87))</f>
        <v>31.791918125</v>
      </c>
      <c r="N87" s="28" t="n">
        <f aca="false">L87-M87</f>
        <v>-6.026116875</v>
      </c>
      <c r="O87" s="25" t="n">
        <f aca="false">IF(N87&gt;=-0.0000001,A87,O86)</f>
        <v>45946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45950</v>
      </c>
      <c r="B88" s="26" t="s">
        <v>79</v>
      </c>
      <c r="C88" s="27" t="n">
        <v>30823.57</v>
      </c>
      <c r="D88" s="28" t="n">
        <f aca="false">C88/$T$1*100</f>
        <v>1.926473125</v>
      </c>
      <c r="E88" s="28" t="n">
        <f aca="false">E87+D88</f>
        <v>30.347744375</v>
      </c>
      <c r="F88" s="28" t="n">
        <f aca="false">MAX(0,MAX($E$2:E88))</f>
        <v>34.447388125</v>
      </c>
      <c r="G88" s="28" t="n">
        <f aca="false">E88-F88</f>
        <v>-4.09964375</v>
      </c>
      <c r="H88" s="25" t="n">
        <f aca="false">IF(G88&gt;=-0.0000001,A88,H87)</f>
        <v>45946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30823.57</v>
      </c>
      <c r="L88" s="28" t="n">
        <f aca="false">L87+K88/$T$1*100</f>
        <v>27.692274375</v>
      </c>
      <c r="M88" s="28" t="n">
        <f aca="false">MAX(0,MAX($L$2:L88))</f>
        <v>31.791918125</v>
      </c>
      <c r="N88" s="28" t="n">
        <f aca="false">L88-M88</f>
        <v>-4.09964375</v>
      </c>
      <c r="O88" s="25" t="n">
        <f aca="false">IF(N88&gt;=-0.0000001,A88,O87)</f>
        <v>45946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45953</v>
      </c>
      <c r="B89" s="26" t="s">
        <v>82</v>
      </c>
      <c r="C89" s="27" t="n">
        <v>-34462.34</v>
      </c>
      <c r="D89" s="28" t="n">
        <f aca="false">C89/$T$1*100</f>
        <v>-2.15389625</v>
      </c>
      <c r="E89" s="28" t="n">
        <f aca="false">E88+D89</f>
        <v>28.193848125</v>
      </c>
      <c r="F89" s="28" t="n">
        <f aca="false">MAX(0,MAX($E$2:E89))</f>
        <v>34.447388125</v>
      </c>
      <c r="G89" s="28" t="n">
        <f aca="false">E89-F89</f>
        <v>-6.25354</v>
      </c>
      <c r="H89" s="25" t="n">
        <f aca="false">IF(G89&gt;=-0.0000001,A89,H88)</f>
        <v>45946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-34462.34</v>
      </c>
      <c r="L89" s="28" t="n">
        <f aca="false">L88+K89/$T$1*100</f>
        <v>25.538378125</v>
      </c>
      <c r="M89" s="28" t="n">
        <f aca="false">MAX(0,MAX($L$2:L89))</f>
        <v>31.791918125</v>
      </c>
      <c r="N89" s="28" t="n">
        <f aca="false">L89-M89</f>
        <v>-6.25354</v>
      </c>
      <c r="O89" s="25" t="n">
        <f aca="false">IF(N89&gt;=-0.0000001,A89,O88)</f>
        <v>45946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45954</v>
      </c>
      <c r="B90" s="26" t="s">
        <v>83</v>
      </c>
      <c r="C90" s="27" t="n">
        <v>101760</v>
      </c>
      <c r="D90" s="28" t="n">
        <f aca="false">C90/$T$1*100</f>
        <v>6.36</v>
      </c>
      <c r="E90" s="28" t="n">
        <f aca="false">E89+D90</f>
        <v>34.553848125</v>
      </c>
      <c r="F90" s="28" t="n">
        <f aca="false">MAX(0,MAX($E$2:E90))</f>
        <v>34.553848125</v>
      </c>
      <c r="G90" s="28" t="n">
        <f aca="false">E90-F90</f>
        <v>0</v>
      </c>
      <c r="H90" s="25" t="n">
        <f aca="false">IF(G90&gt;=-0.0000001,A90,H89)</f>
        <v>45954</v>
      </c>
      <c r="I90" s="29" t="n">
        <f aca="false">IF(AND(G90&gt;=-0.0000001,G89&lt;0),1,0)</f>
        <v>1</v>
      </c>
      <c r="J90" s="30" t="n">
        <f aca="false">IF(I90=1,A90-H89,"")</f>
        <v>8</v>
      </c>
      <c r="K90" s="27" t="n">
        <f aca="false">IF(B90="Wednesday",0,C90)</f>
        <v>101760</v>
      </c>
      <c r="L90" s="28" t="n">
        <f aca="false">L89+K90/$T$1*100</f>
        <v>31.898378125</v>
      </c>
      <c r="M90" s="28" t="n">
        <f aca="false">MAX(0,MAX($L$2:L90))</f>
        <v>31.898378125</v>
      </c>
      <c r="N90" s="28" t="n">
        <f aca="false">L90-M90</f>
        <v>0</v>
      </c>
      <c r="O90" s="25" t="n">
        <f aca="false">IF(N90&gt;=-0.0000001,A90,O89)</f>
        <v>45954</v>
      </c>
      <c r="P90" s="29" t="n">
        <f aca="false">IF(AND(N90&gt;=-0.0000001,N89&lt;0),1,0)</f>
        <v>1</v>
      </c>
      <c r="Q90" s="30" t="n">
        <f aca="false">IF(P90=1,A90-O89,"")</f>
        <v>8</v>
      </c>
    </row>
    <row r="91" customFormat="false" ht="15" hidden="false" customHeight="false" outlineLevel="0" collapsed="false">
      <c r="A91" s="25" t="n">
        <v>45957</v>
      </c>
      <c r="B91" s="26" t="s">
        <v>79</v>
      </c>
      <c r="C91" s="27" t="n">
        <v>-24954.79</v>
      </c>
      <c r="D91" s="28" t="n">
        <f aca="false">C91/$T$1*100</f>
        <v>-1.559674375</v>
      </c>
      <c r="E91" s="28" t="n">
        <f aca="false">E90+D91</f>
        <v>32.99417375</v>
      </c>
      <c r="F91" s="28" t="n">
        <f aca="false">MAX(0,MAX($E$2:E91))</f>
        <v>34.553848125</v>
      </c>
      <c r="G91" s="28" t="n">
        <f aca="false">E91-F91</f>
        <v>-1.559674375</v>
      </c>
      <c r="H91" s="25" t="n">
        <f aca="false">IF(G91&gt;=-0.0000001,A91,H90)</f>
        <v>45954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-24954.79</v>
      </c>
      <c r="L91" s="28" t="n">
        <f aca="false">L90+K91/$T$1*100</f>
        <v>30.33870375</v>
      </c>
      <c r="M91" s="28" t="n">
        <f aca="false">MAX(0,MAX($L$2:L91))</f>
        <v>31.898378125</v>
      </c>
      <c r="N91" s="28" t="n">
        <f aca="false">L91-M91</f>
        <v>-1.559674375</v>
      </c>
      <c r="O91" s="25" t="n">
        <f aca="false">IF(N91&gt;=-0.0000001,A91,O90)</f>
        <v>45954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45958</v>
      </c>
      <c r="B92" s="26" t="s">
        <v>80</v>
      </c>
      <c r="C92" s="27" t="n">
        <v>90161.71</v>
      </c>
      <c r="D92" s="28" t="n">
        <f aca="false">C92/$T$1*100</f>
        <v>5.635106875</v>
      </c>
      <c r="E92" s="28" t="n">
        <f aca="false">E91+D92</f>
        <v>38.629280625</v>
      </c>
      <c r="F92" s="28" t="n">
        <f aca="false">MAX(0,MAX($E$2:E92))</f>
        <v>38.629280625</v>
      </c>
      <c r="G92" s="28" t="n">
        <f aca="false">E92-F92</f>
        <v>0</v>
      </c>
      <c r="H92" s="25" t="n">
        <f aca="false">IF(G92&gt;=-0.0000001,A92,H91)</f>
        <v>45958</v>
      </c>
      <c r="I92" s="29" t="n">
        <f aca="false">IF(AND(G92&gt;=-0.0000001,G91&lt;0),1,0)</f>
        <v>1</v>
      </c>
      <c r="J92" s="30" t="n">
        <f aca="false">IF(I92=1,A92-H91,"")</f>
        <v>4</v>
      </c>
      <c r="K92" s="27" t="n">
        <f aca="false">IF(B92="Wednesday",0,C92)</f>
        <v>90161.71</v>
      </c>
      <c r="L92" s="28" t="n">
        <f aca="false">L91+K92/$T$1*100</f>
        <v>35.973810625</v>
      </c>
      <c r="M92" s="28" t="n">
        <f aca="false">MAX(0,MAX($L$2:L92))</f>
        <v>35.973810625</v>
      </c>
      <c r="N92" s="28" t="n">
        <f aca="false">L92-M92</f>
        <v>0</v>
      </c>
      <c r="O92" s="25" t="n">
        <f aca="false">IF(N92&gt;=-0.0000001,A92,O91)</f>
        <v>45958</v>
      </c>
      <c r="P92" s="29" t="n">
        <f aca="false">IF(AND(N92&gt;=-0.0000001,N91&lt;0),1,0)</f>
        <v>1</v>
      </c>
      <c r="Q92" s="30" t="n">
        <f aca="false">IF(P92=1,A92-O91,"")</f>
        <v>4</v>
      </c>
    </row>
    <row r="93" customFormat="false" ht="15" hidden="false" customHeight="false" outlineLevel="0" collapsed="false">
      <c r="A93" s="25" t="n">
        <v>45959</v>
      </c>
      <c r="B93" s="26" t="s">
        <v>81</v>
      </c>
      <c r="C93" s="27" t="n">
        <v>-20949.3</v>
      </c>
      <c r="D93" s="28" t="n">
        <f aca="false">C93/$T$1*100</f>
        <v>-1.30933125</v>
      </c>
      <c r="E93" s="28" t="n">
        <f aca="false">E92+D93</f>
        <v>37.319949375</v>
      </c>
      <c r="F93" s="28" t="n">
        <f aca="false">MAX(0,MAX($E$2:E93))</f>
        <v>38.629280625</v>
      </c>
      <c r="G93" s="28" t="n">
        <f aca="false">E93-F93</f>
        <v>-1.30933125</v>
      </c>
      <c r="H93" s="25" t="n">
        <f aca="false">IF(G93&gt;=-0.0000001,A93,H92)</f>
        <v>45958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0</v>
      </c>
      <c r="L93" s="28" t="n">
        <f aca="false">L92+K93/$T$1*100</f>
        <v>35.973810625</v>
      </c>
      <c r="M93" s="28" t="n">
        <f aca="false">MAX(0,MAX($L$2:L93))</f>
        <v>35.973810625</v>
      </c>
      <c r="N93" s="28" t="n">
        <f aca="false">L93-M93</f>
        <v>0</v>
      </c>
      <c r="O93" s="25" t="n">
        <f aca="false">IF(N93&gt;=-0.0000001,A93,O92)</f>
        <v>45959</v>
      </c>
      <c r="P93" s="29" t="n">
        <f aca="false">IF(AND(N93&gt;=-0.0000001,N92&lt;0),1,0)</f>
        <v>0</v>
      </c>
      <c r="Q93" s="30" t="str">
        <f aca="false">IF(P93=1,A93-O92,"")</f>
        <v/>
      </c>
    </row>
    <row r="94" customFormat="false" ht="15" hidden="false" customHeight="false" outlineLevel="0" collapsed="false">
      <c r="A94" s="25" t="n">
        <v>45960</v>
      </c>
      <c r="B94" s="26" t="s">
        <v>82</v>
      </c>
      <c r="C94" s="27" t="n">
        <v>9169.06</v>
      </c>
      <c r="D94" s="28" t="n">
        <f aca="false">C94/$T$1*100</f>
        <v>0.57306625</v>
      </c>
      <c r="E94" s="28" t="n">
        <f aca="false">E93+D94</f>
        <v>37.893015625</v>
      </c>
      <c r="F94" s="28" t="n">
        <f aca="false">MAX(0,MAX($E$2:E94))</f>
        <v>38.629280625</v>
      </c>
      <c r="G94" s="28" t="n">
        <f aca="false">E94-F94</f>
        <v>-0.736265000000003</v>
      </c>
      <c r="H94" s="25" t="n">
        <f aca="false">IF(G94&gt;=-0.0000001,A94,H93)</f>
        <v>45958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9169.06</v>
      </c>
      <c r="L94" s="28" t="n">
        <f aca="false">L93+K94/$T$1*100</f>
        <v>36.546876875</v>
      </c>
      <c r="M94" s="28" t="n">
        <f aca="false">MAX(0,MAX($L$2:L94))</f>
        <v>36.546876875</v>
      </c>
      <c r="N94" s="28" t="n">
        <f aca="false">L94-M94</f>
        <v>0</v>
      </c>
      <c r="O94" s="25" t="n">
        <f aca="false">IF(N94&gt;=-0.0000001,A94,O93)</f>
        <v>45960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45961</v>
      </c>
      <c r="B95" s="26" t="s">
        <v>83</v>
      </c>
      <c r="C95" s="27" t="n">
        <v>2250</v>
      </c>
      <c r="D95" s="28" t="n">
        <f aca="false">C95/$T$1*100</f>
        <v>0.140625</v>
      </c>
      <c r="E95" s="28" t="n">
        <f aca="false">E94+D95</f>
        <v>38.033640625</v>
      </c>
      <c r="F95" s="28" t="n">
        <f aca="false">MAX(0,MAX($E$2:E95))</f>
        <v>38.629280625</v>
      </c>
      <c r="G95" s="28" t="n">
        <f aca="false">E95-F95</f>
        <v>-0.595640000000003</v>
      </c>
      <c r="H95" s="25" t="n">
        <f aca="false">IF(G95&gt;=-0.0000001,A95,H94)</f>
        <v>45958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2250</v>
      </c>
      <c r="L95" s="28" t="n">
        <f aca="false">L94+K95/$T$1*100</f>
        <v>36.687501875</v>
      </c>
      <c r="M95" s="28" t="n">
        <f aca="false">MAX(0,MAX($L$2:L95))</f>
        <v>36.687501875</v>
      </c>
      <c r="N95" s="28" t="n">
        <f aca="false">L95-M95</f>
        <v>0</v>
      </c>
      <c r="O95" s="25" t="n">
        <f aca="false">IF(N95&gt;=-0.0000001,A95,O94)</f>
        <v>45961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45964</v>
      </c>
      <c r="B96" s="26" t="s">
        <v>79</v>
      </c>
      <c r="C96" s="27" t="n">
        <v>38955</v>
      </c>
      <c r="D96" s="28" t="n">
        <f aca="false">C96/$T$1*100</f>
        <v>2.4346875</v>
      </c>
      <c r="E96" s="28" t="n">
        <f aca="false">E95+D96</f>
        <v>40.468328125</v>
      </c>
      <c r="F96" s="28" t="n">
        <f aca="false">MAX(0,MAX($E$2:E96))</f>
        <v>40.468328125</v>
      </c>
      <c r="G96" s="28" t="n">
        <f aca="false">E96-F96</f>
        <v>0</v>
      </c>
      <c r="H96" s="25" t="n">
        <f aca="false">IF(G96&gt;=-0.0000001,A96,H95)</f>
        <v>45964</v>
      </c>
      <c r="I96" s="29" t="n">
        <f aca="false">IF(AND(G96&gt;=-0.0000001,G95&lt;0),1,0)</f>
        <v>1</v>
      </c>
      <c r="J96" s="30" t="n">
        <f aca="false">IF(I96=1,A96-H95,"")</f>
        <v>6</v>
      </c>
      <c r="K96" s="27" t="n">
        <f aca="false">IF(B96="Wednesday",0,C96)</f>
        <v>38955</v>
      </c>
      <c r="L96" s="28" t="n">
        <f aca="false">L95+K96/$T$1*100</f>
        <v>39.122189375</v>
      </c>
      <c r="M96" s="28" t="n">
        <f aca="false">MAX(0,MAX($L$2:L96))</f>
        <v>39.122189375</v>
      </c>
      <c r="N96" s="28" t="n">
        <f aca="false">L96-M96</f>
        <v>0</v>
      </c>
      <c r="O96" s="25" t="n">
        <f aca="false">IF(N96&gt;=-0.0000001,A96,O95)</f>
        <v>45964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45965</v>
      </c>
      <c r="B97" s="26" t="s">
        <v>80</v>
      </c>
      <c r="C97" s="27" t="n">
        <v>39417.79</v>
      </c>
      <c r="D97" s="28" t="n">
        <f aca="false">C97/$T$1*100</f>
        <v>2.463611875</v>
      </c>
      <c r="E97" s="28" t="n">
        <f aca="false">E96+D97</f>
        <v>42.93194</v>
      </c>
      <c r="F97" s="28" t="n">
        <f aca="false">MAX(0,MAX($E$2:E97))</f>
        <v>42.93194</v>
      </c>
      <c r="G97" s="28" t="n">
        <f aca="false">E97-F97</f>
        <v>0</v>
      </c>
      <c r="H97" s="25" t="n">
        <f aca="false">IF(G97&gt;=-0.0000001,A97,H96)</f>
        <v>45965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39417.79</v>
      </c>
      <c r="L97" s="28" t="n">
        <f aca="false">L96+K97/$T$1*100</f>
        <v>41.58580125</v>
      </c>
      <c r="M97" s="28" t="n">
        <f aca="false">MAX(0,MAX($L$2:L97))</f>
        <v>41.58580125</v>
      </c>
      <c r="N97" s="28" t="n">
        <f aca="false">L97-M97</f>
        <v>0</v>
      </c>
      <c r="O97" s="25" t="n">
        <f aca="false">IF(N97&gt;=-0.0000001,A97,O96)</f>
        <v>45965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45967</v>
      </c>
      <c r="B98" s="26" t="s">
        <v>82</v>
      </c>
      <c r="C98" s="27" t="n">
        <v>3627.56</v>
      </c>
      <c r="D98" s="28" t="n">
        <f aca="false">C98/$T$1*100</f>
        <v>0.2267225</v>
      </c>
      <c r="E98" s="28" t="n">
        <f aca="false">E97+D98</f>
        <v>43.1586625</v>
      </c>
      <c r="F98" s="28" t="n">
        <f aca="false">MAX(0,MAX($E$2:E98))</f>
        <v>43.1586625</v>
      </c>
      <c r="G98" s="28" t="n">
        <f aca="false">E98-F98</f>
        <v>0</v>
      </c>
      <c r="H98" s="25" t="n">
        <f aca="false">IF(G98&gt;=-0.0000001,A98,H97)</f>
        <v>45967</v>
      </c>
      <c r="I98" s="29" t="n">
        <f aca="false">IF(AND(G98&gt;=-0.0000001,G97&lt;0),1,0)</f>
        <v>0</v>
      </c>
      <c r="J98" s="30" t="str">
        <f aca="false">IF(I98=1,A98-H97,"")</f>
        <v/>
      </c>
      <c r="K98" s="27" t="n">
        <f aca="false">IF(B98="Wednesday",0,C98)</f>
        <v>3627.56</v>
      </c>
      <c r="L98" s="28" t="n">
        <f aca="false">L97+K98/$T$1*100</f>
        <v>41.81252375</v>
      </c>
      <c r="M98" s="28" t="n">
        <f aca="false">MAX(0,MAX($L$2:L98))</f>
        <v>41.81252375</v>
      </c>
      <c r="N98" s="28" t="n">
        <f aca="false">L98-M98</f>
        <v>0</v>
      </c>
      <c r="O98" s="25" t="n">
        <f aca="false">IF(N98&gt;=-0.0000001,A98,O97)</f>
        <v>45967</v>
      </c>
      <c r="P98" s="29" t="n">
        <f aca="false">IF(AND(N98&gt;=-0.0000001,N97&lt;0),1,0)</f>
        <v>0</v>
      </c>
      <c r="Q98" s="30" t="str">
        <f aca="false">IF(P98=1,A98-O97,"")</f>
        <v/>
      </c>
    </row>
    <row r="99" customFormat="false" ht="15" hidden="false" customHeight="false" outlineLevel="0" collapsed="false">
      <c r="A99" s="25" t="n">
        <v>45968</v>
      </c>
      <c r="B99" s="26" t="s">
        <v>83</v>
      </c>
      <c r="C99" s="27" t="n">
        <v>-16296.95</v>
      </c>
      <c r="D99" s="28" t="n">
        <f aca="false">C99/$T$1*100</f>
        <v>-1.018559375</v>
      </c>
      <c r="E99" s="28" t="n">
        <f aca="false">E98+D99</f>
        <v>42.140103125</v>
      </c>
      <c r="F99" s="28" t="n">
        <f aca="false">MAX(0,MAX($E$2:E99))</f>
        <v>43.1586625</v>
      </c>
      <c r="G99" s="28" t="n">
        <f aca="false">E99-F99</f>
        <v>-1.018559375</v>
      </c>
      <c r="H99" s="25" t="n">
        <f aca="false">IF(G99&gt;=-0.0000001,A99,H98)</f>
        <v>45967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-16296.95</v>
      </c>
      <c r="L99" s="28" t="n">
        <f aca="false">L98+K99/$T$1*100</f>
        <v>40.793964375</v>
      </c>
      <c r="M99" s="28" t="n">
        <f aca="false">MAX(0,MAX($L$2:L99))</f>
        <v>41.81252375</v>
      </c>
      <c r="N99" s="28" t="n">
        <f aca="false">L99-M99</f>
        <v>-1.018559375</v>
      </c>
      <c r="O99" s="25" t="n">
        <f aca="false">IF(N99&gt;=-0.0000001,A99,O98)</f>
        <v>45967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45971</v>
      </c>
      <c r="B100" s="26" t="s">
        <v>79</v>
      </c>
      <c r="C100" s="27" t="n">
        <v>46122.95</v>
      </c>
      <c r="D100" s="28" t="n">
        <f aca="false">C100/$T$1*100</f>
        <v>2.882684375</v>
      </c>
      <c r="E100" s="28" t="n">
        <f aca="false">E99+D100</f>
        <v>45.0227875</v>
      </c>
      <c r="F100" s="28" t="n">
        <f aca="false">MAX(0,MAX($E$2:E100))</f>
        <v>45.0227875</v>
      </c>
      <c r="G100" s="28" t="n">
        <f aca="false">E100-F100</f>
        <v>0</v>
      </c>
      <c r="H100" s="25" t="n">
        <f aca="false">IF(G100&gt;=-0.0000001,A100,H99)</f>
        <v>45971</v>
      </c>
      <c r="I100" s="29" t="n">
        <f aca="false">IF(AND(G100&gt;=-0.0000001,G99&lt;0),1,0)</f>
        <v>1</v>
      </c>
      <c r="J100" s="30" t="n">
        <f aca="false">IF(I100=1,A100-H99,"")</f>
        <v>4</v>
      </c>
      <c r="K100" s="27" t="n">
        <f aca="false">IF(B100="Wednesday",0,C100)</f>
        <v>46122.95</v>
      </c>
      <c r="L100" s="28" t="n">
        <f aca="false">L99+K100/$T$1*100</f>
        <v>43.67664875</v>
      </c>
      <c r="M100" s="28" t="n">
        <f aca="false">MAX(0,MAX($L$2:L100))</f>
        <v>43.67664875</v>
      </c>
      <c r="N100" s="28" t="n">
        <f aca="false">L100-M100</f>
        <v>0</v>
      </c>
      <c r="O100" s="25" t="n">
        <f aca="false">IF(N100&gt;=-0.0000001,A100,O99)</f>
        <v>45971</v>
      </c>
      <c r="P100" s="29" t="n">
        <f aca="false">IF(AND(N100&gt;=-0.0000001,N99&lt;0),1,0)</f>
        <v>1</v>
      </c>
      <c r="Q100" s="30" t="n">
        <f aca="false">IF(P100=1,A100-O99,"")</f>
        <v>4</v>
      </c>
    </row>
    <row r="101" customFormat="false" ht="15" hidden="false" customHeight="false" outlineLevel="0" collapsed="false">
      <c r="A101" s="25" t="n">
        <v>45972</v>
      </c>
      <c r="B101" s="26" t="s">
        <v>80</v>
      </c>
      <c r="C101" s="27" t="n">
        <v>33065.57</v>
      </c>
      <c r="D101" s="28" t="n">
        <f aca="false">C101/$T$1*100</f>
        <v>2.066598125</v>
      </c>
      <c r="E101" s="28" t="n">
        <f aca="false">E100+D101</f>
        <v>47.089385625</v>
      </c>
      <c r="F101" s="28" t="n">
        <f aca="false">MAX(0,MAX($E$2:E101))</f>
        <v>47.089385625</v>
      </c>
      <c r="G101" s="28" t="n">
        <f aca="false">E101-F101</f>
        <v>0</v>
      </c>
      <c r="H101" s="25" t="n">
        <f aca="false">IF(G101&gt;=-0.0000001,A101,H100)</f>
        <v>45972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33065.57</v>
      </c>
      <c r="L101" s="28" t="n">
        <f aca="false">L100+K101/$T$1*100</f>
        <v>45.743246875</v>
      </c>
      <c r="M101" s="28" t="n">
        <f aca="false">MAX(0,MAX($L$2:L101))</f>
        <v>45.743246875</v>
      </c>
      <c r="N101" s="28" t="n">
        <f aca="false">L101-M101</f>
        <v>0</v>
      </c>
      <c r="O101" s="25" t="n">
        <f aca="false">IF(N101&gt;=-0.0000001,A101,O100)</f>
        <v>45972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45974</v>
      </c>
      <c r="B102" s="26" t="s">
        <v>82</v>
      </c>
      <c r="C102" s="27" t="n">
        <v>-63389.12</v>
      </c>
      <c r="D102" s="28" t="n">
        <f aca="false">C102/$T$1*100</f>
        <v>-3.96182</v>
      </c>
      <c r="E102" s="28" t="n">
        <f aca="false">E101+D102</f>
        <v>43.127565625</v>
      </c>
      <c r="F102" s="28" t="n">
        <f aca="false">MAX(0,MAX($E$2:E102))</f>
        <v>47.089385625</v>
      </c>
      <c r="G102" s="28" t="n">
        <f aca="false">E102-F102</f>
        <v>-3.96182</v>
      </c>
      <c r="H102" s="25" t="n">
        <f aca="false">IF(G102&gt;=-0.0000001,A102,H101)</f>
        <v>45972</v>
      </c>
      <c r="I102" s="29" t="n">
        <f aca="false">IF(AND(G102&gt;=-0.0000001,G101&lt;0),1,0)</f>
        <v>0</v>
      </c>
      <c r="J102" s="30" t="str">
        <f aca="false">IF(I102=1,A102-H101,"")</f>
        <v/>
      </c>
      <c r="K102" s="27" t="n">
        <f aca="false">IF(B102="Wednesday",0,C102)</f>
        <v>-63389.12</v>
      </c>
      <c r="L102" s="28" t="n">
        <f aca="false">L101+K102/$T$1*100</f>
        <v>41.781426875</v>
      </c>
      <c r="M102" s="28" t="n">
        <f aca="false">MAX(0,MAX($L$2:L102))</f>
        <v>45.743246875</v>
      </c>
      <c r="N102" s="28" t="n">
        <f aca="false">L102-M102</f>
        <v>-3.96182</v>
      </c>
      <c r="O102" s="25" t="n">
        <f aca="false">IF(N102&gt;=-0.0000001,A102,O101)</f>
        <v>45972</v>
      </c>
      <c r="P102" s="29" t="n">
        <f aca="false">IF(AND(N102&gt;=-0.0000001,N101&lt;0),1,0)</f>
        <v>0</v>
      </c>
      <c r="Q102" s="30" t="str">
        <f aca="false">IF(P102=1,A102-O101,"")</f>
        <v/>
      </c>
    </row>
    <row r="103" customFormat="false" ht="15" hidden="false" customHeight="false" outlineLevel="0" collapsed="false">
      <c r="A103" s="25" t="n">
        <v>45975</v>
      </c>
      <c r="B103" s="26" t="s">
        <v>83</v>
      </c>
      <c r="C103" s="27" t="n">
        <v>24327.38</v>
      </c>
      <c r="D103" s="28" t="n">
        <f aca="false">C103/$T$1*100</f>
        <v>1.52046125</v>
      </c>
      <c r="E103" s="28" t="n">
        <f aca="false">E102+D103</f>
        <v>44.648026875</v>
      </c>
      <c r="F103" s="28" t="n">
        <f aca="false">MAX(0,MAX($E$2:E103))</f>
        <v>47.089385625</v>
      </c>
      <c r="G103" s="28" t="n">
        <f aca="false">E103-F103</f>
        <v>-2.44135875000001</v>
      </c>
      <c r="H103" s="25" t="n">
        <f aca="false">IF(G103&gt;=-0.0000001,A103,H102)</f>
        <v>45972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24327.38</v>
      </c>
      <c r="L103" s="28" t="n">
        <f aca="false">L102+K103/$T$1*100</f>
        <v>43.301888125</v>
      </c>
      <c r="M103" s="28" t="n">
        <f aca="false">MAX(0,MAX($L$2:L103))</f>
        <v>45.743246875</v>
      </c>
      <c r="N103" s="28" t="n">
        <f aca="false">L103-M103</f>
        <v>-2.44135875000001</v>
      </c>
      <c r="O103" s="25" t="n">
        <f aca="false">IF(N103&gt;=-0.0000001,A103,O102)</f>
        <v>45972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45978</v>
      </c>
      <c r="B104" s="26" t="s">
        <v>79</v>
      </c>
      <c r="C104" s="27" t="n">
        <v>30510</v>
      </c>
      <c r="D104" s="28" t="n">
        <f aca="false">C104/$T$1*100</f>
        <v>1.906875</v>
      </c>
      <c r="E104" s="28" t="n">
        <f aca="false">E103+D104</f>
        <v>46.554901875</v>
      </c>
      <c r="F104" s="28" t="n">
        <f aca="false">MAX(0,MAX($E$2:E104))</f>
        <v>47.089385625</v>
      </c>
      <c r="G104" s="28" t="n">
        <f aca="false">E104-F104</f>
        <v>-0.534483750000007</v>
      </c>
      <c r="H104" s="25" t="n">
        <f aca="false">IF(G104&gt;=-0.0000001,A104,H103)</f>
        <v>45972</v>
      </c>
      <c r="I104" s="29" t="n">
        <f aca="false">IF(AND(G104&gt;=-0.0000001,G103&lt;0),1,0)</f>
        <v>0</v>
      </c>
      <c r="J104" s="30" t="str">
        <f aca="false">IF(I104=1,A104-H103,"")</f>
        <v/>
      </c>
      <c r="K104" s="27" t="n">
        <f aca="false">IF(B104="Wednesday",0,C104)</f>
        <v>30510</v>
      </c>
      <c r="L104" s="28" t="n">
        <f aca="false">L103+K104/$T$1*100</f>
        <v>45.208763125</v>
      </c>
      <c r="M104" s="28" t="n">
        <f aca="false">MAX(0,MAX($L$2:L104))</f>
        <v>45.743246875</v>
      </c>
      <c r="N104" s="28" t="n">
        <f aca="false">L104-M104</f>
        <v>-0.534483750000007</v>
      </c>
      <c r="O104" s="25" t="n">
        <f aca="false">IF(N104&gt;=-0.0000001,A104,O103)</f>
        <v>45972</v>
      </c>
      <c r="P104" s="29" t="n">
        <f aca="false">IF(AND(N104&gt;=-0.0000001,N103&lt;0),1,0)</f>
        <v>0</v>
      </c>
      <c r="Q104" s="30" t="str">
        <f aca="false">IF(P104=1,A104-O103,"")</f>
        <v/>
      </c>
    </row>
    <row r="105" customFormat="false" ht="15" hidden="false" customHeight="false" outlineLevel="0" collapsed="false">
      <c r="A105" s="25" t="n">
        <v>45979</v>
      </c>
      <c r="B105" s="26" t="s">
        <v>80</v>
      </c>
      <c r="C105" s="27" t="n">
        <v>66074.79</v>
      </c>
      <c r="D105" s="28" t="n">
        <f aca="false">C105/$T$1*100</f>
        <v>4.129674375</v>
      </c>
      <c r="E105" s="28" t="n">
        <f aca="false">E104+D105</f>
        <v>50.68457625</v>
      </c>
      <c r="F105" s="28" t="n">
        <f aca="false">MAX(0,MAX($E$2:E105))</f>
        <v>50.68457625</v>
      </c>
      <c r="G105" s="28" t="n">
        <f aca="false">E105-F105</f>
        <v>0</v>
      </c>
      <c r="H105" s="25" t="n">
        <f aca="false">IF(G105&gt;=-0.0000001,A105,H104)</f>
        <v>45979</v>
      </c>
      <c r="I105" s="29" t="n">
        <f aca="false">IF(AND(G105&gt;=-0.0000001,G104&lt;0),1,0)</f>
        <v>1</v>
      </c>
      <c r="J105" s="30" t="n">
        <f aca="false">IF(I105=1,A105-H104,"")</f>
        <v>7</v>
      </c>
      <c r="K105" s="27" t="n">
        <f aca="false">IF(B105="Wednesday",0,C105)</f>
        <v>66074.79</v>
      </c>
      <c r="L105" s="28" t="n">
        <f aca="false">L104+K105/$T$1*100</f>
        <v>49.3384375</v>
      </c>
      <c r="M105" s="28" t="n">
        <f aca="false">MAX(0,MAX($L$2:L105))</f>
        <v>49.3384375</v>
      </c>
      <c r="N105" s="28" t="n">
        <f aca="false">L105-M105</f>
        <v>0</v>
      </c>
      <c r="O105" s="25" t="n">
        <f aca="false">IF(N105&gt;=-0.0000001,A105,O104)</f>
        <v>45979</v>
      </c>
      <c r="P105" s="29" t="n">
        <f aca="false">IF(AND(N105&gt;=-0.0000001,N104&lt;0),1,0)</f>
        <v>1</v>
      </c>
      <c r="Q105" s="30" t="n">
        <f aca="false">IF(P105=1,A105-O104,"")</f>
        <v>7</v>
      </c>
    </row>
    <row r="106" customFormat="false" ht="15" hidden="false" customHeight="false" outlineLevel="0" collapsed="false">
      <c r="A106" s="25" t="n">
        <v>45980</v>
      </c>
      <c r="B106" s="26" t="s">
        <v>81</v>
      </c>
      <c r="C106" s="27" t="n">
        <v>-14250</v>
      </c>
      <c r="D106" s="28" t="n">
        <f aca="false">C106/$T$1*100</f>
        <v>-0.890625</v>
      </c>
      <c r="E106" s="28" t="n">
        <f aca="false">E105+D106</f>
        <v>49.79395125</v>
      </c>
      <c r="F106" s="28" t="n">
        <f aca="false">MAX(0,MAX($E$2:E106))</f>
        <v>50.68457625</v>
      </c>
      <c r="G106" s="28" t="n">
        <f aca="false">E106-F106</f>
        <v>-0.890625</v>
      </c>
      <c r="H106" s="25" t="n">
        <f aca="false">IF(G106&gt;=-0.0000001,A106,H105)</f>
        <v>45979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0</v>
      </c>
      <c r="L106" s="28" t="n">
        <f aca="false">L105+K106/$T$1*100</f>
        <v>49.3384375</v>
      </c>
      <c r="M106" s="28" t="n">
        <f aca="false">MAX(0,MAX($L$2:L106))</f>
        <v>49.3384375</v>
      </c>
      <c r="N106" s="28" t="n">
        <f aca="false">L106-M106</f>
        <v>0</v>
      </c>
      <c r="O106" s="25" t="n">
        <f aca="false">IF(N106&gt;=-0.0000001,A106,O105)</f>
        <v>45980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45981</v>
      </c>
      <c r="B107" s="26" t="s">
        <v>82</v>
      </c>
      <c r="C107" s="27" t="n">
        <v>45021.31</v>
      </c>
      <c r="D107" s="28" t="n">
        <f aca="false">C107/$T$1*100</f>
        <v>2.813831875</v>
      </c>
      <c r="E107" s="28" t="n">
        <f aca="false">E106+D107</f>
        <v>52.607783125</v>
      </c>
      <c r="F107" s="28" t="n">
        <f aca="false">MAX(0,MAX($E$2:E107))</f>
        <v>52.607783125</v>
      </c>
      <c r="G107" s="28" t="n">
        <f aca="false">E107-F107</f>
        <v>0</v>
      </c>
      <c r="H107" s="25" t="n">
        <f aca="false">IF(G107&gt;=-0.0000001,A107,H106)</f>
        <v>45981</v>
      </c>
      <c r="I107" s="29" t="n">
        <f aca="false">IF(AND(G107&gt;=-0.0000001,G106&lt;0),1,0)</f>
        <v>1</v>
      </c>
      <c r="J107" s="30" t="n">
        <f aca="false">IF(I107=1,A107-H106,"")</f>
        <v>2</v>
      </c>
      <c r="K107" s="27" t="n">
        <f aca="false">IF(B107="Wednesday",0,C107)</f>
        <v>45021.31</v>
      </c>
      <c r="L107" s="28" t="n">
        <f aca="false">L106+K107/$T$1*100</f>
        <v>52.152269375</v>
      </c>
      <c r="M107" s="28" t="n">
        <f aca="false">MAX(0,MAX($L$2:L107))</f>
        <v>52.152269375</v>
      </c>
      <c r="N107" s="28" t="n">
        <f aca="false">L107-M107</f>
        <v>0</v>
      </c>
      <c r="O107" s="25" t="n">
        <f aca="false">IF(N107&gt;=-0.0000001,A107,O106)</f>
        <v>45981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45982</v>
      </c>
      <c r="B108" s="26" t="s">
        <v>83</v>
      </c>
      <c r="C108" s="27" t="n">
        <v>-81118.88</v>
      </c>
      <c r="D108" s="28" t="n">
        <f aca="false">C108/$T$1*100</f>
        <v>-5.06993</v>
      </c>
      <c r="E108" s="28" t="n">
        <f aca="false">E107+D108</f>
        <v>47.537853125</v>
      </c>
      <c r="F108" s="28" t="n">
        <f aca="false">MAX(0,MAX($E$2:E108))</f>
        <v>52.607783125</v>
      </c>
      <c r="G108" s="28" t="n">
        <f aca="false">E108-F108</f>
        <v>-5.06993</v>
      </c>
      <c r="H108" s="25" t="n">
        <f aca="false">IF(G108&gt;=-0.0000001,A108,H107)</f>
        <v>45981</v>
      </c>
      <c r="I108" s="29" t="n">
        <f aca="false">IF(AND(G108&gt;=-0.0000001,G107&lt;0),1,0)</f>
        <v>0</v>
      </c>
      <c r="J108" s="30" t="str">
        <f aca="false">IF(I108=1,A108-H107,"")</f>
        <v/>
      </c>
      <c r="K108" s="27" t="n">
        <f aca="false">IF(B108="Wednesday",0,C108)</f>
        <v>-81118.88</v>
      </c>
      <c r="L108" s="28" t="n">
        <f aca="false">L107+K108/$T$1*100</f>
        <v>47.082339375</v>
      </c>
      <c r="M108" s="28" t="n">
        <f aca="false">MAX(0,MAX($L$2:L108))</f>
        <v>52.152269375</v>
      </c>
      <c r="N108" s="28" t="n">
        <f aca="false">L108-M108</f>
        <v>-5.06993</v>
      </c>
      <c r="O108" s="25" t="n">
        <f aca="false">IF(N108&gt;=-0.0000001,A108,O107)</f>
        <v>45981</v>
      </c>
      <c r="P108" s="29" t="n">
        <f aca="false">IF(AND(N108&gt;=-0.0000001,N107&lt;0),1,0)</f>
        <v>0</v>
      </c>
      <c r="Q108" s="30" t="str">
        <f aca="false">IF(P108=1,A108-O107,"")</f>
        <v/>
      </c>
    </row>
    <row r="109" customFormat="false" ht="15" hidden="false" customHeight="false" outlineLevel="0" collapsed="false">
      <c r="A109" s="25" t="n">
        <v>45983</v>
      </c>
      <c r="B109" s="26" t="s">
        <v>117</v>
      </c>
      <c r="C109" s="27" t="n">
        <v>20869.7</v>
      </c>
      <c r="D109" s="28" t="n">
        <f aca="false">C109/$T$1*100</f>
        <v>1.30435625</v>
      </c>
      <c r="E109" s="28" t="n">
        <f aca="false">E108+D109</f>
        <v>48.842209375</v>
      </c>
      <c r="F109" s="28" t="n">
        <f aca="false">MAX(0,MAX($E$2:E109))</f>
        <v>52.607783125</v>
      </c>
      <c r="G109" s="28" t="n">
        <f aca="false">E109-F109</f>
        <v>-3.76557375</v>
      </c>
      <c r="H109" s="25" t="n">
        <f aca="false">IF(G109&gt;=-0.0000001,A109,H108)</f>
        <v>45981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20869.7</v>
      </c>
      <c r="L109" s="28" t="n">
        <f aca="false">L108+K109/$T$1*100</f>
        <v>48.386695625</v>
      </c>
      <c r="M109" s="28" t="n">
        <f aca="false">MAX(0,MAX($L$2:L109))</f>
        <v>52.152269375</v>
      </c>
      <c r="N109" s="28" t="n">
        <f aca="false">L109-M109</f>
        <v>-3.76557375</v>
      </c>
      <c r="O109" s="25" t="n">
        <f aca="false">IF(N109&gt;=-0.0000001,A109,O108)</f>
        <v>45981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45985</v>
      </c>
      <c r="B110" s="26" t="s">
        <v>79</v>
      </c>
      <c r="C110" s="27" t="n">
        <v>-40884.32</v>
      </c>
      <c r="D110" s="28" t="n">
        <f aca="false">C110/$T$1*100</f>
        <v>-2.55527</v>
      </c>
      <c r="E110" s="28" t="n">
        <f aca="false">E109+D110</f>
        <v>46.286939375</v>
      </c>
      <c r="F110" s="28" t="n">
        <f aca="false">MAX(0,MAX($E$2:E110))</f>
        <v>52.607783125</v>
      </c>
      <c r="G110" s="28" t="n">
        <f aca="false">E110-F110</f>
        <v>-6.32084375</v>
      </c>
      <c r="H110" s="25" t="n">
        <f aca="false">IF(G110&gt;=-0.0000001,A110,H109)</f>
        <v>45981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-40884.32</v>
      </c>
      <c r="L110" s="28" t="n">
        <f aca="false">L109+K110/$T$1*100</f>
        <v>45.831425625</v>
      </c>
      <c r="M110" s="28" t="n">
        <f aca="false">MAX(0,MAX($L$2:L110))</f>
        <v>52.152269375</v>
      </c>
      <c r="N110" s="28" t="n">
        <f aca="false">L110-M110</f>
        <v>-6.32084375</v>
      </c>
      <c r="O110" s="25" t="n">
        <f aca="false">IF(N110&gt;=-0.0000001,A110,O109)</f>
        <v>45981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45986</v>
      </c>
      <c r="B111" s="26" t="s">
        <v>80</v>
      </c>
      <c r="C111" s="27" t="n">
        <v>39783.75</v>
      </c>
      <c r="D111" s="28" t="n">
        <f aca="false">C111/$T$1*100</f>
        <v>2.486484375</v>
      </c>
      <c r="E111" s="28" t="n">
        <f aca="false">E110+D111</f>
        <v>48.77342375</v>
      </c>
      <c r="F111" s="28" t="n">
        <f aca="false">MAX(0,MAX($E$2:E111))</f>
        <v>52.607783125</v>
      </c>
      <c r="G111" s="28" t="n">
        <f aca="false">E111-F111</f>
        <v>-3.834359375</v>
      </c>
      <c r="H111" s="25" t="n">
        <f aca="false">IF(G111&gt;=-0.0000001,A111,H110)</f>
        <v>45981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39783.75</v>
      </c>
      <c r="L111" s="28" t="n">
        <f aca="false">L110+K111/$T$1*100</f>
        <v>48.31791</v>
      </c>
      <c r="M111" s="28" t="n">
        <f aca="false">MAX(0,MAX($L$2:L111))</f>
        <v>52.152269375</v>
      </c>
      <c r="N111" s="28" t="n">
        <f aca="false">L111-M111</f>
        <v>-3.83435937500001</v>
      </c>
      <c r="O111" s="25" t="n">
        <f aca="false">IF(N111&gt;=-0.0000001,A111,O110)</f>
        <v>45981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45987</v>
      </c>
      <c r="B112" s="26" t="s">
        <v>81</v>
      </c>
      <c r="C112" s="27" t="n">
        <v>-31440</v>
      </c>
      <c r="D112" s="28" t="n">
        <f aca="false">C112/$T$1*100</f>
        <v>-1.965</v>
      </c>
      <c r="E112" s="28" t="n">
        <f aca="false">E111+D112</f>
        <v>46.80842375</v>
      </c>
      <c r="F112" s="28" t="n">
        <f aca="false">MAX(0,MAX($E$2:E112))</f>
        <v>52.607783125</v>
      </c>
      <c r="G112" s="28" t="n">
        <f aca="false">E112-F112</f>
        <v>-5.799359375</v>
      </c>
      <c r="H112" s="25" t="n">
        <f aca="false">IF(G112&gt;=-0.0000001,A112,H111)</f>
        <v>45981</v>
      </c>
      <c r="I112" s="29" t="n">
        <f aca="false">IF(AND(G112&gt;=-0.0000001,G111&lt;0),1,0)</f>
        <v>0</v>
      </c>
      <c r="J112" s="30" t="str">
        <f aca="false">IF(I112=1,A112-H111,"")</f>
        <v/>
      </c>
      <c r="K112" s="27" t="n">
        <f aca="false">IF(B112="Wednesday",0,C112)</f>
        <v>0</v>
      </c>
      <c r="L112" s="28" t="n">
        <f aca="false">L111+K112/$T$1*100</f>
        <v>48.31791</v>
      </c>
      <c r="M112" s="28" t="n">
        <f aca="false">MAX(0,MAX($L$2:L112))</f>
        <v>52.152269375</v>
      </c>
      <c r="N112" s="28" t="n">
        <f aca="false">L112-M112</f>
        <v>-3.83435937500001</v>
      </c>
      <c r="O112" s="25" t="n">
        <f aca="false">IF(N112&gt;=-0.0000001,A112,O111)</f>
        <v>45981</v>
      </c>
      <c r="P112" s="29" t="n">
        <f aca="false">IF(AND(N112&gt;=-0.0000001,N111&lt;0),1,0)</f>
        <v>0</v>
      </c>
      <c r="Q112" s="30" t="str">
        <f aca="false">IF(P112=1,A112-O111,"")</f>
        <v/>
      </c>
    </row>
    <row r="113" customFormat="false" ht="15" hidden="false" customHeight="false" outlineLevel="0" collapsed="false">
      <c r="A113" s="25" t="n">
        <v>45988</v>
      </c>
      <c r="B113" s="26" t="s">
        <v>82</v>
      </c>
      <c r="C113" s="27" t="n">
        <v>56048.73</v>
      </c>
      <c r="D113" s="28" t="n">
        <f aca="false">C113/$T$1*100</f>
        <v>3.503045625</v>
      </c>
      <c r="E113" s="28" t="n">
        <f aca="false">E112+D113</f>
        <v>50.311469375</v>
      </c>
      <c r="F113" s="28" t="n">
        <f aca="false">MAX(0,MAX($E$2:E113))</f>
        <v>52.607783125</v>
      </c>
      <c r="G113" s="28" t="n">
        <f aca="false">E113-F113</f>
        <v>-2.29631375</v>
      </c>
      <c r="H113" s="25" t="n">
        <f aca="false">IF(G113&gt;=-0.0000001,A113,H112)</f>
        <v>45981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56048.73</v>
      </c>
      <c r="L113" s="28" t="n">
        <f aca="false">L112+K113/$T$1*100</f>
        <v>51.820955625</v>
      </c>
      <c r="M113" s="28" t="n">
        <f aca="false">MAX(0,MAX($L$2:L113))</f>
        <v>52.152269375</v>
      </c>
      <c r="N113" s="28" t="n">
        <f aca="false">L113-M113</f>
        <v>-0.331313750000007</v>
      </c>
      <c r="O113" s="25" t="n">
        <f aca="false">IF(N113&gt;=-0.0000001,A113,O112)</f>
        <v>45981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45989</v>
      </c>
      <c r="B114" s="26" t="s">
        <v>83</v>
      </c>
      <c r="C114" s="27" t="n">
        <v>7725</v>
      </c>
      <c r="D114" s="28" t="n">
        <f aca="false">C114/$T$1*100</f>
        <v>0.4828125</v>
      </c>
      <c r="E114" s="28" t="n">
        <f aca="false">E113+D114</f>
        <v>50.794281875</v>
      </c>
      <c r="F114" s="28" t="n">
        <f aca="false">MAX(0,MAX($E$2:E114))</f>
        <v>52.607783125</v>
      </c>
      <c r="G114" s="28" t="n">
        <f aca="false">E114-F114</f>
        <v>-1.81350125</v>
      </c>
      <c r="H114" s="25" t="n">
        <f aca="false">IF(G114&gt;=-0.0000001,A114,H113)</f>
        <v>45981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7725</v>
      </c>
      <c r="L114" s="28" t="n">
        <f aca="false">L113+K114/$T$1*100</f>
        <v>52.303768125</v>
      </c>
      <c r="M114" s="28" t="n">
        <f aca="false">MAX(0,MAX($L$2:L114))</f>
        <v>52.303768125</v>
      </c>
      <c r="N114" s="28" t="n">
        <f aca="false">L114-M114</f>
        <v>0</v>
      </c>
      <c r="O114" s="25" t="n">
        <f aca="false">IF(N114&gt;=-0.0000001,A114,O113)</f>
        <v>45989</v>
      </c>
      <c r="P114" s="29" t="n">
        <f aca="false">IF(AND(N114&gt;=-0.0000001,N113&lt;0),1,0)</f>
        <v>1</v>
      </c>
      <c r="Q114" s="30" t="n">
        <f aca="false">IF(P114=1,A114-O113,"")</f>
        <v>8</v>
      </c>
    </row>
    <row r="115" customFormat="false" ht="15" hidden="false" customHeight="false" outlineLevel="0" collapsed="false">
      <c r="A115" s="25" t="n">
        <v>45992</v>
      </c>
      <c r="B115" s="26" t="s">
        <v>79</v>
      </c>
      <c r="C115" s="27" t="n">
        <v>73773.69</v>
      </c>
      <c r="D115" s="28" t="n">
        <f aca="false">C115/$T$1*100</f>
        <v>4.610855625</v>
      </c>
      <c r="E115" s="28" t="n">
        <f aca="false">E114+D115</f>
        <v>55.4051375</v>
      </c>
      <c r="F115" s="28" t="n">
        <f aca="false">MAX(0,MAX($E$2:E115))</f>
        <v>55.4051375</v>
      </c>
      <c r="G115" s="28" t="n">
        <f aca="false">E115-F115</f>
        <v>0</v>
      </c>
      <c r="H115" s="25" t="n">
        <f aca="false">IF(G115&gt;=-0.0000001,A115,H114)</f>
        <v>45992</v>
      </c>
      <c r="I115" s="29" t="n">
        <f aca="false">IF(AND(G115&gt;=-0.0000001,G114&lt;0),1,0)</f>
        <v>1</v>
      </c>
      <c r="J115" s="30" t="n">
        <f aca="false">IF(I115=1,A115-H114,"")</f>
        <v>11</v>
      </c>
      <c r="K115" s="27" t="n">
        <f aca="false">IF(B115="Wednesday",0,C115)</f>
        <v>73773.69</v>
      </c>
      <c r="L115" s="28" t="n">
        <f aca="false">L114+K115/$T$1*100</f>
        <v>56.91462375</v>
      </c>
      <c r="M115" s="28" t="n">
        <f aca="false">MAX(0,MAX($L$2:L115))</f>
        <v>56.91462375</v>
      </c>
      <c r="N115" s="28" t="n">
        <f aca="false">L115-M115</f>
        <v>0</v>
      </c>
      <c r="O115" s="25" t="n">
        <f aca="false">IF(N115&gt;=-0.0000001,A115,O114)</f>
        <v>45992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45993</v>
      </c>
      <c r="B116" s="26" t="s">
        <v>80</v>
      </c>
      <c r="C116" s="27" t="n">
        <v>25485</v>
      </c>
      <c r="D116" s="28" t="n">
        <f aca="false">C116/$T$1*100</f>
        <v>1.5928125</v>
      </c>
      <c r="E116" s="28" t="n">
        <f aca="false">E115+D116</f>
        <v>56.99795</v>
      </c>
      <c r="F116" s="28" t="n">
        <f aca="false">MAX(0,MAX($E$2:E116))</f>
        <v>56.99795</v>
      </c>
      <c r="G116" s="28" t="n">
        <f aca="false">E116-F116</f>
        <v>0</v>
      </c>
      <c r="H116" s="25" t="n">
        <f aca="false">IF(G116&gt;=-0.0000001,A116,H115)</f>
        <v>45993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25485</v>
      </c>
      <c r="L116" s="28" t="n">
        <f aca="false">L115+K116/$T$1*100</f>
        <v>58.50743625</v>
      </c>
      <c r="M116" s="28" t="n">
        <f aca="false">MAX(0,MAX($L$2:L116))</f>
        <v>58.50743625</v>
      </c>
      <c r="N116" s="28" t="n">
        <f aca="false">L116-M116</f>
        <v>0</v>
      </c>
      <c r="O116" s="25" t="n">
        <f aca="false">IF(N116&gt;=-0.0000001,A116,O115)</f>
        <v>45993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45994</v>
      </c>
      <c r="B117" s="26" t="s">
        <v>81</v>
      </c>
      <c r="C117" s="27" t="n">
        <v>9540</v>
      </c>
      <c r="D117" s="28" t="n">
        <f aca="false">C117/$T$1*100</f>
        <v>0.59625</v>
      </c>
      <c r="E117" s="28" t="n">
        <f aca="false">E116+D117</f>
        <v>57.5942</v>
      </c>
      <c r="F117" s="28" t="n">
        <f aca="false">MAX(0,MAX($E$2:E117))</f>
        <v>57.5942</v>
      </c>
      <c r="G117" s="28" t="n">
        <f aca="false">E117-F117</f>
        <v>0</v>
      </c>
      <c r="H117" s="25" t="n">
        <f aca="false">IF(G117&gt;=-0.0000001,A117,H116)</f>
        <v>45994</v>
      </c>
      <c r="I117" s="29" t="n">
        <f aca="false">IF(AND(G117&gt;=-0.0000001,G116&lt;0),1,0)</f>
        <v>0</v>
      </c>
      <c r="J117" s="30" t="str">
        <f aca="false">IF(I117=1,A117-H116,"")</f>
        <v/>
      </c>
      <c r="K117" s="27" t="n">
        <f aca="false">IF(B117="Wednesday",0,C117)</f>
        <v>0</v>
      </c>
      <c r="L117" s="28" t="n">
        <f aca="false">L116+K117/$T$1*100</f>
        <v>58.50743625</v>
      </c>
      <c r="M117" s="28" t="n">
        <f aca="false">MAX(0,MAX($L$2:L117))</f>
        <v>58.50743625</v>
      </c>
      <c r="N117" s="28" t="n">
        <f aca="false">L117-M117</f>
        <v>0</v>
      </c>
      <c r="O117" s="25" t="n">
        <f aca="false">IF(N117&gt;=-0.0000001,A117,O116)</f>
        <v>45994</v>
      </c>
      <c r="P117" s="29" t="n">
        <f aca="false">IF(AND(N117&gt;=-0.0000001,N116&lt;0),1,0)</f>
        <v>0</v>
      </c>
      <c r="Q117" s="30" t="str">
        <f aca="false">IF(P117=1,A117-O116,"")</f>
        <v/>
      </c>
    </row>
    <row r="118" customFormat="false" ht="15" hidden="false" customHeight="false" outlineLevel="0" collapsed="false">
      <c r="A118" s="25" t="n">
        <v>45995</v>
      </c>
      <c r="B118" s="26" t="s">
        <v>82</v>
      </c>
      <c r="C118" s="27" t="n">
        <v>20013.6</v>
      </c>
      <c r="D118" s="28" t="n">
        <f aca="false">C118/$T$1*100</f>
        <v>1.25085</v>
      </c>
      <c r="E118" s="28" t="n">
        <f aca="false">E117+D118</f>
        <v>58.84505</v>
      </c>
      <c r="F118" s="28" t="n">
        <f aca="false">MAX(0,MAX($E$2:E118))</f>
        <v>58.84505</v>
      </c>
      <c r="G118" s="28" t="n">
        <f aca="false">E118-F118</f>
        <v>0</v>
      </c>
      <c r="H118" s="25" t="n">
        <f aca="false">IF(G118&gt;=-0.0000001,A118,H117)</f>
        <v>45995</v>
      </c>
      <c r="I118" s="29" t="n">
        <f aca="false">IF(AND(G118&gt;=-0.0000001,G117&lt;0),1,0)</f>
        <v>0</v>
      </c>
      <c r="J118" s="30" t="str">
        <f aca="false">IF(I118=1,A118-H117,"")</f>
        <v/>
      </c>
      <c r="K118" s="27" t="n">
        <f aca="false">IF(B118="Wednesday",0,C118)</f>
        <v>20013.6</v>
      </c>
      <c r="L118" s="28" t="n">
        <f aca="false">L117+K118/$T$1*100</f>
        <v>59.75828625</v>
      </c>
      <c r="M118" s="28" t="n">
        <f aca="false">MAX(0,MAX($L$2:L118))</f>
        <v>59.75828625</v>
      </c>
      <c r="N118" s="28" t="n">
        <f aca="false">L118-M118</f>
        <v>0</v>
      </c>
      <c r="O118" s="25" t="n">
        <f aca="false">IF(N118&gt;=-0.0000001,A118,O117)</f>
        <v>45995</v>
      </c>
      <c r="P118" s="29" t="n">
        <f aca="false">IF(AND(N118&gt;=-0.0000001,N117&lt;0),1,0)</f>
        <v>0</v>
      </c>
      <c r="Q118" s="30" t="str">
        <f aca="false">IF(P118=1,A118-O117,"")</f>
        <v/>
      </c>
    </row>
    <row r="119" customFormat="false" ht="15" hidden="false" customHeight="false" outlineLevel="0" collapsed="false">
      <c r="A119" s="25" t="n">
        <v>45996</v>
      </c>
      <c r="B119" s="26" t="s">
        <v>83</v>
      </c>
      <c r="C119" s="27" t="n">
        <v>-68700</v>
      </c>
      <c r="D119" s="28" t="n">
        <f aca="false">C119/$T$1*100</f>
        <v>-4.29375</v>
      </c>
      <c r="E119" s="28" t="n">
        <f aca="false">E118+D119</f>
        <v>54.5513</v>
      </c>
      <c r="F119" s="28" t="n">
        <f aca="false">MAX(0,MAX($E$2:E119))</f>
        <v>58.84505</v>
      </c>
      <c r="G119" s="28" t="n">
        <f aca="false">E119-F119</f>
        <v>-4.29375</v>
      </c>
      <c r="H119" s="25" t="n">
        <f aca="false">IF(G119&gt;=-0.0000001,A119,H118)</f>
        <v>45995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-68700</v>
      </c>
      <c r="L119" s="28" t="n">
        <f aca="false">L118+K119/$T$1*100</f>
        <v>55.46453625</v>
      </c>
      <c r="M119" s="28" t="n">
        <f aca="false">MAX(0,MAX($L$2:L119))</f>
        <v>59.75828625</v>
      </c>
      <c r="N119" s="28" t="n">
        <f aca="false">L119-M119</f>
        <v>-4.29375</v>
      </c>
      <c r="O119" s="25" t="n">
        <f aca="false">IF(N119&gt;=-0.0000001,A119,O118)</f>
        <v>45995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45999</v>
      </c>
      <c r="B120" s="26" t="s">
        <v>79</v>
      </c>
      <c r="C120" s="27" t="n">
        <v>-32856.63</v>
      </c>
      <c r="D120" s="28" t="n">
        <f aca="false">C120/$T$1*100</f>
        <v>-2.053539375</v>
      </c>
      <c r="E120" s="28" t="n">
        <f aca="false">E119+D120</f>
        <v>52.497760625</v>
      </c>
      <c r="F120" s="28" t="n">
        <f aca="false">MAX(0,MAX($E$2:E120))</f>
        <v>58.84505</v>
      </c>
      <c r="G120" s="28" t="n">
        <f aca="false">E120-F120</f>
        <v>-6.347289375</v>
      </c>
      <c r="H120" s="25" t="n">
        <f aca="false">IF(G120&gt;=-0.0000001,A120,H119)</f>
        <v>45995</v>
      </c>
      <c r="I120" s="29" t="n">
        <f aca="false">IF(AND(G120&gt;=-0.0000001,G119&lt;0),1,0)</f>
        <v>0</v>
      </c>
      <c r="J120" s="30" t="str">
        <f aca="false">IF(I120=1,A120-H119,"")</f>
        <v/>
      </c>
      <c r="K120" s="27" t="n">
        <f aca="false">IF(B120="Wednesday",0,C120)</f>
        <v>-32856.63</v>
      </c>
      <c r="L120" s="28" t="n">
        <f aca="false">L119+K120/$T$1*100</f>
        <v>53.410996875</v>
      </c>
      <c r="M120" s="28" t="n">
        <f aca="false">MAX(0,MAX($L$2:L120))</f>
        <v>59.75828625</v>
      </c>
      <c r="N120" s="28" t="n">
        <f aca="false">L120-M120</f>
        <v>-6.347289375</v>
      </c>
      <c r="O120" s="25" t="n">
        <f aca="false">IF(N120&gt;=-0.0000001,A120,O119)</f>
        <v>45995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46000</v>
      </c>
      <c r="B121" s="26" t="s">
        <v>80</v>
      </c>
      <c r="C121" s="27" t="n">
        <v>69701.35</v>
      </c>
      <c r="D121" s="28" t="n">
        <f aca="false">C121/$T$1*100</f>
        <v>4.356334375</v>
      </c>
      <c r="E121" s="28" t="n">
        <f aca="false">E120+D121</f>
        <v>56.854095</v>
      </c>
      <c r="F121" s="28" t="n">
        <f aca="false">MAX(0,MAX($E$2:E121))</f>
        <v>58.84505</v>
      </c>
      <c r="G121" s="28" t="n">
        <f aca="false">E121-F121</f>
        <v>-1.990955</v>
      </c>
      <c r="H121" s="25" t="n">
        <f aca="false">IF(G121&gt;=-0.0000001,A121,H120)</f>
        <v>45995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69701.35</v>
      </c>
      <c r="L121" s="28" t="n">
        <f aca="false">L120+K121/$T$1*100</f>
        <v>57.76733125</v>
      </c>
      <c r="M121" s="28" t="n">
        <f aca="false">MAX(0,MAX($L$2:L121))</f>
        <v>59.75828625</v>
      </c>
      <c r="N121" s="28" t="n">
        <f aca="false">L121-M121</f>
        <v>-1.990955</v>
      </c>
      <c r="O121" s="25" t="n">
        <f aca="false">IF(N121&gt;=-0.0000001,A121,O120)</f>
        <v>45995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46001</v>
      </c>
      <c r="B122" s="26" t="s">
        <v>81</v>
      </c>
      <c r="C122" s="27" t="n">
        <v>-17546.91</v>
      </c>
      <c r="D122" s="28" t="n">
        <f aca="false">C122/$T$1*100</f>
        <v>-1.096681875</v>
      </c>
      <c r="E122" s="28" t="n">
        <f aca="false">E121+D122</f>
        <v>55.757413125</v>
      </c>
      <c r="F122" s="28" t="n">
        <f aca="false">MAX(0,MAX($E$2:E122))</f>
        <v>58.84505</v>
      </c>
      <c r="G122" s="28" t="n">
        <f aca="false">E122-F122</f>
        <v>-3.087636875</v>
      </c>
      <c r="H122" s="25" t="n">
        <f aca="false">IF(G122&gt;=-0.0000001,A122,H121)</f>
        <v>45995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0</v>
      </c>
      <c r="L122" s="28" t="n">
        <f aca="false">L121+K122/$T$1*100</f>
        <v>57.76733125</v>
      </c>
      <c r="M122" s="28" t="n">
        <f aca="false">MAX(0,MAX($L$2:L122))</f>
        <v>59.75828625</v>
      </c>
      <c r="N122" s="28" t="n">
        <f aca="false">L122-M122</f>
        <v>-1.990955</v>
      </c>
      <c r="O122" s="25" t="n">
        <f aca="false">IF(N122&gt;=-0.0000001,A122,O121)</f>
        <v>45995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46002</v>
      </c>
      <c r="B123" s="26" t="s">
        <v>82</v>
      </c>
      <c r="C123" s="27" t="n">
        <v>31005.75</v>
      </c>
      <c r="D123" s="28" t="n">
        <f aca="false">C123/$T$1*100</f>
        <v>1.937859375</v>
      </c>
      <c r="E123" s="28" t="n">
        <f aca="false">E122+D123</f>
        <v>57.6952725</v>
      </c>
      <c r="F123" s="28" t="n">
        <f aca="false">MAX(0,MAX($E$2:E123))</f>
        <v>58.84505</v>
      </c>
      <c r="G123" s="28" t="n">
        <f aca="false">E123-F123</f>
        <v>-1.1497775</v>
      </c>
      <c r="H123" s="25" t="n">
        <f aca="false">IF(G123&gt;=-0.0000001,A123,H122)</f>
        <v>45995</v>
      </c>
      <c r="I123" s="29" t="n">
        <f aca="false">IF(AND(G123&gt;=-0.0000001,G122&lt;0),1,0)</f>
        <v>0</v>
      </c>
      <c r="J123" s="30" t="str">
        <f aca="false">IF(I123=1,A123-H122,"")</f>
        <v/>
      </c>
      <c r="K123" s="27" t="n">
        <f aca="false">IF(B123="Wednesday",0,C123)</f>
        <v>31005.75</v>
      </c>
      <c r="L123" s="28" t="n">
        <f aca="false">L122+K123/$T$1*100</f>
        <v>59.705190625</v>
      </c>
      <c r="M123" s="28" t="n">
        <f aca="false">MAX(0,MAX($L$2:L123))</f>
        <v>59.75828625</v>
      </c>
      <c r="N123" s="28" t="n">
        <f aca="false">L123-M123</f>
        <v>-0.0530956249999974</v>
      </c>
      <c r="O123" s="25" t="n">
        <f aca="false">IF(N123&gt;=-0.0000001,A123,O122)</f>
        <v>45995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46003</v>
      </c>
      <c r="B124" s="26" t="s">
        <v>83</v>
      </c>
      <c r="C124" s="27" t="n">
        <v>-11119.37</v>
      </c>
      <c r="D124" s="28" t="n">
        <f aca="false">C124/$T$1*100</f>
        <v>-0.694960625</v>
      </c>
      <c r="E124" s="28" t="n">
        <f aca="false">E123+D124</f>
        <v>57.000311875</v>
      </c>
      <c r="F124" s="28" t="n">
        <f aca="false">MAX(0,MAX($E$2:E124))</f>
        <v>58.84505</v>
      </c>
      <c r="G124" s="28" t="n">
        <f aca="false">E124-F124</f>
        <v>-1.844738125</v>
      </c>
      <c r="H124" s="25" t="n">
        <f aca="false">IF(G124&gt;=-0.0000001,A124,H123)</f>
        <v>45995</v>
      </c>
      <c r="I124" s="29" t="n">
        <f aca="false">IF(AND(G124&gt;=-0.0000001,G123&lt;0),1,0)</f>
        <v>0</v>
      </c>
      <c r="J124" s="30" t="str">
        <f aca="false">IF(I124=1,A124-H123,"")</f>
        <v/>
      </c>
      <c r="K124" s="27" t="n">
        <f aca="false">IF(B124="Wednesday",0,C124)</f>
        <v>-11119.37</v>
      </c>
      <c r="L124" s="28" t="n">
        <f aca="false">L123+K124/$T$1*100</f>
        <v>59.01023</v>
      </c>
      <c r="M124" s="28" t="n">
        <f aca="false">MAX(0,MAX($L$2:L124))</f>
        <v>59.75828625</v>
      </c>
      <c r="N124" s="28" t="n">
        <f aca="false">L124-M124</f>
        <v>-0.748056249999998</v>
      </c>
      <c r="O124" s="25" t="n">
        <f aca="false">IF(N124&gt;=-0.0000001,A124,O123)</f>
        <v>45995</v>
      </c>
      <c r="P124" s="29" t="n">
        <f aca="false">IF(AND(N124&gt;=-0.0000001,N123&lt;0),1,0)</f>
        <v>0</v>
      </c>
      <c r="Q124" s="30" t="str">
        <f aca="false">IF(P124=1,A124-O123,"")</f>
        <v/>
      </c>
    </row>
    <row r="125" customFormat="false" ht="15" hidden="false" customHeight="false" outlineLevel="0" collapsed="false">
      <c r="A125" s="25" t="n">
        <v>46006</v>
      </c>
      <c r="B125" s="26" t="s">
        <v>79</v>
      </c>
      <c r="C125" s="27" t="n">
        <v>13682.68</v>
      </c>
      <c r="D125" s="28" t="n">
        <f aca="false">C125/$T$1*100</f>
        <v>0.8551675</v>
      </c>
      <c r="E125" s="28" t="n">
        <f aca="false">E124+D125</f>
        <v>57.855479375</v>
      </c>
      <c r="F125" s="28" t="n">
        <f aca="false">MAX(0,MAX($E$2:E125))</f>
        <v>58.84505</v>
      </c>
      <c r="G125" s="28" t="n">
        <f aca="false">E125-F125</f>
        <v>-0.989570624999999</v>
      </c>
      <c r="H125" s="25" t="n">
        <f aca="false">IF(G125&gt;=-0.0000001,A125,H124)</f>
        <v>45995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13682.68</v>
      </c>
      <c r="L125" s="28" t="n">
        <f aca="false">L124+K125/$T$1*100</f>
        <v>59.8653975</v>
      </c>
      <c r="M125" s="28" t="n">
        <f aca="false">MAX(0,MAX($L$2:L125))</f>
        <v>59.8653975</v>
      </c>
      <c r="N125" s="28" t="n">
        <f aca="false">L125-M125</f>
        <v>0</v>
      </c>
      <c r="O125" s="25" t="n">
        <f aca="false">IF(N125&gt;=-0.0000001,A125,O124)</f>
        <v>46006</v>
      </c>
      <c r="P125" s="29" t="n">
        <f aca="false">IF(AND(N125&gt;=-0.0000001,N124&lt;0),1,0)</f>
        <v>1</v>
      </c>
      <c r="Q125" s="30" t="n">
        <f aca="false">IF(P125=1,A125-O124,"")</f>
        <v>11</v>
      </c>
    </row>
    <row r="126" customFormat="false" ht="15" hidden="false" customHeight="false" outlineLevel="0" collapsed="false">
      <c r="A126" s="25" t="n">
        <v>46007</v>
      </c>
      <c r="B126" s="26" t="s">
        <v>80</v>
      </c>
      <c r="C126" s="27" t="n">
        <v>28910.28</v>
      </c>
      <c r="D126" s="28" t="n">
        <f aca="false">C126/$T$1*100</f>
        <v>1.8068925</v>
      </c>
      <c r="E126" s="28" t="n">
        <f aca="false">E125+D126</f>
        <v>59.662371875</v>
      </c>
      <c r="F126" s="28" t="n">
        <f aca="false">MAX(0,MAX($E$2:E126))</f>
        <v>59.662371875</v>
      </c>
      <c r="G126" s="28" t="n">
        <f aca="false">E126-F126</f>
        <v>0</v>
      </c>
      <c r="H126" s="25" t="n">
        <f aca="false">IF(G126&gt;=-0.0000001,A126,H125)</f>
        <v>46007</v>
      </c>
      <c r="I126" s="29" t="n">
        <f aca="false">IF(AND(G126&gt;=-0.0000001,G125&lt;0),1,0)</f>
        <v>1</v>
      </c>
      <c r="J126" s="30" t="n">
        <f aca="false">IF(I126=1,A126-H125,"")</f>
        <v>12</v>
      </c>
      <c r="K126" s="27" t="n">
        <f aca="false">IF(B126="Wednesday",0,C126)</f>
        <v>28910.28</v>
      </c>
      <c r="L126" s="28" t="n">
        <f aca="false">L125+K126/$T$1*100</f>
        <v>61.67229</v>
      </c>
      <c r="M126" s="28" t="n">
        <f aca="false">MAX(0,MAX($L$2:L126))</f>
        <v>61.67229</v>
      </c>
      <c r="N126" s="28" t="n">
        <f aca="false">L126-M126</f>
        <v>0</v>
      </c>
      <c r="O126" s="25" t="n">
        <f aca="false">IF(N126&gt;=-0.0000001,A126,O125)</f>
        <v>46007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46008</v>
      </c>
      <c r="B127" s="26" t="s">
        <v>81</v>
      </c>
      <c r="C127" s="27" t="n">
        <v>2085</v>
      </c>
      <c r="D127" s="28" t="n">
        <f aca="false">C127/$T$1*100</f>
        <v>0.1303125</v>
      </c>
      <c r="E127" s="28" t="n">
        <f aca="false">E126+D127</f>
        <v>59.792684375</v>
      </c>
      <c r="F127" s="28" t="n">
        <f aca="false">MAX(0,MAX($E$2:E127))</f>
        <v>59.792684375</v>
      </c>
      <c r="G127" s="28" t="n">
        <f aca="false">E127-F127</f>
        <v>0</v>
      </c>
      <c r="H127" s="25" t="n">
        <f aca="false">IF(G127&gt;=-0.0000001,A127,H126)</f>
        <v>46008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0</v>
      </c>
      <c r="L127" s="28" t="n">
        <f aca="false">L126+K127/$T$1*100</f>
        <v>61.67229</v>
      </c>
      <c r="M127" s="28" t="n">
        <f aca="false">MAX(0,MAX($L$2:L127))</f>
        <v>61.67229</v>
      </c>
      <c r="N127" s="28" t="n">
        <f aca="false">L127-M127</f>
        <v>0</v>
      </c>
      <c r="O127" s="25" t="n">
        <f aca="false">IF(N127&gt;=-0.0000001,A127,O126)</f>
        <v>46008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46009</v>
      </c>
      <c r="B128" s="26" t="s">
        <v>82</v>
      </c>
      <c r="C128" s="27" t="n">
        <v>21499.31</v>
      </c>
      <c r="D128" s="28" t="n">
        <f aca="false">C128/$T$1*100</f>
        <v>1.343706875</v>
      </c>
      <c r="E128" s="28" t="n">
        <f aca="false">E127+D128</f>
        <v>61.13639125</v>
      </c>
      <c r="F128" s="28" t="n">
        <f aca="false">MAX(0,MAX($E$2:E128))</f>
        <v>61.13639125</v>
      </c>
      <c r="G128" s="28" t="n">
        <f aca="false">E128-F128</f>
        <v>0</v>
      </c>
      <c r="H128" s="25" t="n">
        <f aca="false">IF(G128&gt;=-0.0000001,A128,H127)</f>
        <v>46009</v>
      </c>
      <c r="I128" s="29" t="n">
        <f aca="false">IF(AND(G128&gt;=-0.0000001,G127&lt;0),1,0)</f>
        <v>0</v>
      </c>
      <c r="J128" s="30" t="str">
        <f aca="false">IF(I128=1,A128-H127,"")</f>
        <v/>
      </c>
      <c r="K128" s="27" t="n">
        <f aca="false">IF(B128="Wednesday",0,C128)</f>
        <v>21499.31</v>
      </c>
      <c r="L128" s="28" t="n">
        <f aca="false">L127+K128/$T$1*100</f>
        <v>63.015996875</v>
      </c>
      <c r="M128" s="28" t="n">
        <f aca="false">MAX(0,MAX($L$2:L128))</f>
        <v>63.015996875</v>
      </c>
      <c r="N128" s="28" t="n">
        <f aca="false">L128-M128</f>
        <v>0</v>
      </c>
      <c r="O128" s="25" t="n">
        <f aca="false">IF(N128&gt;=-0.0000001,A128,O127)</f>
        <v>46009</v>
      </c>
      <c r="P128" s="29" t="n">
        <f aca="false">IF(AND(N128&gt;=-0.0000001,N127&lt;0),1,0)</f>
        <v>0</v>
      </c>
      <c r="Q128" s="30" t="str">
        <f aca="false">IF(P128=1,A128-O127,"")</f>
        <v/>
      </c>
    </row>
    <row r="129" customFormat="false" ht="15" hidden="false" customHeight="false" outlineLevel="0" collapsed="false">
      <c r="A129" s="25" t="n">
        <v>46010</v>
      </c>
      <c r="B129" s="26" t="s">
        <v>83</v>
      </c>
      <c r="C129" s="27" t="n">
        <v>12753.88</v>
      </c>
      <c r="D129" s="28" t="n">
        <f aca="false">C129/$T$1*100</f>
        <v>0.7971175</v>
      </c>
      <c r="E129" s="28" t="n">
        <f aca="false">E128+D129</f>
        <v>61.93350875</v>
      </c>
      <c r="F129" s="28" t="n">
        <f aca="false">MAX(0,MAX($E$2:E129))</f>
        <v>61.93350875</v>
      </c>
      <c r="G129" s="28" t="n">
        <f aca="false">E129-F129</f>
        <v>0</v>
      </c>
      <c r="H129" s="25" t="n">
        <f aca="false">IF(G129&gt;=-0.0000001,A129,H128)</f>
        <v>46010</v>
      </c>
      <c r="I129" s="29" t="n">
        <f aca="false">IF(AND(G129&gt;=-0.0000001,G128&lt;0),1,0)</f>
        <v>0</v>
      </c>
      <c r="J129" s="30" t="str">
        <f aca="false">IF(I129=1,A129-H128,"")</f>
        <v/>
      </c>
      <c r="K129" s="27" t="n">
        <f aca="false">IF(B129="Wednesday",0,C129)</f>
        <v>12753.88</v>
      </c>
      <c r="L129" s="28" t="n">
        <f aca="false">L128+K129/$T$1*100</f>
        <v>63.813114375</v>
      </c>
      <c r="M129" s="28" t="n">
        <f aca="false">MAX(0,MAX($L$2:L129))</f>
        <v>63.813114375</v>
      </c>
      <c r="N129" s="28" t="n">
        <f aca="false">L129-M129</f>
        <v>0</v>
      </c>
      <c r="O129" s="25" t="n">
        <f aca="false">IF(N129&gt;=-0.0000001,A129,O128)</f>
        <v>46010</v>
      </c>
      <c r="P129" s="29" t="n">
        <f aca="false">IF(AND(N129&gt;=-0.0000001,N128&lt;0),1,0)</f>
        <v>0</v>
      </c>
      <c r="Q129" s="30" t="str">
        <f aca="false">IF(P129=1,A129-O128,"")</f>
        <v/>
      </c>
    </row>
    <row r="130" customFormat="false" ht="15" hidden="false" customHeight="false" outlineLevel="0" collapsed="false">
      <c r="A130" s="25" t="n">
        <v>46013</v>
      </c>
      <c r="B130" s="26" t="s">
        <v>79</v>
      </c>
      <c r="C130" s="27" t="n">
        <v>16378.89</v>
      </c>
      <c r="D130" s="28" t="n">
        <f aca="false">C130/$T$1*100</f>
        <v>1.023680625</v>
      </c>
      <c r="E130" s="28" t="n">
        <f aca="false">E129+D130</f>
        <v>62.957189375</v>
      </c>
      <c r="F130" s="28" t="n">
        <f aca="false">MAX(0,MAX($E$2:E130))</f>
        <v>62.957189375</v>
      </c>
      <c r="G130" s="28" t="n">
        <f aca="false">E130-F130</f>
        <v>0</v>
      </c>
      <c r="H130" s="25" t="n">
        <f aca="false">IF(G130&gt;=-0.0000001,A130,H129)</f>
        <v>46013</v>
      </c>
      <c r="I130" s="29" t="n">
        <f aca="false">IF(AND(G130&gt;=-0.0000001,G129&lt;0),1,0)</f>
        <v>0</v>
      </c>
      <c r="J130" s="30" t="str">
        <f aca="false">IF(I130=1,A130-H129,"")</f>
        <v/>
      </c>
      <c r="K130" s="27" t="n">
        <f aca="false">IF(B130="Wednesday",0,C130)</f>
        <v>16378.89</v>
      </c>
      <c r="L130" s="28" t="n">
        <f aca="false">L129+K130/$T$1*100</f>
        <v>64.836795</v>
      </c>
      <c r="M130" s="28" t="n">
        <f aca="false">MAX(0,MAX($L$2:L130))</f>
        <v>64.836795</v>
      </c>
      <c r="N130" s="28" t="n">
        <f aca="false">L130-M130</f>
        <v>0</v>
      </c>
      <c r="O130" s="25" t="n">
        <f aca="false">IF(N130&gt;=-0.0000001,A130,O129)</f>
        <v>46013</v>
      </c>
      <c r="P130" s="29" t="n">
        <f aca="false">IF(AND(N130&gt;=-0.0000001,N129&lt;0),1,0)</f>
        <v>0</v>
      </c>
      <c r="Q130" s="30" t="str">
        <f aca="false">IF(P130=1,A130-O129,"")</f>
        <v/>
      </c>
    </row>
    <row r="131" customFormat="false" ht="15" hidden="false" customHeight="false" outlineLevel="0" collapsed="false">
      <c r="A131" s="25" t="n">
        <v>46014</v>
      </c>
      <c r="B131" s="26" t="s">
        <v>80</v>
      </c>
      <c r="C131" s="27" t="n">
        <v>31535.41</v>
      </c>
      <c r="D131" s="28" t="n">
        <f aca="false">C131/$T$1*100</f>
        <v>1.970963125</v>
      </c>
      <c r="E131" s="28" t="n">
        <f aca="false">E130+D131</f>
        <v>64.9281525</v>
      </c>
      <c r="F131" s="28" t="n">
        <f aca="false">MAX(0,MAX($E$2:E131))</f>
        <v>64.9281525</v>
      </c>
      <c r="G131" s="28" t="n">
        <f aca="false">E131-F131</f>
        <v>0</v>
      </c>
      <c r="H131" s="25" t="n">
        <f aca="false">IF(G131&gt;=-0.0000001,A131,H130)</f>
        <v>46014</v>
      </c>
      <c r="I131" s="29" t="n">
        <f aca="false">IF(AND(G131&gt;=-0.0000001,G130&lt;0),1,0)</f>
        <v>0</v>
      </c>
      <c r="J131" s="30" t="str">
        <f aca="false">IF(I131=1,A131-H130,"")</f>
        <v/>
      </c>
      <c r="K131" s="27" t="n">
        <f aca="false">IF(B131="Wednesday",0,C131)</f>
        <v>31535.41</v>
      </c>
      <c r="L131" s="28" t="n">
        <f aca="false">L130+K131/$T$1*100</f>
        <v>66.807758125</v>
      </c>
      <c r="M131" s="28" t="n">
        <f aca="false">MAX(0,MAX($L$2:L131))</f>
        <v>66.807758125</v>
      </c>
      <c r="N131" s="28" t="n">
        <f aca="false">L131-M131</f>
        <v>0</v>
      </c>
      <c r="O131" s="25" t="n">
        <f aca="false">IF(N131&gt;=-0.0000001,A131,O130)</f>
        <v>46014</v>
      </c>
      <c r="P131" s="29" t="n">
        <f aca="false">IF(AND(N131&gt;=-0.0000001,N130&lt;0),1,0)</f>
        <v>0</v>
      </c>
      <c r="Q131" s="30" t="str">
        <f aca="false">IF(P131=1,A131-O130,"")</f>
        <v/>
      </c>
    </row>
    <row r="132" customFormat="false" ht="15" hidden="false" customHeight="false" outlineLevel="0" collapsed="false">
      <c r="A132" s="25" t="n">
        <v>46015</v>
      </c>
      <c r="B132" s="26" t="s">
        <v>81</v>
      </c>
      <c r="C132" s="27" t="n">
        <v>-41288.92</v>
      </c>
      <c r="D132" s="28" t="n">
        <f aca="false">C132/$T$1*100</f>
        <v>-2.5805575</v>
      </c>
      <c r="E132" s="28" t="n">
        <f aca="false">E131+D132</f>
        <v>62.347595</v>
      </c>
      <c r="F132" s="28" t="n">
        <f aca="false">MAX(0,MAX($E$2:E132))</f>
        <v>64.9281525</v>
      </c>
      <c r="G132" s="28" t="n">
        <f aca="false">E132-F132</f>
        <v>-2.5805575</v>
      </c>
      <c r="H132" s="25" t="n">
        <f aca="false">IF(G132&gt;=-0.0000001,A132,H131)</f>
        <v>46014</v>
      </c>
      <c r="I132" s="29" t="n">
        <f aca="false">IF(AND(G132&gt;=-0.0000001,G131&lt;0),1,0)</f>
        <v>0</v>
      </c>
      <c r="J132" s="30" t="str">
        <f aca="false">IF(I132=1,A132-H131,"")</f>
        <v/>
      </c>
      <c r="K132" s="27" t="n">
        <f aca="false">IF(B132="Wednesday",0,C132)</f>
        <v>0</v>
      </c>
      <c r="L132" s="28" t="n">
        <f aca="false">L131+K132/$T$1*100</f>
        <v>66.807758125</v>
      </c>
      <c r="M132" s="28" t="n">
        <f aca="false">MAX(0,MAX($L$2:L132))</f>
        <v>66.807758125</v>
      </c>
      <c r="N132" s="28" t="n">
        <f aca="false">L132-M132</f>
        <v>0</v>
      </c>
      <c r="O132" s="25" t="n">
        <f aca="false">IF(N132&gt;=-0.0000001,A132,O131)</f>
        <v>46015</v>
      </c>
      <c r="P132" s="29" t="n">
        <f aca="false">IF(AND(N132&gt;=-0.0000001,N131&lt;0),1,0)</f>
        <v>0</v>
      </c>
      <c r="Q132" s="30" t="str">
        <f aca="false">IF(P132=1,A132-O131,"")</f>
        <v/>
      </c>
    </row>
    <row r="133" customFormat="false" ht="15" hidden="false" customHeight="false" outlineLevel="0" collapsed="false">
      <c r="A133" s="25" t="n">
        <v>46017</v>
      </c>
      <c r="B133" s="26" t="s">
        <v>83</v>
      </c>
      <c r="C133" s="27" t="n">
        <v>33302.25</v>
      </c>
      <c r="D133" s="28" t="n">
        <f aca="false">C133/$T$1*100</f>
        <v>2.081390625</v>
      </c>
      <c r="E133" s="28" t="n">
        <f aca="false">E132+D133</f>
        <v>64.428985625</v>
      </c>
      <c r="F133" s="28" t="n">
        <f aca="false">MAX(0,MAX($E$2:E133))</f>
        <v>64.9281525</v>
      </c>
      <c r="G133" s="28" t="n">
        <f aca="false">E133-F133</f>
        <v>-0.499166875</v>
      </c>
      <c r="H133" s="25" t="n">
        <f aca="false">IF(G133&gt;=-0.0000001,A133,H132)</f>
        <v>46014</v>
      </c>
      <c r="I133" s="29" t="n">
        <f aca="false">IF(AND(G133&gt;=-0.0000001,G132&lt;0),1,0)</f>
        <v>0</v>
      </c>
      <c r="J133" s="30" t="str">
        <f aca="false">IF(I133=1,A133-H132,"")</f>
        <v/>
      </c>
      <c r="K133" s="27" t="n">
        <f aca="false">IF(B133="Wednesday",0,C133)</f>
        <v>33302.25</v>
      </c>
      <c r="L133" s="28" t="n">
        <f aca="false">L132+K133/$T$1*100</f>
        <v>68.88914875</v>
      </c>
      <c r="M133" s="28" t="n">
        <f aca="false">MAX(0,MAX($L$2:L133))</f>
        <v>68.88914875</v>
      </c>
      <c r="N133" s="28" t="n">
        <f aca="false">L133-M133</f>
        <v>0</v>
      </c>
      <c r="O133" s="25" t="n">
        <f aca="false">IF(N133&gt;=-0.0000001,A133,O132)</f>
        <v>46017</v>
      </c>
      <c r="P133" s="29" t="n">
        <f aca="false">IF(AND(N133&gt;=-0.0000001,N132&lt;0),1,0)</f>
        <v>0</v>
      </c>
      <c r="Q133" s="30" t="str">
        <f aca="false">IF(P133=1,A133-O132,"")</f>
        <v/>
      </c>
    </row>
    <row r="134" customFormat="false" ht="15" hidden="false" customHeight="false" outlineLevel="0" collapsed="false">
      <c r="A134" s="25" t="n">
        <v>46020</v>
      </c>
      <c r="B134" s="26" t="s">
        <v>79</v>
      </c>
      <c r="C134" s="27" t="n">
        <v>40760.08</v>
      </c>
      <c r="D134" s="28" t="n">
        <f aca="false">C134/$T$1*100</f>
        <v>2.547505</v>
      </c>
      <c r="E134" s="28" t="n">
        <f aca="false">E133+D134</f>
        <v>66.976490625</v>
      </c>
      <c r="F134" s="28" t="n">
        <f aca="false">MAX(0,MAX($E$2:E134))</f>
        <v>66.976490625</v>
      </c>
      <c r="G134" s="28" t="n">
        <f aca="false">E134-F134</f>
        <v>0</v>
      </c>
      <c r="H134" s="25" t="n">
        <f aca="false">IF(G134&gt;=-0.0000001,A134,H133)</f>
        <v>46020</v>
      </c>
      <c r="I134" s="29" t="n">
        <f aca="false">IF(AND(G134&gt;=-0.0000001,G133&lt;0),1,0)</f>
        <v>1</v>
      </c>
      <c r="J134" s="30" t="n">
        <f aca="false">IF(I134=1,A134-H133,"")</f>
        <v>6</v>
      </c>
      <c r="K134" s="27" t="n">
        <f aca="false">IF(B134="Wednesday",0,C134)</f>
        <v>40760.08</v>
      </c>
      <c r="L134" s="28" t="n">
        <f aca="false">L133+K134/$T$1*100</f>
        <v>71.43665375</v>
      </c>
      <c r="M134" s="28" t="n">
        <f aca="false">MAX(0,MAX($L$2:L134))</f>
        <v>71.43665375</v>
      </c>
      <c r="N134" s="28" t="n">
        <f aca="false">L134-M134</f>
        <v>0</v>
      </c>
      <c r="O134" s="25" t="n">
        <f aca="false">IF(N134&gt;=-0.0000001,A134,O133)</f>
        <v>46020</v>
      </c>
      <c r="P134" s="29" t="n">
        <f aca="false">IF(AND(N134&gt;=-0.0000001,N133&lt;0),1,0)</f>
        <v>0</v>
      </c>
      <c r="Q134" s="30" t="str">
        <f aca="false">IF(P134=1,A134-O133,"")</f>
        <v/>
      </c>
    </row>
    <row r="135" customFormat="false" ht="15" hidden="false" customHeight="false" outlineLevel="0" collapsed="false">
      <c r="A135" s="25" t="n">
        <v>46021</v>
      </c>
      <c r="B135" s="26" t="s">
        <v>80</v>
      </c>
      <c r="C135" s="27" t="n">
        <v>-12894.25</v>
      </c>
      <c r="D135" s="28" t="n">
        <f aca="false">C135/$T$1*100</f>
        <v>-0.805890625</v>
      </c>
      <c r="E135" s="28" t="n">
        <f aca="false">E134+D135</f>
        <v>66.1706</v>
      </c>
      <c r="F135" s="28" t="n">
        <f aca="false">MAX(0,MAX($E$2:E135))</f>
        <v>66.976490625</v>
      </c>
      <c r="G135" s="28" t="n">
        <f aca="false">E135-F135</f>
        <v>-0.805890625000004</v>
      </c>
      <c r="H135" s="25" t="n">
        <f aca="false">IF(G135&gt;=-0.0000001,A135,H134)</f>
        <v>46020</v>
      </c>
      <c r="I135" s="29" t="n">
        <f aca="false">IF(AND(G135&gt;=-0.0000001,G134&lt;0),1,0)</f>
        <v>0</v>
      </c>
      <c r="J135" s="30" t="str">
        <f aca="false">IF(I135=1,A135-H134,"")</f>
        <v/>
      </c>
      <c r="K135" s="27" t="n">
        <f aca="false">IF(B135="Wednesday",0,C135)</f>
        <v>-12894.25</v>
      </c>
      <c r="L135" s="28" t="n">
        <f aca="false">L134+K135/$T$1*100</f>
        <v>70.630763125</v>
      </c>
      <c r="M135" s="28" t="n">
        <f aca="false">MAX(0,MAX($L$2:L135))</f>
        <v>71.43665375</v>
      </c>
      <c r="N135" s="28" t="n">
        <f aca="false">L135-M135</f>
        <v>-0.805890625000004</v>
      </c>
      <c r="O135" s="25" t="n">
        <f aca="false">IF(N135&gt;=-0.0000001,A135,O134)</f>
        <v>46020</v>
      </c>
      <c r="P135" s="29" t="n">
        <f aca="false">IF(AND(N135&gt;=-0.0000001,N134&lt;0),1,0)</f>
        <v>0</v>
      </c>
      <c r="Q135" s="30" t="str">
        <f aca="false">IF(P135=1,A135-O134,"")</f>
        <v/>
      </c>
    </row>
    <row r="136" customFormat="false" ht="15" hidden="false" customHeight="false" outlineLevel="0" collapsed="false">
      <c r="A136" s="25" t="n">
        <v>46022</v>
      </c>
      <c r="B136" s="26" t="s">
        <v>81</v>
      </c>
      <c r="C136" s="27" t="n">
        <v>18198.07</v>
      </c>
      <c r="D136" s="28" t="n">
        <f aca="false">C136/$T$1*100</f>
        <v>1.137379375</v>
      </c>
      <c r="E136" s="28" t="n">
        <f aca="false">E135+D136</f>
        <v>67.307979375</v>
      </c>
      <c r="F136" s="28" t="n">
        <f aca="false">MAX(0,MAX($E$2:E136))</f>
        <v>67.307979375</v>
      </c>
      <c r="G136" s="28" t="n">
        <f aca="false">E136-F136</f>
        <v>0</v>
      </c>
      <c r="H136" s="25" t="n">
        <f aca="false">IF(G136&gt;=-0.0000001,A136,H135)</f>
        <v>46022</v>
      </c>
      <c r="I136" s="29" t="n">
        <f aca="false">IF(AND(G136&gt;=-0.0000001,G135&lt;0),1,0)</f>
        <v>1</v>
      </c>
      <c r="J136" s="30" t="n">
        <f aca="false">IF(I136=1,A136-H135,"")</f>
        <v>2</v>
      </c>
      <c r="K136" s="27" t="n">
        <f aca="false">IF(B136="Wednesday",0,C136)</f>
        <v>0</v>
      </c>
      <c r="L136" s="28" t="n">
        <f aca="false">L135+K136/$T$1*100</f>
        <v>70.630763125</v>
      </c>
      <c r="M136" s="28" t="n">
        <f aca="false">MAX(0,MAX($L$2:L136))</f>
        <v>71.43665375</v>
      </c>
      <c r="N136" s="28" t="n">
        <f aca="false">L136-M136</f>
        <v>-0.805890625000004</v>
      </c>
      <c r="O136" s="25" t="n">
        <f aca="false">IF(N136&gt;=-0.0000001,A136,O135)</f>
        <v>46020</v>
      </c>
      <c r="P136" s="29" t="n">
        <f aca="false">IF(AND(N136&gt;=-0.0000001,N135&lt;0),1,0)</f>
        <v>0</v>
      </c>
      <c r="Q136" s="30" t="str">
        <f aca="false">IF(P136=1,A136-O135,"")</f>
        <v/>
      </c>
    </row>
    <row r="137" customFormat="false" ht="15" hidden="false" customHeight="false" outlineLevel="0" collapsed="false">
      <c r="A137" s="25" t="n">
        <v>46023</v>
      </c>
      <c r="B137" s="26" t="s">
        <v>82</v>
      </c>
      <c r="C137" s="27" t="n">
        <v>23819.87</v>
      </c>
      <c r="D137" s="28" t="n">
        <f aca="false">C137/$T$1*100</f>
        <v>1.488741875</v>
      </c>
      <c r="E137" s="28" t="n">
        <f aca="false">E136+D137</f>
        <v>68.79672125</v>
      </c>
      <c r="F137" s="28" t="n">
        <f aca="false">MAX(0,MAX($E$2:E137))</f>
        <v>68.79672125</v>
      </c>
      <c r="G137" s="28" t="n">
        <f aca="false">E137-F137</f>
        <v>0</v>
      </c>
      <c r="H137" s="25" t="n">
        <f aca="false">IF(G137&gt;=-0.0000001,A137,H136)</f>
        <v>46023</v>
      </c>
      <c r="I137" s="29" t="n">
        <f aca="false">IF(AND(G137&gt;=-0.0000001,G136&lt;0),1,0)</f>
        <v>0</v>
      </c>
      <c r="J137" s="30" t="str">
        <f aca="false">IF(I137=1,A137-H136,"")</f>
        <v/>
      </c>
      <c r="K137" s="27" t="n">
        <f aca="false">IF(B137="Wednesday",0,C137)</f>
        <v>23819.87</v>
      </c>
      <c r="L137" s="28" t="n">
        <f aca="false">L136+K137/$T$1*100</f>
        <v>72.119505</v>
      </c>
      <c r="M137" s="28" t="n">
        <f aca="false">MAX(0,MAX($L$2:L137))</f>
        <v>72.119505</v>
      </c>
      <c r="N137" s="28" t="n">
        <f aca="false">L137-M137</f>
        <v>0</v>
      </c>
      <c r="O137" s="25" t="n">
        <f aca="false">IF(N137&gt;=-0.0000001,A137,O136)</f>
        <v>46023</v>
      </c>
      <c r="P137" s="29" t="n">
        <f aca="false">IF(AND(N137&gt;=-0.0000001,N136&lt;0),1,0)</f>
        <v>1</v>
      </c>
      <c r="Q137" s="30" t="n">
        <f aca="false">IF(P137=1,A137-O136,"")</f>
        <v>3</v>
      </c>
    </row>
    <row r="138" customFormat="false" ht="15" hidden="false" customHeight="false" outlineLevel="0" collapsed="false">
      <c r="A138" s="25" t="n">
        <v>46024</v>
      </c>
      <c r="B138" s="26" t="s">
        <v>83</v>
      </c>
      <c r="C138" s="27" t="n">
        <v>-24022.45</v>
      </c>
      <c r="D138" s="28" t="n">
        <f aca="false">C138/$T$1*100</f>
        <v>-1.501403125</v>
      </c>
      <c r="E138" s="28" t="n">
        <f aca="false">E137+D138</f>
        <v>67.295318125</v>
      </c>
      <c r="F138" s="28" t="n">
        <f aca="false">MAX(0,MAX($E$2:E138))</f>
        <v>68.79672125</v>
      </c>
      <c r="G138" s="28" t="n">
        <f aca="false">E138-F138</f>
        <v>-1.501403125</v>
      </c>
      <c r="H138" s="25" t="n">
        <f aca="false">IF(G138&gt;=-0.0000001,A138,H137)</f>
        <v>46023</v>
      </c>
      <c r="I138" s="29" t="n">
        <f aca="false">IF(AND(G138&gt;=-0.0000001,G137&lt;0),1,0)</f>
        <v>0</v>
      </c>
      <c r="J138" s="30" t="str">
        <f aca="false">IF(I138=1,A138-H137,"")</f>
        <v/>
      </c>
      <c r="K138" s="27" t="n">
        <f aca="false">IF(B138="Wednesday",0,C138)</f>
        <v>-24022.45</v>
      </c>
      <c r="L138" s="28" t="n">
        <f aca="false">L137+K138/$T$1*100</f>
        <v>70.618101875</v>
      </c>
      <c r="M138" s="28" t="n">
        <f aca="false">MAX(0,MAX($L$2:L138))</f>
        <v>72.119505</v>
      </c>
      <c r="N138" s="28" t="n">
        <f aca="false">L138-M138</f>
        <v>-1.501403125</v>
      </c>
      <c r="O138" s="25" t="n">
        <f aca="false">IF(N138&gt;=-0.0000001,A138,O137)</f>
        <v>46023</v>
      </c>
      <c r="P138" s="29" t="n">
        <f aca="false">IF(AND(N138&gt;=-0.0000001,N137&lt;0),1,0)</f>
        <v>0</v>
      </c>
      <c r="Q138" s="30" t="str">
        <f aca="false">IF(P138=1,A138-O137,"")</f>
        <v/>
      </c>
    </row>
    <row r="139" customFormat="false" ht="15" hidden="false" customHeight="false" outlineLevel="0" collapsed="false">
      <c r="A139" s="25" t="n">
        <v>46027</v>
      </c>
      <c r="B139" s="26" t="s">
        <v>79</v>
      </c>
      <c r="C139" s="27" t="n">
        <v>-9941.75</v>
      </c>
      <c r="D139" s="28" t="n">
        <f aca="false">C139/$T$1*100</f>
        <v>-0.621359375</v>
      </c>
      <c r="E139" s="28" t="n">
        <f aca="false">E138+D139</f>
        <v>66.67395875</v>
      </c>
      <c r="F139" s="28" t="n">
        <f aca="false">MAX(0,MAX($E$2:E139))</f>
        <v>68.79672125</v>
      </c>
      <c r="G139" s="28" t="n">
        <f aca="false">E139-F139</f>
        <v>-2.12276249999999</v>
      </c>
      <c r="H139" s="25" t="n">
        <f aca="false">IF(G139&gt;=-0.0000001,A139,H138)</f>
        <v>46023</v>
      </c>
      <c r="I139" s="29" t="n">
        <f aca="false">IF(AND(G139&gt;=-0.0000001,G138&lt;0),1,0)</f>
        <v>0</v>
      </c>
      <c r="J139" s="30" t="str">
        <f aca="false">IF(I139=1,A139-H138,"")</f>
        <v/>
      </c>
      <c r="K139" s="27" t="n">
        <f aca="false">IF(B139="Wednesday",0,C139)</f>
        <v>-9941.75</v>
      </c>
      <c r="L139" s="28" t="n">
        <f aca="false">L138+K139/$T$1*100</f>
        <v>69.9967425</v>
      </c>
      <c r="M139" s="28" t="n">
        <f aca="false">MAX(0,MAX($L$2:L139))</f>
        <v>72.119505</v>
      </c>
      <c r="N139" s="28" t="n">
        <f aca="false">L139-M139</f>
        <v>-2.12276249999999</v>
      </c>
      <c r="O139" s="25" t="n">
        <f aca="false">IF(N139&gt;=-0.0000001,A139,O138)</f>
        <v>46023</v>
      </c>
      <c r="P139" s="29" t="n">
        <f aca="false">IF(AND(N139&gt;=-0.0000001,N138&lt;0),1,0)</f>
        <v>0</v>
      </c>
      <c r="Q139" s="30" t="str">
        <f aca="false">IF(P139=1,A139-O138,"")</f>
        <v/>
      </c>
    </row>
    <row r="140" customFormat="false" ht="15" hidden="false" customHeight="false" outlineLevel="0" collapsed="false">
      <c r="A140" s="25" t="n">
        <v>46028</v>
      </c>
      <c r="B140" s="26" t="s">
        <v>80</v>
      </c>
      <c r="C140" s="27" t="n">
        <v>27012.3</v>
      </c>
      <c r="D140" s="28" t="n">
        <f aca="false">C140/$T$1*100</f>
        <v>1.68826875</v>
      </c>
      <c r="E140" s="28" t="n">
        <f aca="false">E139+D140</f>
        <v>68.3622275</v>
      </c>
      <c r="F140" s="28" t="n">
        <f aca="false">MAX(0,MAX($E$2:E140))</f>
        <v>68.79672125</v>
      </c>
      <c r="G140" s="28" t="n">
        <f aca="false">E140-F140</f>
        <v>-0.434493749999987</v>
      </c>
      <c r="H140" s="25" t="n">
        <f aca="false">IF(G140&gt;=-0.0000001,A140,H139)</f>
        <v>46023</v>
      </c>
      <c r="I140" s="29" t="n">
        <f aca="false">IF(AND(G140&gt;=-0.0000001,G139&lt;0),1,0)</f>
        <v>0</v>
      </c>
      <c r="J140" s="30" t="str">
        <f aca="false">IF(I140=1,A140-H139,"")</f>
        <v/>
      </c>
      <c r="K140" s="27" t="n">
        <f aca="false">IF(B140="Wednesday",0,C140)</f>
        <v>27012.3</v>
      </c>
      <c r="L140" s="28" t="n">
        <f aca="false">L139+K140/$T$1*100</f>
        <v>71.68501125</v>
      </c>
      <c r="M140" s="28" t="n">
        <f aca="false">MAX(0,MAX($L$2:L140))</f>
        <v>72.119505</v>
      </c>
      <c r="N140" s="28" t="n">
        <f aca="false">L140-M140</f>
        <v>-0.434493749999987</v>
      </c>
      <c r="O140" s="25" t="n">
        <f aca="false">IF(N140&gt;=-0.0000001,A140,O139)</f>
        <v>46023</v>
      </c>
      <c r="P140" s="29" t="n">
        <f aca="false">IF(AND(N140&gt;=-0.0000001,N139&lt;0),1,0)</f>
        <v>0</v>
      </c>
      <c r="Q140" s="30" t="str">
        <f aca="false">IF(P140=1,A140-O139,"")</f>
        <v/>
      </c>
    </row>
    <row r="141" customFormat="false" ht="15" hidden="false" customHeight="false" outlineLevel="0" collapsed="false">
      <c r="A141" s="25" t="n">
        <v>46029</v>
      </c>
      <c r="B141" s="26" t="s">
        <v>81</v>
      </c>
      <c r="C141" s="27" t="n">
        <v>-3997.5</v>
      </c>
      <c r="D141" s="28" t="n">
        <f aca="false">C141/$T$1*100</f>
        <v>-0.24984375</v>
      </c>
      <c r="E141" s="28" t="n">
        <f aca="false">E140+D141</f>
        <v>68.11238375</v>
      </c>
      <c r="F141" s="28" t="n">
        <f aca="false">MAX(0,MAX($E$2:E141))</f>
        <v>68.79672125</v>
      </c>
      <c r="G141" s="28" t="n">
        <f aca="false">E141-F141</f>
        <v>-0.684337499999984</v>
      </c>
      <c r="H141" s="25" t="n">
        <f aca="false">IF(G141&gt;=-0.0000001,A141,H140)</f>
        <v>46023</v>
      </c>
      <c r="I141" s="29" t="n">
        <f aca="false">IF(AND(G141&gt;=-0.0000001,G140&lt;0),1,0)</f>
        <v>0</v>
      </c>
      <c r="J141" s="30" t="str">
        <f aca="false">IF(I141=1,A141-H140,"")</f>
        <v/>
      </c>
      <c r="K141" s="27" t="n">
        <f aca="false">IF(B141="Wednesday",0,C141)</f>
        <v>0</v>
      </c>
      <c r="L141" s="28" t="n">
        <f aca="false">L140+K141/$T$1*100</f>
        <v>71.68501125</v>
      </c>
      <c r="M141" s="28" t="n">
        <f aca="false">MAX(0,MAX($L$2:L141))</f>
        <v>72.119505</v>
      </c>
      <c r="N141" s="28" t="n">
        <f aca="false">L141-M141</f>
        <v>-0.434493749999987</v>
      </c>
      <c r="O141" s="25" t="n">
        <f aca="false">IF(N141&gt;=-0.0000001,A141,O140)</f>
        <v>46023</v>
      </c>
      <c r="P141" s="29" t="n">
        <f aca="false">IF(AND(N141&gt;=-0.0000001,N140&lt;0),1,0)</f>
        <v>0</v>
      </c>
      <c r="Q141" s="30" t="str">
        <f aca="false">IF(P141=1,A141-O140,"")</f>
        <v/>
      </c>
    </row>
    <row r="142" customFormat="false" ht="15" hidden="false" customHeight="false" outlineLevel="0" collapsed="false">
      <c r="A142" s="25" t="n">
        <v>46030</v>
      </c>
      <c r="B142" s="26" t="s">
        <v>82</v>
      </c>
      <c r="C142" s="27" t="n">
        <v>18270.01</v>
      </c>
      <c r="D142" s="28" t="n">
        <f aca="false">C142/$T$1*100</f>
        <v>1.141875625</v>
      </c>
      <c r="E142" s="28" t="n">
        <f aca="false">E141+D142</f>
        <v>69.254259375</v>
      </c>
      <c r="F142" s="28" t="n">
        <f aca="false">MAX(0,MAX($E$2:E142))</f>
        <v>69.254259375</v>
      </c>
      <c r="G142" s="28" t="n">
        <f aca="false">E142-F142</f>
        <v>0</v>
      </c>
      <c r="H142" s="25" t="n">
        <f aca="false">IF(G142&gt;=-0.0000001,A142,H141)</f>
        <v>46030</v>
      </c>
      <c r="I142" s="29" t="n">
        <f aca="false">IF(AND(G142&gt;=-0.0000001,G141&lt;0),1,0)</f>
        <v>1</v>
      </c>
      <c r="J142" s="30" t="n">
        <f aca="false">IF(I142=1,A142-H141,"")</f>
        <v>7</v>
      </c>
      <c r="K142" s="27" t="n">
        <f aca="false">IF(B142="Wednesday",0,C142)</f>
        <v>18270.01</v>
      </c>
      <c r="L142" s="28" t="n">
        <f aca="false">L141+K142/$T$1*100</f>
        <v>72.826886875</v>
      </c>
      <c r="M142" s="28" t="n">
        <f aca="false">MAX(0,MAX($L$2:L142))</f>
        <v>72.826886875</v>
      </c>
      <c r="N142" s="28" t="n">
        <f aca="false">L142-M142</f>
        <v>0</v>
      </c>
      <c r="O142" s="25" t="n">
        <f aca="false">IF(N142&gt;=-0.0000001,A142,O141)</f>
        <v>46030</v>
      </c>
      <c r="P142" s="29" t="n">
        <f aca="false">IF(AND(N142&gt;=-0.0000001,N141&lt;0),1,0)</f>
        <v>1</v>
      </c>
      <c r="Q142" s="30" t="n">
        <f aca="false">IF(P142=1,A142-O141,"")</f>
        <v>7</v>
      </c>
    </row>
    <row r="143" customFormat="false" ht="15" hidden="false" customHeight="false" outlineLevel="0" collapsed="false">
      <c r="A143" s="25" t="n">
        <v>46031</v>
      </c>
      <c r="B143" s="26" t="s">
        <v>83</v>
      </c>
      <c r="C143" s="27" t="n">
        <v>28323.75</v>
      </c>
      <c r="D143" s="28" t="n">
        <f aca="false">C143/$T$1*100</f>
        <v>1.770234375</v>
      </c>
      <c r="E143" s="28" t="n">
        <f aca="false">E142+D143</f>
        <v>71.02449375</v>
      </c>
      <c r="F143" s="28" t="n">
        <f aca="false">MAX(0,MAX($E$2:E143))</f>
        <v>71.02449375</v>
      </c>
      <c r="G143" s="28" t="n">
        <f aca="false">E143-F143</f>
        <v>0</v>
      </c>
      <c r="H143" s="25" t="n">
        <f aca="false">IF(G143&gt;=-0.0000001,A143,H142)</f>
        <v>46031</v>
      </c>
      <c r="I143" s="29" t="n">
        <f aca="false">IF(AND(G143&gt;=-0.0000001,G142&lt;0),1,0)</f>
        <v>0</v>
      </c>
      <c r="J143" s="30" t="str">
        <f aca="false">IF(I143=1,A143-H142,"")</f>
        <v/>
      </c>
      <c r="K143" s="27" t="n">
        <f aca="false">IF(B143="Wednesday",0,C143)</f>
        <v>28323.75</v>
      </c>
      <c r="L143" s="28" t="n">
        <f aca="false">L142+K143/$T$1*100</f>
        <v>74.59712125</v>
      </c>
      <c r="M143" s="28" t="n">
        <f aca="false">MAX(0,MAX($L$2:L143))</f>
        <v>74.59712125</v>
      </c>
      <c r="N143" s="28" t="n">
        <f aca="false">L143-M143</f>
        <v>0</v>
      </c>
      <c r="O143" s="25" t="n">
        <f aca="false">IF(N143&gt;=-0.0000001,A143,O142)</f>
        <v>46031</v>
      </c>
      <c r="P143" s="29" t="n">
        <f aca="false">IF(AND(N143&gt;=-0.0000001,N142&lt;0),1,0)</f>
        <v>0</v>
      </c>
      <c r="Q143" s="30" t="str">
        <f aca="false">IF(P143=1,A143-O142,"")</f>
        <v/>
      </c>
    </row>
    <row r="144" customFormat="false" ht="15" hidden="false" customHeight="false" outlineLevel="0" collapsed="false">
      <c r="A144" s="25" t="n">
        <v>46034</v>
      </c>
      <c r="B144" s="26" t="s">
        <v>79</v>
      </c>
      <c r="C144" s="27" t="n">
        <v>-1340.45</v>
      </c>
      <c r="D144" s="28" t="n">
        <f aca="false">C144/$T$1*100</f>
        <v>-0.083778125</v>
      </c>
      <c r="E144" s="28" t="n">
        <f aca="false">E143+D144</f>
        <v>70.940715625</v>
      </c>
      <c r="F144" s="28" t="n">
        <f aca="false">MAX(0,MAX($E$2:E144))</f>
        <v>71.02449375</v>
      </c>
      <c r="G144" s="28" t="n">
        <f aca="false">E144-F144</f>
        <v>-0.0837781249999949</v>
      </c>
      <c r="H144" s="25" t="n">
        <f aca="false">IF(G144&gt;=-0.0000001,A144,H143)</f>
        <v>46031</v>
      </c>
      <c r="I144" s="29" t="n">
        <f aca="false">IF(AND(G144&gt;=-0.0000001,G143&lt;0),1,0)</f>
        <v>0</v>
      </c>
      <c r="J144" s="30" t="str">
        <f aca="false">IF(I144=1,A144-H143,"")</f>
        <v/>
      </c>
      <c r="K144" s="27" t="n">
        <f aca="false">IF(B144="Wednesday",0,C144)</f>
        <v>-1340.45</v>
      </c>
      <c r="L144" s="28" t="n">
        <f aca="false">L143+K144/$T$1*100</f>
        <v>74.513343125</v>
      </c>
      <c r="M144" s="28" t="n">
        <f aca="false">MAX(0,MAX($L$2:L144))</f>
        <v>74.59712125</v>
      </c>
      <c r="N144" s="28" t="n">
        <f aca="false">L144-M144</f>
        <v>-0.0837781249999949</v>
      </c>
      <c r="O144" s="25" t="n">
        <f aca="false">IF(N144&gt;=-0.0000001,A144,O143)</f>
        <v>46031</v>
      </c>
      <c r="P144" s="29" t="n">
        <f aca="false">IF(AND(N144&gt;=-0.0000001,N143&lt;0),1,0)</f>
        <v>0</v>
      </c>
      <c r="Q144" s="30" t="str">
        <f aca="false">IF(P144=1,A144-O143,"")</f>
        <v/>
      </c>
    </row>
    <row r="145" customFormat="false" ht="15" hidden="false" customHeight="false" outlineLevel="0" collapsed="false">
      <c r="A145" s="25" t="n">
        <v>46035</v>
      </c>
      <c r="B145" s="26" t="s">
        <v>80</v>
      </c>
      <c r="C145" s="27" t="n">
        <v>13435.5</v>
      </c>
      <c r="D145" s="28" t="n">
        <f aca="false">C145/$T$1*100</f>
        <v>0.83971875</v>
      </c>
      <c r="E145" s="28" t="n">
        <f aca="false">E144+D145</f>
        <v>71.780434375</v>
      </c>
      <c r="F145" s="28" t="n">
        <f aca="false">MAX(0,MAX($E$2:E145))</f>
        <v>71.780434375</v>
      </c>
      <c r="G145" s="28" t="n">
        <f aca="false">E145-F145</f>
        <v>0</v>
      </c>
      <c r="H145" s="25" t="n">
        <f aca="false">IF(G145&gt;=-0.0000001,A145,H144)</f>
        <v>46035</v>
      </c>
      <c r="I145" s="29" t="n">
        <f aca="false">IF(AND(G145&gt;=-0.0000001,G144&lt;0),1,0)</f>
        <v>1</v>
      </c>
      <c r="J145" s="30" t="n">
        <f aca="false">IF(I145=1,A145-H144,"")</f>
        <v>4</v>
      </c>
      <c r="K145" s="27" t="n">
        <f aca="false">IF(B145="Wednesday",0,C145)</f>
        <v>13435.5</v>
      </c>
      <c r="L145" s="28" t="n">
        <f aca="false">L144+K145/$T$1*100</f>
        <v>75.353061875</v>
      </c>
      <c r="M145" s="28" t="n">
        <f aca="false">MAX(0,MAX($L$2:L145))</f>
        <v>75.353061875</v>
      </c>
      <c r="N145" s="28" t="n">
        <f aca="false">L145-M145</f>
        <v>0</v>
      </c>
      <c r="O145" s="25" t="n">
        <f aca="false">IF(N145&gt;=-0.0000001,A145,O144)</f>
        <v>46035</v>
      </c>
      <c r="P145" s="29" t="n">
        <f aca="false">IF(AND(N145&gt;=-0.0000001,N144&lt;0),1,0)</f>
        <v>1</v>
      </c>
      <c r="Q145" s="30" t="n">
        <f aca="false">IF(P145=1,A145-O144,"")</f>
        <v>4</v>
      </c>
    </row>
    <row r="146" customFormat="false" ht="15" hidden="false" customHeight="false" outlineLevel="0" collapsed="false">
      <c r="A146" s="25" t="n">
        <v>46036</v>
      </c>
      <c r="B146" s="26" t="s">
        <v>81</v>
      </c>
      <c r="C146" s="27" t="n">
        <v>-13942.5</v>
      </c>
      <c r="D146" s="28" t="n">
        <f aca="false">C146/$T$1*100</f>
        <v>-0.87140625</v>
      </c>
      <c r="E146" s="28" t="n">
        <f aca="false">E145+D146</f>
        <v>70.909028125</v>
      </c>
      <c r="F146" s="28" t="n">
        <f aca="false">MAX(0,MAX($E$2:E146))</f>
        <v>71.780434375</v>
      </c>
      <c r="G146" s="28" t="n">
        <f aca="false">E146-F146</f>
        <v>-0.871406250000007</v>
      </c>
      <c r="H146" s="25" t="n">
        <f aca="false">IF(G146&gt;=-0.0000001,A146,H145)</f>
        <v>46035</v>
      </c>
      <c r="I146" s="29" t="n">
        <f aca="false">IF(AND(G146&gt;=-0.0000001,G145&lt;0),1,0)</f>
        <v>0</v>
      </c>
      <c r="J146" s="30" t="str">
        <f aca="false">IF(I146=1,A146-H145,"")</f>
        <v/>
      </c>
      <c r="K146" s="27" t="n">
        <f aca="false">IF(B146="Wednesday",0,C146)</f>
        <v>0</v>
      </c>
      <c r="L146" s="28" t="n">
        <f aca="false">L145+K146/$T$1*100</f>
        <v>75.353061875</v>
      </c>
      <c r="M146" s="28" t="n">
        <f aca="false">MAX(0,MAX($L$2:L146))</f>
        <v>75.353061875</v>
      </c>
      <c r="N146" s="28" t="n">
        <f aca="false">L146-M146</f>
        <v>0</v>
      </c>
      <c r="O146" s="25" t="n">
        <f aca="false">IF(N146&gt;=-0.0000001,A146,O145)</f>
        <v>46036</v>
      </c>
      <c r="P146" s="29" t="n">
        <f aca="false">IF(AND(N146&gt;=-0.0000001,N145&lt;0),1,0)</f>
        <v>0</v>
      </c>
      <c r="Q146" s="30" t="str">
        <f aca="false">IF(P146=1,A146-O145,"")</f>
        <v/>
      </c>
    </row>
    <row r="147" customFormat="false" ht="15" hidden="false" customHeight="false" outlineLevel="0" collapsed="false">
      <c r="A147" s="25" t="n">
        <v>46038</v>
      </c>
      <c r="B147" s="26" t="s">
        <v>83</v>
      </c>
      <c r="C147" s="27" t="n">
        <v>-22273.59</v>
      </c>
      <c r="D147" s="28" t="n">
        <f aca="false">C147/$T$1*100</f>
        <v>-1.392099375</v>
      </c>
      <c r="E147" s="28" t="n">
        <f aca="false">E146+D147</f>
        <v>69.51692875</v>
      </c>
      <c r="F147" s="28" t="n">
        <f aca="false">MAX(0,MAX($E$2:E147))</f>
        <v>71.780434375</v>
      </c>
      <c r="G147" s="28" t="n">
        <f aca="false">E147-F147</f>
        <v>-2.26350562500001</v>
      </c>
      <c r="H147" s="25" t="n">
        <f aca="false">IF(G147&gt;=-0.0000001,A147,H146)</f>
        <v>46035</v>
      </c>
      <c r="I147" s="29" t="n">
        <f aca="false">IF(AND(G147&gt;=-0.0000001,G146&lt;0),1,0)</f>
        <v>0</v>
      </c>
      <c r="J147" s="30" t="str">
        <f aca="false">IF(I147=1,A147-H146,"")</f>
        <v/>
      </c>
      <c r="K147" s="27" t="n">
        <f aca="false">IF(B147="Wednesday",0,C147)</f>
        <v>-22273.59</v>
      </c>
      <c r="L147" s="28" t="n">
        <f aca="false">L146+K147/$T$1*100</f>
        <v>73.9609625</v>
      </c>
      <c r="M147" s="28" t="n">
        <f aca="false">MAX(0,MAX($L$2:L147))</f>
        <v>75.353061875</v>
      </c>
      <c r="N147" s="28" t="n">
        <f aca="false">L147-M147</f>
        <v>-1.392099375</v>
      </c>
      <c r="O147" s="25" t="n">
        <f aca="false">IF(N147&gt;=-0.0000001,A147,O146)</f>
        <v>46036</v>
      </c>
      <c r="P147" s="29" t="n">
        <f aca="false">IF(AND(N147&gt;=-0.0000001,N146&lt;0),1,0)</f>
        <v>0</v>
      </c>
      <c r="Q147" s="30" t="str">
        <f aca="false">IF(P147=1,A147-O146,"")</f>
        <v/>
      </c>
    </row>
    <row r="148" customFormat="false" ht="15" hidden="false" customHeight="false" outlineLevel="0" collapsed="false">
      <c r="A148" s="25" t="n">
        <v>46041</v>
      </c>
      <c r="B148" s="26" t="s">
        <v>79</v>
      </c>
      <c r="C148" s="27" t="n">
        <v>-1860.37</v>
      </c>
      <c r="D148" s="28" t="n">
        <f aca="false">C148/$T$1*100</f>
        <v>-0.116273125</v>
      </c>
      <c r="E148" s="28" t="n">
        <f aca="false">E147+D148</f>
        <v>69.400655625</v>
      </c>
      <c r="F148" s="28" t="n">
        <f aca="false">MAX(0,MAX($E$2:E148))</f>
        <v>71.780434375</v>
      </c>
      <c r="G148" s="28" t="n">
        <f aca="false">E148-F148</f>
        <v>-2.37977875000001</v>
      </c>
      <c r="H148" s="25" t="n">
        <f aca="false">IF(G148&gt;=-0.0000001,A148,H147)</f>
        <v>46035</v>
      </c>
      <c r="I148" s="29" t="n">
        <f aca="false">IF(AND(G148&gt;=-0.0000001,G147&lt;0),1,0)</f>
        <v>0</v>
      </c>
      <c r="J148" s="30" t="str">
        <f aca="false">IF(I148=1,A148-H147,"")</f>
        <v/>
      </c>
      <c r="K148" s="27" t="n">
        <f aca="false">IF(B148="Wednesday",0,C148)</f>
        <v>-1860.37</v>
      </c>
      <c r="L148" s="28" t="n">
        <f aca="false">L147+K148/$T$1*100</f>
        <v>73.844689375</v>
      </c>
      <c r="M148" s="28" t="n">
        <f aca="false">MAX(0,MAX($L$2:L148))</f>
        <v>75.353061875</v>
      </c>
      <c r="N148" s="28" t="n">
        <f aca="false">L148-M148</f>
        <v>-1.50837250000001</v>
      </c>
      <c r="O148" s="25" t="n">
        <f aca="false">IF(N148&gt;=-0.0000001,A148,O147)</f>
        <v>46036</v>
      </c>
      <c r="P148" s="29" t="n">
        <f aca="false">IF(AND(N148&gt;=-0.0000001,N147&lt;0),1,0)</f>
        <v>0</v>
      </c>
      <c r="Q148" s="30" t="str">
        <f aca="false">IF(P148=1,A148-O147,"")</f>
        <v/>
      </c>
    </row>
    <row r="149" customFormat="false" ht="15" hidden="false" customHeight="false" outlineLevel="0" collapsed="false">
      <c r="A149" s="25" t="n">
        <v>46042</v>
      </c>
      <c r="B149" s="26" t="s">
        <v>80</v>
      </c>
      <c r="C149" s="27" t="n">
        <v>32693.59</v>
      </c>
      <c r="D149" s="28" t="n">
        <f aca="false">C149/$T$1*100</f>
        <v>2.043349375</v>
      </c>
      <c r="E149" s="28" t="n">
        <f aca="false">E148+D149</f>
        <v>71.444005</v>
      </c>
      <c r="F149" s="28" t="n">
        <f aca="false">MAX(0,MAX($E$2:E149))</f>
        <v>71.780434375</v>
      </c>
      <c r="G149" s="28" t="n">
        <f aca="false">E149-F149</f>
        <v>-0.336429375000009</v>
      </c>
      <c r="H149" s="25" t="n">
        <f aca="false">IF(G149&gt;=-0.0000001,A149,H148)</f>
        <v>46035</v>
      </c>
      <c r="I149" s="29" t="n">
        <f aca="false">IF(AND(G149&gt;=-0.0000001,G148&lt;0),1,0)</f>
        <v>0</v>
      </c>
      <c r="J149" s="30" t="str">
        <f aca="false">IF(I149=1,A149-H148,"")</f>
        <v/>
      </c>
      <c r="K149" s="27" t="n">
        <f aca="false">IF(B149="Wednesday",0,C149)</f>
        <v>32693.59</v>
      </c>
      <c r="L149" s="28" t="n">
        <f aca="false">L148+K149/$T$1*100</f>
        <v>75.88803875</v>
      </c>
      <c r="M149" s="28" t="n">
        <f aca="false">MAX(0,MAX($L$2:L149))</f>
        <v>75.88803875</v>
      </c>
      <c r="N149" s="28" t="n">
        <f aca="false">L149-M149</f>
        <v>0</v>
      </c>
      <c r="O149" s="25" t="n">
        <f aca="false">IF(N149&gt;=-0.0000001,A149,O148)</f>
        <v>46042</v>
      </c>
      <c r="P149" s="29" t="n">
        <f aca="false">IF(AND(N149&gt;=-0.0000001,N148&lt;0),1,0)</f>
        <v>1</v>
      </c>
      <c r="Q149" s="30" t="n">
        <f aca="false">IF(P149=1,A149-O148,"")</f>
        <v>6</v>
      </c>
    </row>
    <row r="150" customFormat="false" ht="15" hidden="false" customHeight="false" outlineLevel="0" collapsed="false">
      <c r="A150" s="25" t="n">
        <v>46043</v>
      </c>
      <c r="B150" s="26" t="s">
        <v>81</v>
      </c>
      <c r="C150" s="27" t="n">
        <v>-104874.95</v>
      </c>
      <c r="D150" s="28" t="n">
        <f aca="false">C150/$T$1*100</f>
        <v>-6.554684375</v>
      </c>
      <c r="E150" s="28" t="n">
        <f aca="false">E149+D150</f>
        <v>64.889320625</v>
      </c>
      <c r="F150" s="28" t="n">
        <f aca="false">MAX(0,MAX($E$2:E150))</f>
        <v>71.780434375</v>
      </c>
      <c r="G150" s="28" t="n">
        <f aca="false">E150-F150</f>
        <v>-6.89111375</v>
      </c>
      <c r="H150" s="25" t="n">
        <f aca="false">IF(G150&gt;=-0.0000001,A150,H149)</f>
        <v>46035</v>
      </c>
      <c r="I150" s="29" t="n">
        <f aca="false">IF(AND(G150&gt;=-0.0000001,G149&lt;0),1,0)</f>
        <v>0</v>
      </c>
      <c r="J150" s="30" t="str">
        <f aca="false">IF(I150=1,A150-H149,"")</f>
        <v/>
      </c>
      <c r="K150" s="27" t="n">
        <f aca="false">IF(B150="Wednesday",0,C150)</f>
        <v>0</v>
      </c>
      <c r="L150" s="28" t="n">
        <f aca="false">L149+K150/$T$1*100</f>
        <v>75.88803875</v>
      </c>
      <c r="M150" s="28" t="n">
        <f aca="false">MAX(0,MAX($L$2:L150))</f>
        <v>75.88803875</v>
      </c>
      <c r="N150" s="28" t="n">
        <f aca="false">L150-M150</f>
        <v>0</v>
      </c>
      <c r="O150" s="25" t="n">
        <f aca="false">IF(N150&gt;=-0.0000001,A150,O149)</f>
        <v>46043</v>
      </c>
      <c r="P150" s="29" t="n">
        <f aca="false">IF(AND(N150&gt;=-0.0000001,N149&lt;0),1,0)</f>
        <v>0</v>
      </c>
      <c r="Q150" s="30" t="str">
        <f aca="false">IF(P150=1,A150-O149,"")</f>
        <v/>
      </c>
    </row>
    <row r="151" customFormat="false" ht="15" hidden="false" customHeight="false" outlineLevel="0" collapsed="false">
      <c r="A151" s="25" t="n">
        <v>46044</v>
      </c>
      <c r="B151" s="26" t="s">
        <v>82</v>
      </c>
      <c r="C151" s="27" t="n">
        <v>-22717.5</v>
      </c>
      <c r="D151" s="28" t="n">
        <f aca="false">C151/$T$1*100</f>
        <v>-1.41984375</v>
      </c>
      <c r="E151" s="28" t="n">
        <f aca="false">E150+D151</f>
        <v>63.469476875</v>
      </c>
      <c r="F151" s="28" t="n">
        <f aca="false">MAX(0,MAX($E$2:E151))</f>
        <v>71.780434375</v>
      </c>
      <c r="G151" s="28" t="n">
        <f aca="false">E151-F151</f>
        <v>-8.3109575</v>
      </c>
      <c r="H151" s="25" t="n">
        <f aca="false">IF(G151&gt;=-0.0000001,A151,H150)</f>
        <v>46035</v>
      </c>
      <c r="I151" s="29" t="n">
        <f aca="false">IF(AND(G151&gt;=-0.0000001,G150&lt;0),1,0)</f>
        <v>0</v>
      </c>
      <c r="J151" s="30" t="str">
        <f aca="false">IF(I151=1,A151-H150,"")</f>
        <v/>
      </c>
      <c r="K151" s="27" t="n">
        <f aca="false">IF(B151="Wednesday",0,C151)</f>
        <v>-22717.5</v>
      </c>
      <c r="L151" s="28" t="n">
        <f aca="false">L150+K151/$T$1*100</f>
        <v>74.468195</v>
      </c>
      <c r="M151" s="28" t="n">
        <f aca="false">MAX(0,MAX($L$2:L151))</f>
        <v>75.88803875</v>
      </c>
      <c r="N151" s="28" t="n">
        <f aca="false">L151-M151</f>
        <v>-1.41984375</v>
      </c>
      <c r="O151" s="25" t="n">
        <f aca="false">IF(N151&gt;=-0.0000001,A151,O150)</f>
        <v>46043</v>
      </c>
      <c r="P151" s="29" t="n">
        <f aca="false">IF(AND(N151&gt;=-0.0000001,N150&lt;0),1,0)</f>
        <v>0</v>
      </c>
      <c r="Q151" s="30" t="str">
        <f aca="false">IF(P151=1,A151-O150,"")</f>
        <v/>
      </c>
    </row>
    <row r="152" customFormat="false" ht="15" hidden="false" customHeight="false" outlineLevel="0" collapsed="false">
      <c r="A152" s="25" t="n">
        <v>46045</v>
      </c>
      <c r="B152" s="26" t="s">
        <v>83</v>
      </c>
      <c r="C152" s="27" t="n">
        <v>139664.37</v>
      </c>
      <c r="D152" s="28" t="n">
        <f aca="false">C152/$T$1*100</f>
        <v>8.729023125</v>
      </c>
      <c r="E152" s="28" t="n">
        <f aca="false">E151+D152</f>
        <v>72.1985</v>
      </c>
      <c r="F152" s="28" t="n">
        <f aca="false">MAX(0,MAX($E$2:E152))</f>
        <v>72.1985</v>
      </c>
      <c r="G152" s="28" t="n">
        <f aca="false">E152-F152</f>
        <v>0</v>
      </c>
      <c r="H152" s="25" t="n">
        <f aca="false">IF(G152&gt;=-0.0000001,A152,H151)</f>
        <v>46045</v>
      </c>
      <c r="I152" s="29" t="n">
        <f aca="false">IF(AND(G152&gt;=-0.0000001,G151&lt;0),1,0)</f>
        <v>1</v>
      </c>
      <c r="J152" s="30" t="n">
        <f aca="false">IF(I152=1,A152-H151,"")</f>
        <v>10</v>
      </c>
      <c r="K152" s="27" t="n">
        <f aca="false">IF(B152="Wednesday",0,C152)</f>
        <v>139664.37</v>
      </c>
      <c r="L152" s="28" t="n">
        <f aca="false">L151+K152/$T$1*100</f>
        <v>83.197218125</v>
      </c>
      <c r="M152" s="28" t="n">
        <f aca="false">MAX(0,MAX($L$2:L152))</f>
        <v>83.197218125</v>
      </c>
      <c r="N152" s="28" t="n">
        <f aca="false">L152-M152</f>
        <v>0</v>
      </c>
      <c r="O152" s="25" t="n">
        <f aca="false">IF(N152&gt;=-0.0000001,A152,O151)</f>
        <v>46045</v>
      </c>
      <c r="P152" s="29" t="n">
        <f aca="false">IF(AND(N152&gt;=-0.0000001,N151&lt;0),1,0)</f>
        <v>1</v>
      </c>
      <c r="Q152" s="30" t="n">
        <f aca="false">IF(P152=1,A152-O151,"")</f>
        <v>2</v>
      </c>
    </row>
    <row r="153" customFormat="false" ht="15" hidden="false" customHeight="false" outlineLevel="0" collapsed="false">
      <c r="A153" s="25" t="n">
        <v>46049</v>
      </c>
      <c r="B153" s="26" t="s">
        <v>80</v>
      </c>
      <c r="C153" s="27" t="n">
        <v>-16103.75</v>
      </c>
      <c r="D153" s="28" t="n">
        <f aca="false">C153/$T$1*100</f>
        <v>-1.006484375</v>
      </c>
      <c r="E153" s="28" t="n">
        <f aca="false">E152+D153</f>
        <v>71.192015625</v>
      </c>
      <c r="F153" s="28" t="n">
        <f aca="false">MAX(0,MAX($E$2:E153))</f>
        <v>72.1985</v>
      </c>
      <c r="G153" s="28" t="n">
        <f aca="false">E153-F153</f>
        <v>-1.006484375</v>
      </c>
      <c r="H153" s="25" t="n">
        <f aca="false">IF(G153&gt;=-0.0000001,A153,H152)</f>
        <v>46045</v>
      </c>
      <c r="I153" s="29" t="n">
        <f aca="false">IF(AND(G153&gt;=-0.0000001,G152&lt;0),1,0)</f>
        <v>0</v>
      </c>
      <c r="J153" s="30" t="str">
        <f aca="false">IF(I153=1,A153-H152,"")</f>
        <v/>
      </c>
      <c r="K153" s="27" t="n">
        <f aca="false">IF(B153="Wednesday",0,C153)</f>
        <v>-16103.75</v>
      </c>
      <c r="L153" s="28" t="n">
        <f aca="false">L152+K153/$T$1*100</f>
        <v>82.19073375</v>
      </c>
      <c r="M153" s="28" t="n">
        <f aca="false">MAX(0,MAX($L$2:L153))</f>
        <v>83.197218125</v>
      </c>
      <c r="N153" s="28" t="n">
        <f aca="false">L153-M153</f>
        <v>-1.006484375</v>
      </c>
      <c r="O153" s="25" t="n">
        <f aca="false">IF(N153&gt;=-0.0000001,A153,O152)</f>
        <v>46045</v>
      </c>
      <c r="P153" s="29" t="n">
        <f aca="false">IF(AND(N153&gt;=-0.0000001,N152&lt;0),1,0)</f>
        <v>0</v>
      </c>
      <c r="Q153" s="30" t="str">
        <f aca="false">IF(P153=1,A153-O152,"")</f>
        <v/>
      </c>
    </row>
    <row r="154" customFormat="false" ht="15" hidden="false" customHeight="false" outlineLevel="0" collapsed="false">
      <c r="A154" s="25" t="n">
        <v>46050</v>
      </c>
      <c r="B154" s="26" t="s">
        <v>81</v>
      </c>
      <c r="C154" s="27" t="n">
        <v>4858.75</v>
      </c>
      <c r="D154" s="28" t="n">
        <f aca="false">C154/$T$1*100</f>
        <v>0.303671875</v>
      </c>
      <c r="E154" s="28" t="n">
        <f aca="false">E153+D154</f>
        <v>71.4956875</v>
      </c>
      <c r="F154" s="28" t="n">
        <f aca="false">MAX(0,MAX($E$2:E154))</f>
        <v>72.1985</v>
      </c>
      <c r="G154" s="28" t="n">
        <f aca="false">E154-F154</f>
        <v>-0.702812499999993</v>
      </c>
      <c r="H154" s="25" t="n">
        <f aca="false">IF(G154&gt;=-0.0000001,A154,H153)</f>
        <v>46045</v>
      </c>
      <c r="I154" s="29" t="n">
        <f aca="false">IF(AND(G154&gt;=-0.0000001,G153&lt;0),1,0)</f>
        <v>0</v>
      </c>
      <c r="J154" s="30" t="str">
        <f aca="false">IF(I154=1,A154-H153,"")</f>
        <v/>
      </c>
      <c r="K154" s="27" t="n">
        <f aca="false">IF(B154="Wednesday",0,C154)</f>
        <v>0</v>
      </c>
      <c r="L154" s="28" t="n">
        <f aca="false">L153+K154/$T$1*100</f>
        <v>82.19073375</v>
      </c>
      <c r="M154" s="28" t="n">
        <f aca="false">MAX(0,MAX($L$2:L154))</f>
        <v>83.197218125</v>
      </c>
      <c r="N154" s="28" t="n">
        <f aca="false">L154-M154</f>
        <v>-1.006484375</v>
      </c>
      <c r="O154" s="25" t="n">
        <f aca="false">IF(N154&gt;=-0.0000001,A154,O153)</f>
        <v>46045</v>
      </c>
      <c r="P154" s="29" t="n">
        <f aca="false">IF(AND(N154&gt;=-0.0000001,N153&lt;0),1,0)</f>
        <v>0</v>
      </c>
      <c r="Q154" s="30" t="str">
        <f aca="false">IF(P154=1,A154-O153,"")</f>
        <v/>
      </c>
    </row>
    <row r="155" customFormat="false" ht="15" hidden="false" customHeight="false" outlineLevel="0" collapsed="false">
      <c r="A155" s="25" t="n">
        <v>46051</v>
      </c>
      <c r="B155" s="26" t="s">
        <v>82</v>
      </c>
      <c r="C155" s="27" t="n">
        <v>6704.75</v>
      </c>
      <c r="D155" s="28" t="n">
        <f aca="false">C155/$T$1*100</f>
        <v>0.419046875</v>
      </c>
      <c r="E155" s="28" t="n">
        <f aca="false">E154+D155</f>
        <v>71.914734375</v>
      </c>
      <c r="F155" s="28" t="n">
        <f aca="false">MAX(0,MAX($E$2:E155))</f>
        <v>72.1985</v>
      </c>
      <c r="G155" s="28" t="n">
        <f aca="false">E155-F155</f>
        <v>-0.283765624999987</v>
      </c>
      <c r="H155" s="25" t="n">
        <f aca="false">IF(G155&gt;=-0.0000001,A155,H154)</f>
        <v>46045</v>
      </c>
      <c r="I155" s="29" t="n">
        <f aca="false">IF(AND(G155&gt;=-0.0000001,G154&lt;0),1,0)</f>
        <v>0</v>
      </c>
      <c r="J155" s="30" t="str">
        <f aca="false">IF(I155=1,A155-H154,"")</f>
        <v/>
      </c>
      <c r="K155" s="27" t="n">
        <f aca="false">IF(B155="Wednesday",0,C155)</f>
        <v>6704.75</v>
      </c>
      <c r="L155" s="28" t="n">
        <f aca="false">L154+K155/$T$1*100</f>
        <v>82.609780625</v>
      </c>
      <c r="M155" s="28" t="n">
        <f aca="false">MAX(0,MAX($L$2:L155))</f>
        <v>83.197218125</v>
      </c>
      <c r="N155" s="28" t="n">
        <f aca="false">L155-M155</f>
        <v>-0.587437499999993</v>
      </c>
      <c r="O155" s="25" t="n">
        <f aca="false">IF(N155&gt;=-0.0000001,A155,O154)</f>
        <v>46045</v>
      </c>
      <c r="P155" s="29" t="n">
        <f aca="false">IF(AND(N155&gt;=-0.0000001,N154&lt;0),1,0)</f>
        <v>0</v>
      </c>
      <c r="Q155" s="30" t="str">
        <f aca="false">IF(P155=1,A155-O154,"")</f>
        <v/>
      </c>
    </row>
    <row r="156" customFormat="false" ht="15" hidden="false" customHeight="false" outlineLevel="0" collapsed="false">
      <c r="A156" s="25" t="n">
        <v>46052</v>
      </c>
      <c r="B156" s="26" t="s">
        <v>83</v>
      </c>
      <c r="C156" s="27" t="n">
        <v>1446.25</v>
      </c>
      <c r="D156" s="28" t="n">
        <f aca="false">C156/$T$1*100</f>
        <v>0.090390625</v>
      </c>
      <c r="E156" s="28" t="n">
        <f aca="false">E155+D156</f>
        <v>72.005125</v>
      </c>
      <c r="F156" s="28" t="n">
        <f aca="false">MAX(0,MAX($E$2:E156))</f>
        <v>72.1985</v>
      </c>
      <c r="G156" s="28" t="n">
        <f aca="false">E156-F156</f>
        <v>-0.193374999999989</v>
      </c>
      <c r="H156" s="25" t="n">
        <f aca="false">IF(G156&gt;=-0.0000001,A156,H155)</f>
        <v>46045</v>
      </c>
      <c r="I156" s="29" t="n">
        <f aca="false">IF(AND(G156&gt;=-0.0000001,G155&lt;0),1,0)</f>
        <v>0</v>
      </c>
      <c r="J156" s="30" t="str">
        <f aca="false">IF(I156=1,A156-H155,"")</f>
        <v/>
      </c>
      <c r="K156" s="27" t="n">
        <f aca="false">IF(B156="Wednesday",0,C156)</f>
        <v>1446.25</v>
      </c>
      <c r="L156" s="28" t="n">
        <f aca="false">L155+K156/$T$1*100</f>
        <v>82.70017125</v>
      </c>
      <c r="M156" s="28" t="n">
        <f aca="false">MAX(0,MAX($L$2:L156))</f>
        <v>83.197218125</v>
      </c>
      <c r="N156" s="28" t="n">
        <f aca="false">L156-M156</f>
        <v>-0.497046874999995</v>
      </c>
      <c r="O156" s="25" t="n">
        <f aca="false">IF(N156&gt;=-0.0000001,A156,O155)</f>
        <v>46045</v>
      </c>
      <c r="P156" s="29" t="n">
        <f aca="false">IF(AND(N156&gt;=-0.0000001,N155&lt;0),1,0)</f>
        <v>0</v>
      </c>
      <c r="Q156" s="30" t="str">
        <f aca="false">IF(P156=1,A156-O155,"")</f>
        <v/>
      </c>
    </row>
    <row r="157" customFormat="false" ht="15" hidden="false" customHeight="false" outlineLevel="0" collapsed="false">
      <c r="A157" s="25" t="n">
        <v>46054</v>
      </c>
      <c r="B157" s="26" t="s">
        <v>116</v>
      </c>
      <c r="C157" s="27" t="n">
        <v>-56923.41</v>
      </c>
      <c r="D157" s="28" t="n">
        <f aca="false">C157/$T$1*100</f>
        <v>-3.557713125</v>
      </c>
      <c r="E157" s="28" t="n">
        <f aca="false">E156+D157</f>
        <v>68.447411875</v>
      </c>
      <c r="F157" s="28" t="n">
        <f aca="false">MAX(0,MAX($E$2:E157))</f>
        <v>72.1985</v>
      </c>
      <c r="G157" s="28" t="n">
        <f aca="false">E157-F157</f>
        <v>-3.751088125</v>
      </c>
      <c r="H157" s="25" t="n">
        <f aca="false">IF(G157&gt;=-0.0000001,A157,H156)</f>
        <v>46045</v>
      </c>
      <c r="I157" s="29" t="n">
        <f aca="false">IF(AND(G157&gt;=-0.0000001,G156&lt;0),1,0)</f>
        <v>0</v>
      </c>
      <c r="J157" s="30" t="str">
        <f aca="false">IF(I157=1,A157-H156,"")</f>
        <v/>
      </c>
      <c r="K157" s="27" t="n">
        <f aca="false">IF(B157="Wednesday",0,C157)</f>
        <v>-56923.41</v>
      </c>
      <c r="L157" s="28" t="n">
        <f aca="false">L156+K157/$T$1*100</f>
        <v>79.142458125</v>
      </c>
      <c r="M157" s="28" t="n">
        <f aca="false">MAX(0,MAX($L$2:L157))</f>
        <v>83.197218125</v>
      </c>
      <c r="N157" s="28" t="n">
        <f aca="false">L157-M157</f>
        <v>-4.05476</v>
      </c>
      <c r="O157" s="25" t="n">
        <f aca="false">IF(N157&gt;=-0.0000001,A157,O156)</f>
        <v>46045</v>
      </c>
      <c r="P157" s="29" t="n">
        <f aca="false">IF(AND(N157&gt;=-0.0000001,N156&lt;0),1,0)</f>
        <v>0</v>
      </c>
      <c r="Q157" s="30" t="str">
        <f aca="false">IF(P157=1,A157-O156,"")</f>
        <v/>
      </c>
    </row>
    <row r="158" customFormat="false" ht="15" hidden="false" customHeight="false" outlineLevel="0" collapsed="false">
      <c r="A158" s="25" t="n">
        <v>46055</v>
      </c>
      <c r="B158" s="26" t="s">
        <v>79</v>
      </c>
      <c r="C158" s="27" t="n">
        <v>-8268</v>
      </c>
      <c r="D158" s="28" t="n">
        <f aca="false">C158/$T$1*100</f>
        <v>-0.51675</v>
      </c>
      <c r="E158" s="28" t="n">
        <f aca="false">E157+D158</f>
        <v>67.930661875</v>
      </c>
      <c r="F158" s="28" t="n">
        <f aca="false">MAX(0,MAX($E$2:E158))</f>
        <v>72.1985</v>
      </c>
      <c r="G158" s="28" t="n">
        <f aca="false">E158-F158</f>
        <v>-4.267838125</v>
      </c>
      <c r="H158" s="25" t="n">
        <f aca="false">IF(G158&gt;=-0.0000001,A158,H157)</f>
        <v>46045</v>
      </c>
      <c r="I158" s="29" t="n">
        <f aca="false">IF(AND(G158&gt;=-0.0000001,G157&lt;0),1,0)</f>
        <v>0</v>
      </c>
      <c r="J158" s="30" t="str">
        <f aca="false">IF(I158=1,A158-H157,"")</f>
        <v/>
      </c>
      <c r="K158" s="27" t="n">
        <f aca="false">IF(B158="Wednesday",0,C158)</f>
        <v>-8268</v>
      </c>
      <c r="L158" s="28" t="n">
        <f aca="false">L157+K158/$T$1*100</f>
        <v>78.625708125</v>
      </c>
      <c r="M158" s="28" t="n">
        <f aca="false">MAX(0,MAX($L$2:L158))</f>
        <v>83.197218125</v>
      </c>
      <c r="N158" s="28" t="n">
        <f aca="false">L158-M158</f>
        <v>-4.57151</v>
      </c>
      <c r="O158" s="25" t="n">
        <f aca="false">IF(N158&gt;=-0.0000001,A158,O157)</f>
        <v>46045</v>
      </c>
      <c r="P158" s="29" t="n">
        <f aca="false">IF(AND(N158&gt;=-0.0000001,N157&lt;0),1,0)</f>
        <v>0</v>
      </c>
      <c r="Q158" s="30" t="str">
        <f aca="false">IF(P158=1,A158-O157,"")</f>
        <v/>
      </c>
    </row>
    <row r="159" customFormat="false" ht="15" hidden="false" customHeight="false" outlineLevel="0" collapsed="false">
      <c r="A159" s="25" t="n">
        <v>46056</v>
      </c>
      <c r="B159" s="26" t="s">
        <v>80</v>
      </c>
      <c r="C159" s="27" t="n">
        <v>61038.25</v>
      </c>
      <c r="D159" s="28" t="n">
        <f aca="false">C159/$T$1*100</f>
        <v>3.814890625</v>
      </c>
      <c r="E159" s="28" t="n">
        <f aca="false">E158+D159</f>
        <v>71.7455525</v>
      </c>
      <c r="F159" s="28" t="n">
        <f aca="false">MAX(0,MAX($E$2:E159))</f>
        <v>72.1985</v>
      </c>
      <c r="G159" s="28" t="n">
        <f aca="false">E159-F159</f>
        <v>-0.452947499999993</v>
      </c>
      <c r="H159" s="25" t="n">
        <f aca="false">IF(G159&gt;=-0.0000001,A159,H158)</f>
        <v>46045</v>
      </c>
      <c r="I159" s="29" t="n">
        <f aca="false">IF(AND(G159&gt;=-0.0000001,G158&lt;0),1,0)</f>
        <v>0</v>
      </c>
      <c r="J159" s="30" t="str">
        <f aca="false">IF(I159=1,A159-H158,"")</f>
        <v/>
      </c>
      <c r="K159" s="27" t="n">
        <f aca="false">IF(B159="Wednesday",0,C159)</f>
        <v>61038.25</v>
      </c>
      <c r="L159" s="28" t="n">
        <f aca="false">L158+K159/$T$1*100</f>
        <v>82.44059875</v>
      </c>
      <c r="M159" s="28" t="n">
        <f aca="false">MAX(0,MAX($L$2:L159))</f>
        <v>83.197218125</v>
      </c>
      <c r="N159" s="28" t="n">
        <f aca="false">L159-M159</f>
        <v>-0.756619375</v>
      </c>
      <c r="O159" s="25" t="n">
        <f aca="false">IF(N159&gt;=-0.0000001,A159,O158)</f>
        <v>46045</v>
      </c>
      <c r="P159" s="29" t="n">
        <f aca="false">IF(AND(N159&gt;=-0.0000001,N158&lt;0),1,0)</f>
        <v>0</v>
      </c>
      <c r="Q159" s="30" t="str">
        <f aca="false">IF(P159=1,A159-O158,"")</f>
        <v/>
      </c>
    </row>
    <row r="160" customFormat="false" ht="15" hidden="false" customHeight="false" outlineLevel="0" collapsed="false">
      <c r="A160" s="25" t="n">
        <v>46057</v>
      </c>
      <c r="B160" s="26" t="s">
        <v>81</v>
      </c>
      <c r="C160" s="27" t="n">
        <v>-3217.5</v>
      </c>
      <c r="D160" s="28" t="n">
        <f aca="false">C160/$T$1*100</f>
        <v>-0.20109375</v>
      </c>
      <c r="E160" s="28" t="n">
        <f aca="false">E159+D160</f>
        <v>71.54445875</v>
      </c>
      <c r="F160" s="28" t="n">
        <f aca="false">MAX(0,MAX($E$2:E160))</f>
        <v>72.1985</v>
      </c>
      <c r="G160" s="28" t="n">
        <f aca="false">E160-F160</f>
        <v>-0.654041249999992</v>
      </c>
      <c r="H160" s="25" t="n">
        <f aca="false">IF(G160&gt;=-0.0000001,A160,H159)</f>
        <v>46045</v>
      </c>
      <c r="I160" s="29" t="n">
        <f aca="false">IF(AND(G160&gt;=-0.0000001,G159&lt;0),1,0)</f>
        <v>0</v>
      </c>
      <c r="J160" s="30" t="str">
        <f aca="false">IF(I160=1,A160-H159,"")</f>
        <v/>
      </c>
      <c r="K160" s="27" t="n">
        <f aca="false">IF(B160="Wednesday",0,C160)</f>
        <v>0</v>
      </c>
      <c r="L160" s="28" t="n">
        <f aca="false">L159+K160/$T$1*100</f>
        <v>82.44059875</v>
      </c>
      <c r="M160" s="28" t="n">
        <f aca="false">MAX(0,MAX($L$2:L160))</f>
        <v>83.197218125</v>
      </c>
      <c r="N160" s="28" t="n">
        <f aca="false">L160-M160</f>
        <v>-0.756619375</v>
      </c>
      <c r="O160" s="25" t="n">
        <f aca="false">IF(N160&gt;=-0.0000001,A160,O159)</f>
        <v>46045</v>
      </c>
      <c r="P160" s="29" t="n">
        <f aca="false">IF(AND(N160&gt;=-0.0000001,N159&lt;0),1,0)</f>
        <v>0</v>
      </c>
      <c r="Q160" s="30" t="str">
        <f aca="false">IF(P160=1,A160-O159,"")</f>
        <v/>
      </c>
    </row>
    <row r="161" customFormat="false" ht="15" hidden="false" customHeight="false" outlineLevel="0" collapsed="false">
      <c r="A161" s="25" t="n">
        <v>46058</v>
      </c>
      <c r="B161" s="26" t="s">
        <v>82</v>
      </c>
      <c r="C161" s="27" t="n">
        <v>31817.5</v>
      </c>
      <c r="D161" s="28" t="n">
        <f aca="false">C161/$T$1*100</f>
        <v>1.98859375</v>
      </c>
      <c r="E161" s="28" t="n">
        <f aca="false">E160+D161</f>
        <v>73.5330525</v>
      </c>
      <c r="F161" s="28" t="n">
        <f aca="false">MAX(0,MAX($E$2:E161))</f>
        <v>73.5330525</v>
      </c>
      <c r="G161" s="28" t="n">
        <f aca="false">E161-F161</f>
        <v>0</v>
      </c>
      <c r="H161" s="25" t="n">
        <f aca="false">IF(G161&gt;=-0.0000001,A161,H160)</f>
        <v>46058</v>
      </c>
      <c r="I161" s="29" t="n">
        <f aca="false">IF(AND(G161&gt;=-0.0000001,G160&lt;0),1,0)</f>
        <v>1</v>
      </c>
      <c r="J161" s="30" t="n">
        <f aca="false">IF(I161=1,A161-H160,"")</f>
        <v>13</v>
      </c>
      <c r="K161" s="27" t="n">
        <f aca="false">IF(B161="Wednesday",0,C161)</f>
        <v>31817.5</v>
      </c>
      <c r="L161" s="28" t="n">
        <f aca="false">L160+K161/$T$1*100</f>
        <v>84.4291925</v>
      </c>
      <c r="M161" s="28" t="n">
        <f aca="false">MAX(0,MAX($L$2:L161))</f>
        <v>84.4291925</v>
      </c>
      <c r="N161" s="28" t="n">
        <f aca="false">L161-M161</f>
        <v>0</v>
      </c>
      <c r="O161" s="25" t="n">
        <f aca="false">IF(N161&gt;=-0.0000001,A161,O160)</f>
        <v>46058</v>
      </c>
      <c r="P161" s="29" t="n">
        <f aca="false">IF(AND(N161&gt;=-0.0000001,N160&lt;0),1,0)</f>
        <v>1</v>
      </c>
      <c r="Q161" s="30" t="n">
        <f aca="false">IF(P161=1,A161-O160,"")</f>
        <v>13</v>
      </c>
    </row>
    <row r="162" customFormat="false" ht="15" hidden="false" customHeight="false" outlineLevel="0" collapsed="false">
      <c r="A162" s="25" t="n">
        <v>46059</v>
      </c>
      <c r="B162" s="26" t="s">
        <v>83</v>
      </c>
      <c r="C162" s="27" t="n">
        <v>27469</v>
      </c>
      <c r="D162" s="28" t="n">
        <f aca="false">C162/$T$1*100</f>
        <v>1.7168125</v>
      </c>
      <c r="E162" s="28" t="n">
        <f aca="false">E161+D162</f>
        <v>75.249865</v>
      </c>
      <c r="F162" s="28" t="n">
        <f aca="false">MAX(0,MAX($E$2:E162))</f>
        <v>75.249865</v>
      </c>
      <c r="G162" s="28" t="n">
        <f aca="false">E162-F162</f>
        <v>0</v>
      </c>
      <c r="H162" s="25" t="n">
        <f aca="false">IF(G162&gt;=-0.0000001,A162,H161)</f>
        <v>46059</v>
      </c>
      <c r="I162" s="29" t="n">
        <f aca="false">IF(AND(G162&gt;=-0.0000001,G161&lt;0),1,0)</f>
        <v>0</v>
      </c>
      <c r="J162" s="30" t="str">
        <f aca="false">IF(I162=1,A162-H161,"")</f>
        <v/>
      </c>
      <c r="K162" s="27" t="n">
        <f aca="false">IF(B162="Wednesday",0,C162)</f>
        <v>27469</v>
      </c>
      <c r="L162" s="28" t="n">
        <f aca="false">L161+K162/$T$1*100</f>
        <v>86.146005</v>
      </c>
      <c r="M162" s="28" t="n">
        <f aca="false">MAX(0,MAX($L$2:L162))</f>
        <v>86.146005</v>
      </c>
      <c r="N162" s="28" t="n">
        <f aca="false">L162-M162</f>
        <v>0</v>
      </c>
      <c r="O162" s="25" t="n">
        <f aca="false">IF(N162&gt;=-0.0000001,A162,O161)</f>
        <v>46059</v>
      </c>
      <c r="P162" s="29" t="n">
        <f aca="false">IF(AND(N162&gt;=-0.0000001,N161&lt;0),1,0)</f>
        <v>0</v>
      </c>
      <c r="Q162" s="30" t="str">
        <f aca="false">IF(P162=1,A162-O161,"")</f>
        <v/>
      </c>
    </row>
    <row r="163" customFormat="false" ht="15" hidden="false" customHeight="false" outlineLevel="0" collapsed="false">
      <c r="A163" s="25" t="n">
        <v>46062</v>
      </c>
      <c r="B163" s="26" t="s">
        <v>79</v>
      </c>
      <c r="C163" s="27" t="n">
        <v>-399.75</v>
      </c>
      <c r="D163" s="28" t="n">
        <f aca="false">C163/$T$1*100</f>
        <v>-0.024984375</v>
      </c>
      <c r="E163" s="28" t="n">
        <f aca="false">E162+D163</f>
        <v>75.224880625</v>
      </c>
      <c r="F163" s="28" t="n">
        <f aca="false">MAX(0,MAX($E$2:E163))</f>
        <v>75.249865</v>
      </c>
      <c r="G163" s="28" t="n">
        <f aca="false">E163-F163</f>
        <v>-0.0249843750000025</v>
      </c>
      <c r="H163" s="25" t="n">
        <f aca="false">IF(G163&gt;=-0.0000001,A163,H162)</f>
        <v>46059</v>
      </c>
      <c r="I163" s="29" t="n">
        <f aca="false">IF(AND(G163&gt;=-0.0000001,G162&lt;0),1,0)</f>
        <v>0</v>
      </c>
      <c r="J163" s="30" t="str">
        <f aca="false">IF(I163=1,A163-H162,"")</f>
        <v/>
      </c>
      <c r="K163" s="27" t="n">
        <f aca="false">IF(B163="Wednesday",0,C163)</f>
        <v>-399.75</v>
      </c>
      <c r="L163" s="28" t="n">
        <f aca="false">L162+K163/$T$1*100</f>
        <v>86.121020625</v>
      </c>
      <c r="M163" s="28" t="n">
        <f aca="false">MAX(0,MAX($L$2:L163))</f>
        <v>86.146005</v>
      </c>
      <c r="N163" s="28" t="n">
        <f aca="false">L163-M163</f>
        <v>-0.0249843750000025</v>
      </c>
      <c r="O163" s="25" t="n">
        <f aca="false">IF(N163&gt;=-0.0000001,A163,O162)</f>
        <v>46059</v>
      </c>
      <c r="P163" s="29" t="n">
        <f aca="false">IF(AND(N163&gt;=-0.0000001,N162&lt;0),1,0)</f>
        <v>0</v>
      </c>
      <c r="Q163" s="30" t="str">
        <f aca="false">IF(P163=1,A163-O162,"")</f>
        <v/>
      </c>
    </row>
    <row r="164" customFormat="false" ht="15" hidden="false" customHeight="false" outlineLevel="0" collapsed="false">
      <c r="A164" s="25" t="n">
        <v>46063</v>
      </c>
      <c r="B164" s="26" t="s">
        <v>80</v>
      </c>
      <c r="C164" s="27" t="n">
        <v>45597.5</v>
      </c>
      <c r="D164" s="28" t="n">
        <f aca="false">C164/$T$1*100</f>
        <v>2.84984375</v>
      </c>
      <c r="E164" s="28" t="n">
        <f aca="false">E163+D164</f>
        <v>78.074724375</v>
      </c>
      <c r="F164" s="28" t="n">
        <f aca="false">MAX(0,MAX($E$2:E164))</f>
        <v>78.074724375</v>
      </c>
      <c r="G164" s="28" t="n">
        <f aca="false">E164-F164</f>
        <v>0</v>
      </c>
      <c r="H164" s="25" t="n">
        <f aca="false">IF(G164&gt;=-0.0000001,A164,H163)</f>
        <v>46063</v>
      </c>
      <c r="I164" s="29" t="n">
        <f aca="false">IF(AND(G164&gt;=-0.0000001,G163&lt;0),1,0)</f>
        <v>1</v>
      </c>
      <c r="J164" s="30" t="n">
        <f aca="false">IF(I164=1,A164-H163,"")</f>
        <v>4</v>
      </c>
      <c r="K164" s="27" t="n">
        <f aca="false">IF(B164="Wednesday",0,C164)</f>
        <v>45597.5</v>
      </c>
      <c r="L164" s="28" t="n">
        <f aca="false">L163+K164/$T$1*100</f>
        <v>88.970864375</v>
      </c>
      <c r="M164" s="28" t="n">
        <f aca="false">MAX(0,MAX($L$2:L164))</f>
        <v>88.970864375</v>
      </c>
      <c r="N164" s="28" t="n">
        <f aca="false">L164-M164</f>
        <v>0</v>
      </c>
      <c r="O164" s="25" t="n">
        <f aca="false">IF(N164&gt;=-0.0000001,A164,O163)</f>
        <v>46063</v>
      </c>
      <c r="P164" s="29" t="n">
        <f aca="false">IF(AND(N164&gt;=-0.0000001,N163&lt;0),1,0)</f>
        <v>1</v>
      </c>
      <c r="Q164" s="30" t="n">
        <f aca="false">IF(P164=1,A164-O163,"")</f>
        <v>4</v>
      </c>
    </row>
    <row r="165" customFormat="false" ht="15" hidden="false" customHeight="false" outlineLevel="0" collapsed="false">
      <c r="A165" s="25" t="n">
        <v>46064</v>
      </c>
      <c r="B165" s="26" t="s">
        <v>81</v>
      </c>
      <c r="C165" s="27" t="n">
        <v>2453.75</v>
      </c>
      <c r="D165" s="28" t="n">
        <f aca="false">C165/$T$1*100</f>
        <v>0.153359375</v>
      </c>
      <c r="E165" s="28" t="n">
        <f aca="false">E164+D165</f>
        <v>78.22808375</v>
      </c>
      <c r="F165" s="28" t="n">
        <f aca="false">MAX(0,MAX($E$2:E165))</f>
        <v>78.22808375</v>
      </c>
      <c r="G165" s="28" t="n">
        <f aca="false">E165-F165</f>
        <v>0</v>
      </c>
      <c r="H165" s="25" t="n">
        <f aca="false">IF(G165&gt;=-0.0000001,A165,H164)</f>
        <v>46064</v>
      </c>
      <c r="I165" s="29" t="n">
        <f aca="false">IF(AND(G165&gt;=-0.0000001,G164&lt;0),1,0)</f>
        <v>0</v>
      </c>
      <c r="J165" s="30" t="str">
        <f aca="false">IF(I165=1,A165-H164,"")</f>
        <v/>
      </c>
      <c r="K165" s="27" t="n">
        <f aca="false">IF(B165="Wednesday",0,C165)</f>
        <v>0</v>
      </c>
      <c r="L165" s="28" t="n">
        <f aca="false">L164+K165/$T$1*100</f>
        <v>88.970864375</v>
      </c>
      <c r="M165" s="28" t="n">
        <f aca="false">MAX(0,MAX($L$2:L165))</f>
        <v>88.970864375</v>
      </c>
      <c r="N165" s="28" t="n">
        <f aca="false">L165-M165</f>
        <v>0</v>
      </c>
      <c r="O165" s="25" t="n">
        <f aca="false">IF(N165&gt;=-0.0000001,A165,O164)</f>
        <v>46064</v>
      </c>
      <c r="P165" s="29" t="n">
        <f aca="false">IF(AND(N165&gt;=-0.0000001,N164&lt;0),1,0)</f>
        <v>0</v>
      </c>
      <c r="Q165" s="30" t="str">
        <f aca="false">IF(P165=1,A165-O164,"")</f>
        <v/>
      </c>
    </row>
    <row r="166" customFormat="false" ht="15" hidden="false" customHeight="false" outlineLevel="0" collapsed="false">
      <c r="A166" s="25" t="n">
        <v>46065</v>
      </c>
      <c r="B166" s="26" t="s">
        <v>82</v>
      </c>
      <c r="C166" s="27" t="n">
        <v>-38008.75</v>
      </c>
      <c r="D166" s="28" t="n">
        <f aca="false">C166/$T$1*100</f>
        <v>-2.375546875</v>
      </c>
      <c r="E166" s="28" t="n">
        <f aca="false">E165+D166</f>
        <v>75.852536875</v>
      </c>
      <c r="F166" s="28" t="n">
        <f aca="false">MAX(0,MAX($E$2:E166))</f>
        <v>78.22808375</v>
      </c>
      <c r="G166" s="28" t="n">
        <f aca="false">E166-F166</f>
        <v>-2.375546875</v>
      </c>
      <c r="H166" s="25" t="n">
        <f aca="false">IF(G166&gt;=-0.0000001,A166,H165)</f>
        <v>46064</v>
      </c>
      <c r="I166" s="29" t="n">
        <f aca="false">IF(AND(G166&gt;=-0.0000001,G165&lt;0),1,0)</f>
        <v>0</v>
      </c>
      <c r="J166" s="30" t="str">
        <f aca="false">IF(I166=1,A166-H165,"")</f>
        <v/>
      </c>
      <c r="K166" s="27" t="n">
        <f aca="false">IF(B166="Wednesday",0,C166)</f>
        <v>-38008.75</v>
      </c>
      <c r="L166" s="28" t="n">
        <f aca="false">L165+K166/$T$1*100</f>
        <v>86.5953175</v>
      </c>
      <c r="M166" s="28" t="n">
        <f aca="false">MAX(0,MAX($L$2:L166))</f>
        <v>88.970864375</v>
      </c>
      <c r="N166" s="28" t="n">
        <f aca="false">L166-M166</f>
        <v>-2.375546875</v>
      </c>
      <c r="O166" s="25" t="n">
        <f aca="false">IF(N166&gt;=-0.0000001,A166,O165)</f>
        <v>46064</v>
      </c>
      <c r="P166" s="29" t="n">
        <f aca="false">IF(AND(N166&gt;=-0.0000001,N165&lt;0),1,0)</f>
        <v>0</v>
      </c>
      <c r="Q166" s="30" t="str">
        <f aca="false">IF(P166=1,A166-O165,"")</f>
        <v/>
      </c>
    </row>
    <row r="167" customFormat="false" ht="15" hidden="false" customHeight="false" outlineLevel="0" collapsed="false">
      <c r="A167" s="25" t="n">
        <v>46066</v>
      </c>
      <c r="B167" s="26" t="s">
        <v>83</v>
      </c>
      <c r="C167" s="27" t="n">
        <v>43582.5</v>
      </c>
      <c r="D167" s="28" t="n">
        <f aca="false">C167/$T$1*100</f>
        <v>2.72390625</v>
      </c>
      <c r="E167" s="28" t="n">
        <f aca="false">E166+D167</f>
        <v>78.576443125</v>
      </c>
      <c r="F167" s="28" t="n">
        <f aca="false">MAX(0,MAX($E$2:E167))</f>
        <v>78.576443125</v>
      </c>
      <c r="G167" s="28" t="n">
        <f aca="false">E167-F167</f>
        <v>0</v>
      </c>
      <c r="H167" s="25" t="n">
        <f aca="false">IF(G167&gt;=-0.0000001,A167,H166)</f>
        <v>46066</v>
      </c>
      <c r="I167" s="29" t="n">
        <f aca="false">IF(AND(G167&gt;=-0.0000001,G166&lt;0),1,0)</f>
        <v>1</v>
      </c>
      <c r="J167" s="30" t="n">
        <f aca="false">IF(I167=1,A167-H166,"")</f>
        <v>2</v>
      </c>
      <c r="K167" s="27" t="n">
        <f aca="false">IF(B167="Wednesday",0,C167)</f>
        <v>43582.5</v>
      </c>
      <c r="L167" s="28" t="n">
        <f aca="false">L166+K167/$T$1*100</f>
        <v>89.31922375</v>
      </c>
      <c r="M167" s="28" t="n">
        <f aca="false">MAX(0,MAX($L$2:L167))</f>
        <v>89.31922375</v>
      </c>
      <c r="N167" s="28" t="n">
        <f aca="false">L167-M167</f>
        <v>0</v>
      </c>
      <c r="O167" s="25" t="n">
        <f aca="false">IF(N167&gt;=-0.0000001,A167,O166)</f>
        <v>46066</v>
      </c>
      <c r="P167" s="29" t="n">
        <f aca="false">IF(AND(N167&gt;=-0.0000001,N166&lt;0),1,0)</f>
        <v>1</v>
      </c>
      <c r="Q167" s="30" t="n">
        <f aca="false">IF(P167=1,A167-O166,"")</f>
        <v>2</v>
      </c>
    </row>
    <row r="168" customFormat="false" ht="15" hidden="false" customHeight="false" outlineLevel="0" collapsed="false">
      <c r="A168" s="25" t="n">
        <v>46069</v>
      </c>
      <c r="B168" s="26" t="s">
        <v>79</v>
      </c>
      <c r="C168" s="27" t="n">
        <v>-52</v>
      </c>
      <c r="D168" s="28" t="n">
        <f aca="false">C168/$T$1*100</f>
        <v>-0.00325</v>
      </c>
      <c r="E168" s="28" t="n">
        <f aca="false">E167+D168</f>
        <v>78.573193125</v>
      </c>
      <c r="F168" s="28" t="n">
        <f aca="false">MAX(0,MAX($E$2:E168))</f>
        <v>78.576443125</v>
      </c>
      <c r="G168" s="28" t="n">
        <f aca="false">E168-F168</f>
        <v>-0.0032499999999942</v>
      </c>
      <c r="H168" s="25" t="n">
        <f aca="false">IF(G168&gt;=-0.0000001,A168,H167)</f>
        <v>46066</v>
      </c>
      <c r="I168" s="29" t="n">
        <f aca="false">IF(AND(G168&gt;=-0.0000001,G167&lt;0),1,0)</f>
        <v>0</v>
      </c>
      <c r="J168" s="30" t="str">
        <f aca="false">IF(I168=1,A168-H167,"")</f>
        <v/>
      </c>
      <c r="K168" s="27" t="n">
        <f aca="false">IF(B168="Wednesday",0,C168)</f>
        <v>-52</v>
      </c>
      <c r="L168" s="28" t="n">
        <f aca="false">L167+K168/$T$1*100</f>
        <v>89.31597375</v>
      </c>
      <c r="M168" s="28" t="n">
        <f aca="false">MAX(0,MAX($L$2:L168))</f>
        <v>89.31922375</v>
      </c>
      <c r="N168" s="28" t="n">
        <f aca="false">L168-M168</f>
        <v>-0.0032499999999942</v>
      </c>
      <c r="O168" s="25" t="n">
        <f aca="false">IF(N168&gt;=-0.0000001,A168,O167)</f>
        <v>46066</v>
      </c>
      <c r="P168" s="29" t="n">
        <f aca="false">IF(AND(N168&gt;=-0.0000001,N167&lt;0),1,0)</f>
        <v>0</v>
      </c>
      <c r="Q168" s="30" t="str">
        <f aca="false">IF(P168=1,A168-O167,"")</f>
        <v/>
      </c>
    </row>
    <row r="169" customFormat="false" ht="15" hidden="false" customHeight="false" outlineLevel="0" collapsed="false">
      <c r="A169" s="25" t="n">
        <v>46070</v>
      </c>
      <c r="B169" s="26" t="s">
        <v>80</v>
      </c>
      <c r="C169" s="27" t="n">
        <v>23422.75</v>
      </c>
      <c r="D169" s="28" t="n">
        <f aca="false">C169/$T$1*100</f>
        <v>1.463921875</v>
      </c>
      <c r="E169" s="28" t="n">
        <f aca="false">E168+D169</f>
        <v>80.037115</v>
      </c>
      <c r="F169" s="28" t="n">
        <f aca="false">MAX(0,MAX($E$2:E169))</f>
        <v>80.037115</v>
      </c>
      <c r="G169" s="28" t="n">
        <f aca="false">E169-F169</f>
        <v>0</v>
      </c>
      <c r="H169" s="25" t="n">
        <f aca="false">IF(G169&gt;=-0.0000001,A169,H168)</f>
        <v>46070</v>
      </c>
      <c r="I169" s="29" t="n">
        <f aca="false">IF(AND(G169&gt;=-0.0000001,G168&lt;0),1,0)</f>
        <v>1</v>
      </c>
      <c r="J169" s="30" t="n">
        <f aca="false">IF(I169=1,A169-H168,"")</f>
        <v>4</v>
      </c>
      <c r="K169" s="27" t="n">
        <f aca="false">IF(B169="Wednesday",0,C169)</f>
        <v>23422.75</v>
      </c>
      <c r="L169" s="28" t="n">
        <f aca="false">L168+K169/$T$1*100</f>
        <v>90.779895625</v>
      </c>
      <c r="M169" s="28" t="n">
        <f aca="false">MAX(0,MAX($L$2:L169))</f>
        <v>90.779895625</v>
      </c>
      <c r="N169" s="28" t="n">
        <f aca="false">L169-M169</f>
        <v>0</v>
      </c>
      <c r="O169" s="25" t="n">
        <f aca="false">IF(N169&gt;=-0.0000001,A169,O168)</f>
        <v>46070</v>
      </c>
      <c r="P169" s="29" t="n">
        <f aca="false">IF(AND(N169&gt;=-0.0000001,N168&lt;0),1,0)</f>
        <v>1</v>
      </c>
      <c r="Q169" s="30" t="n">
        <f aca="false">IF(P169=1,A169-O168,"")</f>
        <v>4</v>
      </c>
    </row>
    <row r="170" customFormat="false" ht="15" hidden="false" customHeight="false" outlineLevel="0" collapsed="false">
      <c r="A170" s="25" t="n">
        <v>46071</v>
      </c>
      <c r="B170" s="26" t="s">
        <v>81</v>
      </c>
      <c r="C170" s="27" t="n">
        <v>-36205</v>
      </c>
      <c r="D170" s="28" t="n">
        <f aca="false">C170/$T$1*100</f>
        <v>-2.2628125</v>
      </c>
      <c r="E170" s="28" t="n">
        <f aca="false">E169+D170</f>
        <v>77.7743025</v>
      </c>
      <c r="F170" s="28" t="n">
        <f aca="false">MAX(0,MAX($E$2:E170))</f>
        <v>80.037115</v>
      </c>
      <c r="G170" s="28" t="n">
        <f aca="false">E170-F170</f>
        <v>-2.2628125</v>
      </c>
      <c r="H170" s="25" t="n">
        <f aca="false">IF(G170&gt;=-0.0000001,A170,H169)</f>
        <v>46070</v>
      </c>
      <c r="I170" s="29" t="n">
        <f aca="false">IF(AND(G170&gt;=-0.0000001,G169&lt;0),1,0)</f>
        <v>0</v>
      </c>
      <c r="J170" s="30" t="str">
        <f aca="false">IF(I170=1,A170-H169,"")</f>
        <v/>
      </c>
      <c r="K170" s="27" t="n">
        <f aca="false">IF(B170="Wednesday",0,C170)</f>
        <v>0</v>
      </c>
      <c r="L170" s="28" t="n">
        <f aca="false">L169+K170/$T$1*100</f>
        <v>90.779895625</v>
      </c>
      <c r="M170" s="28" t="n">
        <f aca="false">MAX(0,MAX($L$2:L170))</f>
        <v>90.779895625</v>
      </c>
      <c r="N170" s="28" t="n">
        <f aca="false">L170-M170</f>
        <v>0</v>
      </c>
      <c r="O170" s="25" t="n">
        <f aca="false">IF(N170&gt;=-0.0000001,A170,O169)</f>
        <v>46071</v>
      </c>
      <c r="P170" s="29" t="n">
        <f aca="false">IF(AND(N170&gt;=-0.0000001,N169&lt;0),1,0)</f>
        <v>0</v>
      </c>
      <c r="Q170" s="30" t="str">
        <f aca="false">IF(P170=1,A170-O169,"")</f>
        <v/>
      </c>
    </row>
    <row r="171" customFormat="false" ht="15" hidden="false" customHeight="false" outlineLevel="0" collapsed="false">
      <c r="A171" s="25" t="n">
        <v>46072</v>
      </c>
      <c r="B171" s="26" t="s">
        <v>82</v>
      </c>
      <c r="C171" s="27" t="n">
        <v>13000</v>
      </c>
      <c r="D171" s="28" t="n">
        <f aca="false">C171/$T$1*100</f>
        <v>0.8125</v>
      </c>
      <c r="E171" s="28" t="n">
        <f aca="false">E170+D171</f>
        <v>78.5868025</v>
      </c>
      <c r="F171" s="28" t="n">
        <f aca="false">MAX(0,MAX($E$2:E171))</f>
        <v>80.037115</v>
      </c>
      <c r="G171" s="28" t="n">
        <f aca="false">E171-F171</f>
        <v>-1.4503125</v>
      </c>
      <c r="H171" s="25" t="n">
        <f aca="false">IF(G171&gt;=-0.0000001,A171,H170)</f>
        <v>46070</v>
      </c>
      <c r="I171" s="29" t="n">
        <f aca="false">IF(AND(G171&gt;=-0.0000001,G170&lt;0),1,0)</f>
        <v>0</v>
      </c>
      <c r="J171" s="30" t="str">
        <f aca="false">IF(I171=1,A171-H170,"")</f>
        <v/>
      </c>
      <c r="K171" s="27" t="n">
        <f aca="false">IF(B171="Wednesday",0,C171)</f>
        <v>13000</v>
      </c>
      <c r="L171" s="28" t="n">
        <f aca="false">L170+K171/$T$1*100</f>
        <v>91.592395625</v>
      </c>
      <c r="M171" s="28" t="n">
        <f aca="false">MAX(0,MAX($L$2:L171))</f>
        <v>91.592395625</v>
      </c>
      <c r="N171" s="28" t="n">
        <f aca="false">L171-M171</f>
        <v>0</v>
      </c>
      <c r="O171" s="25" t="n">
        <f aca="false">IF(N171&gt;=-0.0000001,A171,O170)</f>
        <v>46072</v>
      </c>
      <c r="P171" s="29" t="n">
        <f aca="false">IF(AND(N171&gt;=-0.0000001,N170&lt;0),1,0)</f>
        <v>0</v>
      </c>
      <c r="Q171" s="30" t="str">
        <f aca="false">IF(P171=1,A171-O170,"")</f>
        <v/>
      </c>
    </row>
    <row r="172" customFormat="false" ht="15" hidden="false" customHeight="false" outlineLevel="0" collapsed="false">
      <c r="A172" s="25" t="n">
        <v>46073</v>
      </c>
      <c r="B172" s="26" t="s">
        <v>83</v>
      </c>
      <c r="C172" s="27" t="n">
        <v>19516.25</v>
      </c>
      <c r="D172" s="28" t="n">
        <f aca="false">C172/$T$1*100</f>
        <v>1.219765625</v>
      </c>
      <c r="E172" s="28" t="n">
        <f aca="false">E171+D172</f>
        <v>79.806568125</v>
      </c>
      <c r="F172" s="28" t="n">
        <f aca="false">MAX(0,MAX($E$2:E172))</f>
        <v>80.037115</v>
      </c>
      <c r="G172" s="28" t="n">
        <f aca="false">E172-F172</f>
        <v>-0.230546875000002</v>
      </c>
      <c r="H172" s="25" t="n">
        <f aca="false">IF(G172&gt;=-0.0000001,A172,H171)</f>
        <v>46070</v>
      </c>
      <c r="I172" s="29" t="n">
        <f aca="false">IF(AND(G172&gt;=-0.0000001,G171&lt;0),1,0)</f>
        <v>0</v>
      </c>
      <c r="J172" s="30" t="str">
        <f aca="false">IF(I172=1,A172-H171,"")</f>
        <v/>
      </c>
      <c r="K172" s="27" t="n">
        <f aca="false">IF(B172="Wednesday",0,C172)</f>
        <v>19516.25</v>
      </c>
      <c r="L172" s="28" t="n">
        <f aca="false">L171+K172/$T$1*100</f>
        <v>92.81216125</v>
      </c>
      <c r="M172" s="28" t="n">
        <f aca="false">MAX(0,MAX($L$2:L172))</f>
        <v>92.81216125</v>
      </c>
      <c r="N172" s="28" t="n">
        <f aca="false">L172-M172</f>
        <v>0</v>
      </c>
      <c r="O172" s="25" t="n">
        <f aca="false">IF(N172&gt;=-0.0000001,A172,O171)</f>
        <v>46073</v>
      </c>
      <c r="P172" s="29" t="n">
        <f aca="false">IF(AND(N172&gt;=-0.0000001,N171&lt;0),1,0)</f>
        <v>0</v>
      </c>
      <c r="Q172" s="30" t="str">
        <f aca="false">IF(P172=1,A172-O171,"")</f>
        <v/>
      </c>
    </row>
    <row r="173" customFormat="false" ht="15" hidden="false" customHeight="false" outlineLevel="0" collapsed="false">
      <c r="A173" s="25" t="n">
        <v>46076</v>
      </c>
      <c r="B173" s="26" t="s">
        <v>79</v>
      </c>
      <c r="C173" s="27" t="n">
        <v>-28765.75</v>
      </c>
      <c r="D173" s="28" t="n">
        <f aca="false">C173/$T$1*100</f>
        <v>-1.797859375</v>
      </c>
      <c r="E173" s="28" t="n">
        <f aca="false">E172+D173</f>
        <v>78.00870875</v>
      </c>
      <c r="F173" s="28" t="n">
        <f aca="false">MAX(0,MAX($E$2:E173))</f>
        <v>80.037115</v>
      </c>
      <c r="G173" s="28" t="n">
        <f aca="false">E173-F173</f>
        <v>-2.02840625</v>
      </c>
      <c r="H173" s="25" t="n">
        <f aca="false">IF(G173&gt;=-0.0000001,A173,H172)</f>
        <v>46070</v>
      </c>
      <c r="I173" s="29" t="n">
        <f aca="false">IF(AND(G173&gt;=-0.0000001,G172&lt;0),1,0)</f>
        <v>0</v>
      </c>
      <c r="J173" s="30" t="str">
        <f aca="false">IF(I173=1,A173-H172,"")</f>
        <v/>
      </c>
      <c r="K173" s="27" t="n">
        <f aca="false">IF(B173="Wednesday",0,C173)</f>
        <v>-28765.75</v>
      </c>
      <c r="L173" s="28" t="n">
        <f aca="false">L172+K173/$T$1*100</f>
        <v>91.014301875</v>
      </c>
      <c r="M173" s="28" t="n">
        <f aca="false">MAX(0,MAX($L$2:L173))</f>
        <v>92.81216125</v>
      </c>
      <c r="N173" s="28" t="n">
        <f aca="false">L173-M173</f>
        <v>-1.797859375</v>
      </c>
      <c r="O173" s="25" t="n">
        <f aca="false">IF(N173&gt;=-0.0000001,A173,O172)</f>
        <v>46073</v>
      </c>
      <c r="P173" s="29" t="n">
        <f aca="false">IF(AND(N173&gt;=-0.0000001,N172&lt;0),1,0)</f>
        <v>0</v>
      </c>
      <c r="Q173" s="30" t="str">
        <f aca="false">IF(P173=1,A173-O172,"")</f>
        <v/>
      </c>
    </row>
    <row r="174" customFormat="false" ht="15" hidden="false" customHeight="false" outlineLevel="0" collapsed="false">
      <c r="A174" s="25" t="n">
        <v>46077</v>
      </c>
      <c r="B174" s="26" t="s">
        <v>80</v>
      </c>
      <c r="C174" s="27" t="n">
        <v>116109.5</v>
      </c>
      <c r="D174" s="28" t="n">
        <f aca="false">C174/$T$1*100</f>
        <v>7.25684375</v>
      </c>
      <c r="E174" s="28" t="n">
        <f aca="false">E173+D174</f>
        <v>85.2655525</v>
      </c>
      <c r="F174" s="28" t="n">
        <f aca="false">MAX(0,MAX($E$2:E174))</f>
        <v>85.2655525</v>
      </c>
      <c r="G174" s="28" t="n">
        <f aca="false">E174-F174</f>
        <v>0</v>
      </c>
      <c r="H174" s="25" t="n">
        <f aca="false">IF(G174&gt;=-0.0000001,A174,H173)</f>
        <v>46077</v>
      </c>
      <c r="I174" s="29" t="n">
        <f aca="false">IF(AND(G174&gt;=-0.0000001,G173&lt;0),1,0)</f>
        <v>1</v>
      </c>
      <c r="J174" s="30" t="n">
        <f aca="false">IF(I174=1,A174-H173,"")</f>
        <v>7</v>
      </c>
      <c r="K174" s="27" t="n">
        <f aca="false">IF(B174="Wednesday",0,C174)</f>
        <v>116109.5</v>
      </c>
      <c r="L174" s="28" t="n">
        <f aca="false">L173+K174/$T$1*100</f>
        <v>98.271145625</v>
      </c>
      <c r="M174" s="28" t="n">
        <f aca="false">MAX(0,MAX($L$2:L174))</f>
        <v>98.271145625</v>
      </c>
      <c r="N174" s="28" t="n">
        <f aca="false">L174-M174</f>
        <v>0</v>
      </c>
      <c r="O174" s="25" t="n">
        <f aca="false">IF(N174&gt;=-0.0000001,A174,O173)</f>
        <v>46077</v>
      </c>
      <c r="P174" s="29" t="n">
        <f aca="false">IF(AND(N174&gt;=-0.0000001,N173&lt;0),1,0)</f>
        <v>1</v>
      </c>
      <c r="Q174" s="30" t="n">
        <f aca="false">IF(P174=1,A174-O173,"")</f>
        <v>4</v>
      </c>
    </row>
    <row r="175" customFormat="false" ht="15" hidden="false" customHeight="false" outlineLevel="0" collapsed="false">
      <c r="A175" s="25" t="n">
        <v>46078</v>
      </c>
      <c r="B175" s="26" t="s">
        <v>81</v>
      </c>
      <c r="C175" s="27" t="n">
        <v>-46475</v>
      </c>
      <c r="D175" s="28" t="n">
        <f aca="false">C175/$T$1*100</f>
        <v>-2.9046875</v>
      </c>
      <c r="E175" s="28" t="n">
        <f aca="false">E174+D175</f>
        <v>82.360865</v>
      </c>
      <c r="F175" s="28" t="n">
        <f aca="false">MAX(0,MAX($E$2:E175))</f>
        <v>85.2655525</v>
      </c>
      <c r="G175" s="28" t="n">
        <f aca="false">E175-F175</f>
        <v>-2.90468749999999</v>
      </c>
      <c r="H175" s="25" t="n">
        <f aca="false">IF(G175&gt;=-0.0000001,A175,H174)</f>
        <v>46077</v>
      </c>
      <c r="I175" s="29" t="n">
        <f aca="false">IF(AND(G175&gt;=-0.0000001,G174&lt;0),1,0)</f>
        <v>0</v>
      </c>
      <c r="J175" s="30" t="str">
        <f aca="false">IF(I175=1,A175-H174,"")</f>
        <v/>
      </c>
      <c r="K175" s="27" t="n">
        <f aca="false">IF(B175="Wednesday",0,C175)</f>
        <v>0</v>
      </c>
      <c r="L175" s="28" t="n">
        <f aca="false">L174+K175/$T$1*100</f>
        <v>98.271145625</v>
      </c>
      <c r="M175" s="28" t="n">
        <f aca="false">MAX(0,MAX($L$2:L175))</f>
        <v>98.271145625</v>
      </c>
      <c r="N175" s="28" t="n">
        <f aca="false">L175-M175</f>
        <v>0</v>
      </c>
      <c r="O175" s="25" t="n">
        <f aca="false">IF(N175&gt;=-0.0000001,A175,O174)</f>
        <v>46078</v>
      </c>
      <c r="P175" s="29" t="n">
        <f aca="false">IF(AND(N175&gt;=-0.0000001,N174&lt;0),1,0)</f>
        <v>0</v>
      </c>
      <c r="Q175" s="30" t="str">
        <f aca="false">IF(P175=1,A175-O174,"")</f>
        <v/>
      </c>
    </row>
    <row r="176" customFormat="false" ht="15" hidden="false" customHeight="false" outlineLevel="0" collapsed="false">
      <c r="A176" s="25" t="n">
        <v>46079</v>
      </c>
      <c r="B176" s="26" t="s">
        <v>82</v>
      </c>
      <c r="C176" s="27" t="n">
        <v>71646.25</v>
      </c>
      <c r="D176" s="28" t="n">
        <f aca="false">C176/$T$1*100</f>
        <v>4.477890625</v>
      </c>
      <c r="E176" s="28" t="n">
        <f aca="false">E175+D176</f>
        <v>86.838755625</v>
      </c>
      <c r="F176" s="28" t="n">
        <f aca="false">MAX(0,MAX($E$2:E176))</f>
        <v>86.838755625</v>
      </c>
      <c r="G176" s="28" t="n">
        <f aca="false">E176-F176</f>
        <v>0</v>
      </c>
      <c r="H176" s="25" t="n">
        <f aca="false">IF(G176&gt;=-0.0000001,A176,H175)</f>
        <v>46079</v>
      </c>
      <c r="I176" s="29" t="n">
        <f aca="false">IF(AND(G176&gt;=-0.0000001,G175&lt;0),1,0)</f>
        <v>1</v>
      </c>
      <c r="J176" s="30" t="n">
        <f aca="false">IF(I176=1,A176-H175,"")</f>
        <v>2</v>
      </c>
      <c r="K176" s="27" t="n">
        <f aca="false">IF(B176="Wednesday",0,C176)</f>
        <v>71646.25</v>
      </c>
      <c r="L176" s="28" t="n">
        <f aca="false">L175+K176/$T$1*100</f>
        <v>102.74903625</v>
      </c>
      <c r="M176" s="28" t="n">
        <f aca="false">MAX(0,MAX($L$2:L176))</f>
        <v>102.74903625</v>
      </c>
      <c r="N176" s="28" t="n">
        <f aca="false">L176-M176</f>
        <v>0</v>
      </c>
      <c r="O176" s="25" t="n">
        <f aca="false">IF(N176&gt;=-0.0000001,A176,O175)</f>
        <v>46079</v>
      </c>
      <c r="P176" s="29" t="n">
        <f aca="false">IF(AND(N176&gt;=-0.0000001,N175&lt;0),1,0)</f>
        <v>0</v>
      </c>
      <c r="Q176" s="30" t="str">
        <f aca="false">IF(P176=1,A176-O175,"")</f>
        <v/>
      </c>
    </row>
    <row r="177" customFormat="false" ht="15" hidden="false" customHeight="false" outlineLevel="0" collapsed="false">
      <c r="A177" s="25" t="n">
        <v>46080</v>
      </c>
      <c r="B177" s="26" t="s">
        <v>83</v>
      </c>
      <c r="C177" s="27" t="n">
        <v>35977.5</v>
      </c>
      <c r="D177" s="28" t="n">
        <f aca="false">C177/$T$1*100</f>
        <v>2.24859375</v>
      </c>
      <c r="E177" s="28" t="n">
        <f aca="false">E176+D177</f>
        <v>89.087349375</v>
      </c>
      <c r="F177" s="28" t="n">
        <f aca="false">MAX(0,MAX($E$2:E177))</f>
        <v>89.087349375</v>
      </c>
      <c r="G177" s="28" t="n">
        <f aca="false">E177-F177</f>
        <v>0</v>
      </c>
      <c r="H177" s="25" t="n">
        <f aca="false">IF(G177&gt;=-0.0000001,A177,H176)</f>
        <v>46080</v>
      </c>
      <c r="I177" s="29" t="n">
        <f aca="false">IF(AND(G177&gt;=-0.0000001,G176&lt;0),1,0)</f>
        <v>0</v>
      </c>
      <c r="J177" s="30" t="str">
        <f aca="false">IF(I177=1,A177-H176,"")</f>
        <v/>
      </c>
      <c r="K177" s="27" t="n">
        <f aca="false">IF(B177="Wednesday",0,C177)</f>
        <v>35977.5</v>
      </c>
      <c r="L177" s="28" t="n">
        <f aca="false">L176+K177/$T$1*100</f>
        <v>104.99763</v>
      </c>
      <c r="M177" s="28" t="n">
        <f aca="false">MAX(0,MAX($L$2:L177))</f>
        <v>104.99763</v>
      </c>
      <c r="N177" s="28" t="n">
        <f aca="false">L177-M177</f>
        <v>0</v>
      </c>
      <c r="O177" s="25" t="n">
        <f aca="false">IF(N177&gt;=-0.0000001,A177,O176)</f>
        <v>46080</v>
      </c>
      <c r="P177" s="29" t="n">
        <f aca="false">IF(AND(N177&gt;=-0.0000001,N176&lt;0),1,0)</f>
        <v>0</v>
      </c>
      <c r="Q177" s="30" t="str">
        <f aca="false">IF(P177=1,A177-O176,"")</f>
        <v/>
      </c>
    </row>
    <row r="178" customFormat="false" ht="15" hidden="false" customHeight="false" outlineLevel="0" collapsed="false">
      <c r="A178" s="25" t="n">
        <v>46083</v>
      </c>
      <c r="B178" s="26" t="s">
        <v>79</v>
      </c>
      <c r="C178" s="27" t="n">
        <v>76404.25</v>
      </c>
      <c r="D178" s="28" t="n">
        <f aca="false">C178/$T$1*100</f>
        <v>4.775265625</v>
      </c>
      <c r="E178" s="28" t="n">
        <f aca="false">E177+D178</f>
        <v>93.862615</v>
      </c>
      <c r="F178" s="28" t="n">
        <f aca="false">MAX(0,MAX($E$2:E178))</f>
        <v>93.862615</v>
      </c>
      <c r="G178" s="28" t="n">
        <f aca="false">E178-F178</f>
        <v>0</v>
      </c>
      <c r="H178" s="25" t="n">
        <f aca="false">IF(G178&gt;=-0.0000001,A178,H177)</f>
        <v>46083</v>
      </c>
      <c r="I178" s="29" t="n">
        <f aca="false">IF(AND(G178&gt;=-0.0000001,G177&lt;0),1,0)</f>
        <v>0</v>
      </c>
      <c r="J178" s="30" t="str">
        <f aca="false">IF(I178=1,A178-H177,"")</f>
        <v/>
      </c>
      <c r="K178" s="27" t="n">
        <f aca="false">IF(B178="Wednesday",0,C178)</f>
        <v>76404.25</v>
      </c>
      <c r="L178" s="28" t="n">
        <f aca="false">L177+K178/$T$1*100</f>
        <v>109.772895625</v>
      </c>
      <c r="M178" s="28" t="n">
        <f aca="false">MAX(0,MAX($L$2:L178))</f>
        <v>109.772895625</v>
      </c>
      <c r="N178" s="28" t="n">
        <f aca="false">L178-M178</f>
        <v>0</v>
      </c>
      <c r="O178" s="25" t="n">
        <f aca="false">IF(N178&gt;=-0.0000001,A178,O177)</f>
        <v>46083</v>
      </c>
      <c r="P178" s="29" t="n">
        <f aca="false">IF(AND(N178&gt;=-0.0000001,N177&lt;0),1,0)</f>
        <v>0</v>
      </c>
      <c r="Q178" s="30" t="str">
        <f aca="false">IF(P178=1,A178-O177,"")</f>
        <v/>
      </c>
    </row>
    <row r="179" customFormat="false" ht="15" hidden="false" customHeight="false" outlineLevel="0" collapsed="false">
      <c r="A179" s="25" t="n">
        <v>46086</v>
      </c>
      <c r="B179" s="26" t="s">
        <v>82</v>
      </c>
      <c r="C179" s="27" t="n">
        <v>-30576</v>
      </c>
      <c r="D179" s="28" t="n">
        <f aca="false">C179/$T$1*100</f>
        <v>-1.911</v>
      </c>
      <c r="E179" s="28" t="n">
        <f aca="false">E178+D179</f>
        <v>91.951615</v>
      </c>
      <c r="F179" s="28" t="n">
        <f aca="false">MAX(0,MAX($E$2:E179))</f>
        <v>93.862615</v>
      </c>
      <c r="G179" s="28" t="n">
        <f aca="false">E179-F179</f>
        <v>-1.911</v>
      </c>
      <c r="H179" s="25" t="n">
        <f aca="false">IF(G179&gt;=-0.0000001,A179,H178)</f>
        <v>46083</v>
      </c>
      <c r="I179" s="29" t="n">
        <f aca="false">IF(AND(G179&gt;=-0.0000001,G178&lt;0),1,0)</f>
        <v>0</v>
      </c>
      <c r="J179" s="30" t="str">
        <f aca="false">IF(I179=1,A179-H178,"")</f>
        <v/>
      </c>
      <c r="K179" s="27" t="n">
        <f aca="false">IF(B179="Wednesday",0,C179)</f>
        <v>-30576</v>
      </c>
      <c r="L179" s="28" t="n">
        <f aca="false">L178+K179/$T$1*100</f>
        <v>107.861895625</v>
      </c>
      <c r="M179" s="28" t="n">
        <f aca="false">MAX(0,MAX($L$2:L179))</f>
        <v>109.772895625</v>
      </c>
      <c r="N179" s="28" t="n">
        <f aca="false">L179-M179</f>
        <v>-1.911</v>
      </c>
      <c r="O179" s="25" t="n">
        <f aca="false">IF(N179&gt;=-0.0000001,A179,O178)</f>
        <v>46083</v>
      </c>
      <c r="P179" s="29" t="n">
        <f aca="false">IF(AND(N179&gt;=-0.0000001,N178&lt;0),1,0)</f>
        <v>0</v>
      </c>
      <c r="Q179" s="30" t="str">
        <f aca="false">IF(P179=1,A179-O178,"")</f>
        <v/>
      </c>
    </row>
    <row r="180" customFormat="false" ht="15" hidden="false" customHeight="false" outlineLevel="0" collapsed="false">
      <c r="A180" s="25" t="n">
        <v>46087</v>
      </c>
      <c r="B180" s="26" t="s">
        <v>83</v>
      </c>
      <c r="C180" s="27" t="n">
        <v>71.5</v>
      </c>
      <c r="D180" s="28" t="n">
        <f aca="false">C180/$T$1*100</f>
        <v>0.00446875</v>
      </c>
      <c r="E180" s="28" t="n">
        <f aca="false">E179+D180</f>
        <v>91.95608375</v>
      </c>
      <c r="F180" s="28" t="n">
        <f aca="false">MAX(0,MAX($E$2:E180))</f>
        <v>93.862615</v>
      </c>
      <c r="G180" s="28" t="n">
        <f aca="false">E180-F180</f>
        <v>-1.90653125</v>
      </c>
      <c r="H180" s="25" t="n">
        <f aca="false">IF(G180&gt;=-0.0000001,A180,H179)</f>
        <v>46083</v>
      </c>
      <c r="I180" s="29" t="n">
        <f aca="false">IF(AND(G180&gt;=-0.0000001,G179&lt;0),1,0)</f>
        <v>0</v>
      </c>
      <c r="J180" s="30" t="str">
        <f aca="false">IF(I180=1,A180-H179,"")</f>
        <v/>
      </c>
      <c r="K180" s="27" t="n">
        <f aca="false">IF(B180="Wednesday",0,C180)</f>
        <v>71.5</v>
      </c>
      <c r="L180" s="28" t="n">
        <f aca="false">L179+K180/$T$1*100</f>
        <v>107.866364375</v>
      </c>
      <c r="M180" s="28" t="n">
        <f aca="false">MAX(0,MAX($L$2:L180))</f>
        <v>109.772895625</v>
      </c>
      <c r="N180" s="28" t="n">
        <f aca="false">L180-M180</f>
        <v>-1.90653125</v>
      </c>
      <c r="O180" s="25" t="n">
        <f aca="false">IF(N180&gt;=-0.0000001,A180,O179)</f>
        <v>46083</v>
      </c>
      <c r="P180" s="29" t="n">
        <f aca="false">IF(AND(N180&gt;=-0.0000001,N179&lt;0),1,0)</f>
        <v>0</v>
      </c>
      <c r="Q180" s="30" t="str">
        <f aca="false">IF(P180=1,A180-O179,"")</f>
        <v/>
      </c>
    </row>
    <row r="181" customFormat="false" ht="15" hidden="false" customHeight="false" outlineLevel="0" collapsed="false">
      <c r="A181" s="25" t="n">
        <v>46090</v>
      </c>
      <c r="B181" s="26" t="s">
        <v>79</v>
      </c>
      <c r="C181" s="27" t="n">
        <v>68900</v>
      </c>
      <c r="D181" s="28" t="n">
        <f aca="false">C181/$T$1*100</f>
        <v>4.30625</v>
      </c>
      <c r="E181" s="28" t="n">
        <f aca="false">E180+D181</f>
        <v>96.26233375</v>
      </c>
      <c r="F181" s="28" t="n">
        <f aca="false">MAX(0,MAX($E$2:E181))</f>
        <v>96.26233375</v>
      </c>
      <c r="G181" s="28" t="n">
        <f aca="false">E181-F181</f>
        <v>0</v>
      </c>
      <c r="H181" s="25" t="n">
        <f aca="false">IF(G181&gt;=-0.0000001,A181,H180)</f>
        <v>46090</v>
      </c>
      <c r="I181" s="29" t="n">
        <f aca="false">IF(AND(G181&gt;=-0.0000001,G180&lt;0),1,0)</f>
        <v>1</v>
      </c>
      <c r="J181" s="30" t="n">
        <f aca="false">IF(I181=1,A181-H180,"")</f>
        <v>7</v>
      </c>
      <c r="K181" s="27" t="n">
        <f aca="false">IF(B181="Wednesday",0,C181)</f>
        <v>68900</v>
      </c>
      <c r="L181" s="28" t="n">
        <f aca="false">L180+K181/$T$1*100</f>
        <v>112.172614375</v>
      </c>
      <c r="M181" s="28" t="n">
        <f aca="false">MAX(0,MAX($L$2:L181))</f>
        <v>112.172614375</v>
      </c>
      <c r="N181" s="28" t="n">
        <f aca="false">L181-M181</f>
        <v>0</v>
      </c>
      <c r="O181" s="25" t="n">
        <f aca="false">IF(N181&gt;=-0.0000001,A181,O180)</f>
        <v>46090</v>
      </c>
      <c r="P181" s="29" t="n">
        <f aca="false">IF(AND(N181&gt;=-0.0000001,N180&lt;0),1,0)</f>
        <v>1</v>
      </c>
      <c r="Q181" s="30" t="n">
        <f aca="false">IF(P181=1,A181-O180,"")</f>
        <v>7</v>
      </c>
    </row>
    <row r="182" customFormat="false" ht="15" hidden="false" customHeight="false" outlineLevel="0" collapsed="false">
      <c r="A182" s="25" t="n">
        <v>46091</v>
      </c>
      <c r="B182" s="26" t="s">
        <v>80</v>
      </c>
      <c r="C182" s="27" t="n">
        <v>61122.75</v>
      </c>
      <c r="D182" s="28" t="n">
        <f aca="false">C182/$T$1*100</f>
        <v>3.820171875</v>
      </c>
      <c r="E182" s="28" t="n">
        <f aca="false">E181+D182</f>
        <v>100.082505625</v>
      </c>
      <c r="F182" s="28" t="n">
        <f aca="false">MAX(0,MAX($E$2:E182))</f>
        <v>100.082505625</v>
      </c>
      <c r="G182" s="28" t="n">
        <f aca="false">E182-F182</f>
        <v>0</v>
      </c>
      <c r="H182" s="25" t="n">
        <f aca="false">IF(G182&gt;=-0.0000001,A182,H181)</f>
        <v>46091</v>
      </c>
      <c r="I182" s="29" t="n">
        <f aca="false">IF(AND(G182&gt;=-0.0000001,G181&lt;0),1,0)</f>
        <v>0</v>
      </c>
      <c r="J182" s="30" t="str">
        <f aca="false">IF(I182=1,A182-H181,"")</f>
        <v/>
      </c>
      <c r="K182" s="27" t="n">
        <f aca="false">IF(B182="Wednesday",0,C182)</f>
        <v>61122.75</v>
      </c>
      <c r="L182" s="28" t="n">
        <f aca="false">L181+K182/$T$1*100</f>
        <v>115.99278625</v>
      </c>
      <c r="M182" s="28" t="n">
        <f aca="false">MAX(0,MAX($L$2:L182))</f>
        <v>115.99278625</v>
      </c>
      <c r="N182" s="28" t="n">
        <f aca="false">L182-M182</f>
        <v>0</v>
      </c>
      <c r="O182" s="25" t="n">
        <f aca="false">IF(N182&gt;=-0.0000001,A182,O181)</f>
        <v>46091</v>
      </c>
      <c r="P182" s="29" t="n">
        <f aca="false">IF(AND(N182&gt;=-0.0000001,N181&lt;0),1,0)</f>
        <v>0</v>
      </c>
      <c r="Q182" s="30" t="str">
        <f aca="false">IF(P182=1,A182-O181,"")</f>
        <v/>
      </c>
    </row>
    <row r="183" customFormat="false" ht="15" hidden="false" customHeight="false" outlineLevel="0" collapsed="false">
      <c r="A183" s="25" t="n">
        <v>46092</v>
      </c>
      <c r="B183" s="26" t="s">
        <v>81</v>
      </c>
      <c r="C183" s="27" t="n">
        <v>-11362</v>
      </c>
      <c r="D183" s="28" t="n">
        <f aca="false">C183/$T$1*100</f>
        <v>-0.710125</v>
      </c>
      <c r="E183" s="28" t="n">
        <f aca="false">E182+D183</f>
        <v>99.372380625</v>
      </c>
      <c r="F183" s="28" t="n">
        <f aca="false">MAX(0,MAX($E$2:E183))</f>
        <v>100.082505625</v>
      </c>
      <c r="G183" s="28" t="n">
        <f aca="false">E183-F183</f>
        <v>-0.710125000000005</v>
      </c>
      <c r="H183" s="25" t="n">
        <f aca="false">IF(G183&gt;=-0.0000001,A183,H182)</f>
        <v>46091</v>
      </c>
      <c r="I183" s="29" t="n">
        <f aca="false">IF(AND(G183&gt;=-0.0000001,G182&lt;0),1,0)</f>
        <v>0</v>
      </c>
      <c r="J183" s="30" t="str">
        <f aca="false">IF(I183=1,A183-H182,"")</f>
        <v/>
      </c>
      <c r="K183" s="27" t="n">
        <f aca="false">IF(B183="Wednesday",0,C183)</f>
        <v>0</v>
      </c>
      <c r="L183" s="28" t="n">
        <f aca="false">L182+K183/$T$1*100</f>
        <v>115.99278625</v>
      </c>
      <c r="M183" s="28" t="n">
        <f aca="false">MAX(0,MAX($L$2:L183))</f>
        <v>115.99278625</v>
      </c>
      <c r="N183" s="28" t="n">
        <f aca="false">L183-M183</f>
        <v>0</v>
      </c>
      <c r="O183" s="25" t="n">
        <f aca="false">IF(N183&gt;=-0.0000001,A183,O182)</f>
        <v>46092</v>
      </c>
      <c r="P183" s="29" t="n">
        <f aca="false">IF(AND(N183&gt;=-0.0000001,N182&lt;0),1,0)</f>
        <v>0</v>
      </c>
      <c r="Q183" s="30" t="str">
        <f aca="false">IF(P183=1,A183-O182,"")</f>
        <v/>
      </c>
    </row>
    <row r="184" customFormat="false" ht="15" hidden="false" customHeight="false" outlineLevel="0" collapsed="false">
      <c r="A184" s="25" t="n">
        <v>46093</v>
      </c>
      <c r="B184" s="26" t="s">
        <v>82</v>
      </c>
      <c r="C184" s="27" t="n">
        <v>15795</v>
      </c>
      <c r="D184" s="28" t="n">
        <f aca="false">C184/$T$1*100</f>
        <v>0.9871875</v>
      </c>
      <c r="E184" s="28" t="n">
        <f aca="false">E183+D184</f>
        <v>100.359568125</v>
      </c>
      <c r="F184" s="28" t="n">
        <f aca="false">MAX(0,MAX($E$2:E184))</f>
        <v>100.359568125</v>
      </c>
      <c r="G184" s="28" t="n">
        <f aca="false">E184-F184</f>
        <v>0</v>
      </c>
      <c r="H184" s="25" t="n">
        <f aca="false">IF(G184&gt;=-0.0000001,A184,H183)</f>
        <v>46093</v>
      </c>
      <c r="I184" s="29" t="n">
        <f aca="false">IF(AND(G184&gt;=-0.0000001,G183&lt;0),1,0)</f>
        <v>1</v>
      </c>
      <c r="J184" s="30" t="n">
        <f aca="false">IF(I184=1,A184-H183,"")</f>
        <v>2</v>
      </c>
      <c r="K184" s="27" t="n">
        <f aca="false">IF(B184="Wednesday",0,C184)</f>
        <v>15795</v>
      </c>
      <c r="L184" s="28" t="n">
        <f aca="false">L183+K184/$T$1*100</f>
        <v>116.97997375</v>
      </c>
      <c r="M184" s="28" t="n">
        <f aca="false">MAX(0,MAX($L$2:L184))</f>
        <v>116.97997375</v>
      </c>
      <c r="N184" s="28" t="n">
        <f aca="false">L184-M184</f>
        <v>0</v>
      </c>
      <c r="O184" s="25" t="n">
        <f aca="false">IF(N184&gt;=-0.0000001,A184,O183)</f>
        <v>46093</v>
      </c>
      <c r="P184" s="29" t="n">
        <f aca="false">IF(AND(N184&gt;=-0.0000001,N183&lt;0),1,0)</f>
        <v>0</v>
      </c>
      <c r="Q184" s="30" t="str">
        <f aca="false">IF(P184=1,A184-O183,"")</f>
        <v/>
      </c>
    </row>
    <row r="185" customFormat="false" ht="15" hidden="false" customHeight="false" outlineLevel="0" collapsed="false">
      <c r="A185" s="25" t="n">
        <v>46094</v>
      </c>
      <c r="B185" s="26" t="s">
        <v>83</v>
      </c>
      <c r="C185" s="27" t="n">
        <v>-12025</v>
      </c>
      <c r="D185" s="28" t="n">
        <f aca="false">C185/$T$1*100</f>
        <v>-0.7515625</v>
      </c>
      <c r="E185" s="28" t="n">
        <f aca="false">E184+D185</f>
        <v>99.608005625</v>
      </c>
      <c r="F185" s="28" t="n">
        <f aca="false">MAX(0,MAX($E$2:E185))</f>
        <v>100.359568125</v>
      </c>
      <c r="G185" s="28" t="n">
        <f aca="false">E185-F185</f>
        <v>-0.751562500000006</v>
      </c>
      <c r="H185" s="25" t="n">
        <f aca="false">IF(G185&gt;=-0.0000001,A185,H184)</f>
        <v>46093</v>
      </c>
      <c r="I185" s="29" t="n">
        <f aca="false">IF(AND(G185&gt;=-0.0000001,G184&lt;0),1,0)</f>
        <v>0</v>
      </c>
      <c r="J185" s="30" t="str">
        <f aca="false">IF(I185=1,A185-H184,"")</f>
        <v/>
      </c>
      <c r="K185" s="27" t="n">
        <f aca="false">IF(B185="Wednesday",0,C185)</f>
        <v>-12025</v>
      </c>
      <c r="L185" s="28" t="n">
        <f aca="false">L184+K185/$T$1*100</f>
        <v>116.22841125</v>
      </c>
      <c r="M185" s="28" t="n">
        <f aca="false">MAX(0,MAX($L$2:L185))</f>
        <v>116.97997375</v>
      </c>
      <c r="N185" s="28" t="n">
        <f aca="false">L185-M185</f>
        <v>-0.751562500000006</v>
      </c>
      <c r="O185" s="25" t="n">
        <f aca="false">IF(N185&gt;=-0.0000001,A185,O184)</f>
        <v>46093</v>
      </c>
      <c r="P185" s="29" t="n">
        <f aca="false">IF(AND(N185&gt;=-0.0000001,N184&lt;0),1,0)</f>
        <v>0</v>
      </c>
      <c r="Q185" s="30" t="str">
        <f aca="false">IF(P185=1,A185-O184,"")</f>
        <v/>
      </c>
    </row>
    <row r="186" customFormat="false" ht="15" hidden="false" customHeight="false" outlineLevel="0" collapsed="false">
      <c r="A186" s="25" t="n">
        <v>46097</v>
      </c>
      <c r="B186" s="26" t="s">
        <v>79</v>
      </c>
      <c r="C186" s="27" t="n">
        <v>-7575.75</v>
      </c>
      <c r="D186" s="28" t="n">
        <f aca="false">C186/$T$1*100</f>
        <v>-0.473484375</v>
      </c>
      <c r="E186" s="28" t="n">
        <f aca="false">E185+D186</f>
        <v>99.13452125</v>
      </c>
      <c r="F186" s="28" t="n">
        <f aca="false">MAX(0,MAX($E$2:E186))</f>
        <v>100.359568125</v>
      </c>
      <c r="G186" s="28" t="n">
        <f aca="false">E186-F186</f>
        <v>-1.225046875</v>
      </c>
      <c r="H186" s="25" t="n">
        <f aca="false">IF(G186&gt;=-0.0000001,A186,H185)</f>
        <v>46093</v>
      </c>
      <c r="I186" s="29" t="n">
        <f aca="false">IF(AND(G186&gt;=-0.0000001,G185&lt;0),1,0)</f>
        <v>0</v>
      </c>
      <c r="J186" s="30" t="str">
        <f aca="false">IF(I186=1,A186-H185,"")</f>
        <v/>
      </c>
      <c r="K186" s="27" t="n">
        <f aca="false">IF(B186="Wednesday",0,C186)</f>
        <v>-7575.75</v>
      </c>
      <c r="L186" s="28" t="n">
        <f aca="false">L185+K186/$T$1*100</f>
        <v>115.754926875</v>
      </c>
      <c r="M186" s="28" t="n">
        <f aca="false">MAX(0,MAX($L$2:L186))</f>
        <v>116.97997375</v>
      </c>
      <c r="N186" s="28" t="n">
        <f aca="false">L186-M186</f>
        <v>-1.225046875</v>
      </c>
      <c r="O186" s="25" t="n">
        <f aca="false">IF(N186&gt;=-0.0000001,A186,O185)</f>
        <v>46093</v>
      </c>
      <c r="P186" s="29" t="n">
        <f aca="false">IF(AND(N186&gt;=-0.0000001,N185&lt;0),1,0)</f>
        <v>0</v>
      </c>
      <c r="Q186" s="30" t="str">
        <f aca="false">IF(P186=1,A186-O185,"")</f>
        <v/>
      </c>
    </row>
    <row r="187" customFormat="false" ht="15" hidden="false" customHeight="false" outlineLevel="0" collapsed="false">
      <c r="A187" s="25" t="n">
        <v>46098</v>
      </c>
      <c r="B187" s="26" t="s">
        <v>80</v>
      </c>
      <c r="C187" s="27" t="n">
        <v>4904.25</v>
      </c>
      <c r="D187" s="28" t="n">
        <f aca="false">C187/$T$1*100</f>
        <v>0.306515625</v>
      </c>
      <c r="E187" s="28" t="n">
        <f aca="false">E186+D187</f>
        <v>99.441036875</v>
      </c>
      <c r="F187" s="28" t="n">
        <f aca="false">MAX(0,MAX($E$2:E187))</f>
        <v>100.359568125</v>
      </c>
      <c r="G187" s="28" t="n">
        <f aca="false">E187-F187</f>
        <v>-0.918531250000001</v>
      </c>
      <c r="H187" s="25" t="n">
        <f aca="false">IF(G187&gt;=-0.0000001,A187,H186)</f>
        <v>46093</v>
      </c>
      <c r="I187" s="29" t="n">
        <f aca="false">IF(AND(G187&gt;=-0.0000001,G186&lt;0),1,0)</f>
        <v>0</v>
      </c>
      <c r="J187" s="30" t="str">
        <f aca="false">IF(I187=1,A187-H186,"")</f>
        <v/>
      </c>
      <c r="K187" s="27" t="n">
        <f aca="false">IF(B187="Wednesday",0,C187)</f>
        <v>4904.25</v>
      </c>
      <c r="L187" s="28" t="n">
        <f aca="false">L186+K187/$T$1*100</f>
        <v>116.0614425</v>
      </c>
      <c r="M187" s="28" t="n">
        <f aca="false">MAX(0,MAX($L$2:L187))</f>
        <v>116.97997375</v>
      </c>
      <c r="N187" s="28" t="n">
        <f aca="false">L187-M187</f>
        <v>-0.918531250000001</v>
      </c>
      <c r="O187" s="25" t="n">
        <f aca="false">IF(N187&gt;=-0.0000001,A187,O186)</f>
        <v>46093</v>
      </c>
      <c r="P187" s="29" t="n">
        <f aca="false">IF(AND(N187&gt;=-0.0000001,N186&lt;0),1,0)</f>
        <v>0</v>
      </c>
      <c r="Q187" s="30" t="str">
        <f aca="false">IF(P187=1,A187-O186,"")</f>
        <v/>
      </c>
    </row>
    <row r="188" customFormat="false" ht="15" hidden="false" customHeight="false" outlineLevel="0" collapsed="false">
      <c r="A188" s="25" t="n">
        <v>46099</v>
      </c>
      <c r="B188" s="26" t="s">
        <v>81</v>
      </c>
      <c r="C188" s="27" t="n">
        <v>3705</v>
      </c>
      <c r="D188" s="28" t="n">
        <f aca="false">C188/$T$1*100</f>
        <v>0.2315625</v>
      </c>
      <c r="E188" s="28" t="n">
        <f aca="false">E187+D188</f>
        <v>99.672599375</v>
      </c>
      <c r="F188" s="28" t="n">
        <f aca="false">MAX(0,MAX($E$2:E188))</f>
        <v>100.359568125</v>
      </c>
      <c r="G188" s="28" t="n">
        <f aca="false">E188-F188</f>
        <v>-0.686968750000006</v>
      </c>
      <c r="H188" s="25" t="n">
        <f aca="false">IF(G188&gt;=-0.0000001,A188,H187)</f>
        <v>46093</v>
      </c>
      <c r="I188" s="29" t="n">
        <f aca="false">IF(AND(G188&gt;=-0.0000001,G187&lt;0),1,0)</f>
        <v>0</v>
      </c>
      <c r="J188" s="30" t="str">
        <f aca="false">IF(I188=1,A188-H187,"")</f>
        <v/>
      </c>
      <c r="K188" s="27" t="n">
        <f aca="false">IF(B188="Wednesday",0,C188)</f>
        <v>0</v>
      </c>
      <c r="L188" s="28" t="n">
        <f aca="false">L187+K188/$T$1*100</f>
        <v>116.0614425</v>
      </c>
      <c r="M188" s="28" t="n">
        <f aca="false">MAX(0,MAX($L$2:L188))</f>
        <v>116.97997375</v>
      </c>
      <c r="N188" s="28" t="n">
        <f aca="false">L188-M188</f>
        <v>-0.918531250000001</v>
      </c>
      <c r="O188" s="25" t="n">
        <f aca="false">IF(N188&gt;=-0.0000001,A188,O187)</f>
        <v>46093</v>
      </c>
      <c r="P188" s="29" t="n">
        <f aca="false">IF(AND(N188&gt;=-0.0000001,N187&lt;0),1,0)</f>
        <v>0</v>
      </c>
      <c r="Q188" s="30" t="str">
        <f aca="false">IF(P188=1,A188-O187,"")</f>
        <v/>
      </c>
    </row>
    <row r="189" customFormat="false" ht="15" hidden="false" customHeight="false" outlineLevel="0" collapsed="false">
      <c r="A189" s="25" t="n">
        <v>46100</v>
      </c>
      <c r="B189" s="26" t="s">
        <v>82</v>
      </c>
      <c r="C189" s="27" t="n">
        <v>74067.5</v>
      </c>
      <c r="D189" s="28" t="n">
        <f aca="false">C189/$T$1*100</f>
        <v>4.62921875</v>
      </c>
      <c r="E189" s="28" t="n">
        <f aca="false">E188+D189</f>
        <v>104.301818125</v>
      </c>
      <c r="F189" s="28" t="n">
        <f aca="false">MAX(0,MAX($E$2:E189))</f>
        <v>104.301818125</v>
      </c>
      <c r="G189" s="28" t="n">
        <f aca="false">E189-F189</f>
        <v>0</v>
      </c>
      <c r="H189" s="25" t="n">
        <f aca="false">IF(G189&gt;=-0.0000001,A189,H188)</f>
        <v>46100</v>
      </c>
      <c r="I189" s="29" t="n">
        <f aca="false">IF(AND(G189&gt;=-0.0000001,G188&lt;0),1,0)</f>
        <v>1</v>
      </c>
      <c r="J189" s="30" t="n">
        <f aca="false">IF(I189=1,A189-H188,"")</f>
        <v>7</v>
      </c>
      <c r="K189" s="27" t="n">
        <f aca="false">IF(B189="Wednesday",0,C189)</f>
        <v>74067.5</v>
      </c>
      <c r="L189" s="28" t="n">
        <f aca="false">L188+K189/$T$1*100</f>
        <v>120.69066125</v>
      </c>
      <c r="M189" s="28" t="n">
        <f aca="false">MAX(0,MAX($L$2:L189))</f>
        <v>120.69066125</v>
      </c>
      <c r="N189" s="28" t="n">
        <f aca="false">L189-M189</f>
        <v>0</v>
      </c>
      <c r="O189" s="25" t="n">
        <f aca="false">IF(N189&gt;=-0.0000001,A189,O188)</f>
        <v>46100</v>
      </c>
      <c r="P189" s="29" t="n">
        <f aca="false">IF(AND(N189&gt;=-0.0000001,N188&lt;0),1,0)</f>
        <v>1</v>
      </c>
      <c r="Q189" s="30" t="n">
        <f aca="false">IF(P189=1,A189-O188,"")</f>
        <v>7</v>
      </c>
    </row>
    <row r="190" customFormat="false" ht="15" hidden="false" customHeight="false" outlineLevel="0" collapsed="false">
      <c r="A190" s="25" t="n">
        <v>46101</v>
      </c>
      <c r="B190" s="26" t="s">
        <v>83</v>
      </c>
      <c r="C190" s="27" t="n">
        <v>-14283.75</v>
      </c>
      <c r="D190" s="28" t="n">
        <f aca="false">C190/$T$1*100</f>
        <v>-0.892734375</v>
      </c>
      <c r="E190" s="28" t="n">
        <f aca="false">E189+D190</f>
        <v>103.40908375</v>
      </c>
      <c r="F190" s="28" t="n">
        <f aca="false">MAX(0,MAX($E$2:E190))</f>
        <v>104.301818125</v>
      </c>
      <c r="G190" s="28" t="n">
        <f aca="false">E190-F190</f>
        <v>-0.892734375000003</v>
      </c>
      <c r="H190" s="25" t="n">
        <f aca="false">IF(G190&gt;=-0.0000001,A190,H189)</f>
        <v>46100</v>
      </c>
      <c r="I190" s="29" t="n">
        <f aca="false">IF(AND(G190&gt;=-0.0000001,G189&lt;0),1,0)</f>
        <v>0</v>
      </c>
      <c r="J190" s="30" t="str">
        <f aca="false">IF(I190=1,A190-H189,"")</f>
        <v/>
      </c>
      <c r="K190" s="27" t="n">
        <f aca="false">IF(B190="Wednesday",0,C190)</f>
        <v>-14283.75</v>
      </c>
      <c r="L190" s="28" t="n">
        <f aca="false">L189+K190/$T$1*100</f>
        <v>119.797926875</v>
      </c>
      <c r="M190" s="28" t="n">
        <f aca="false">MAX(0,MAX($L$2:L190))</f>
        <v>120.69066125</v>
      </c>
      <c r="N190" s="28" t="n">
        <f aca="false">L190-M190</f>
        <v>-0.892734375000003</v>
      </c>
      <c r="O190" s="25" t="n">
        <f aca="false">IF(N190&gt;=-0.0000001,A190,O189)</f>
        <v>46100</v>
      </c>
      <c r="P190" s="29" t="n">
        <f aca="false">IF(AND(N190&gt;=-0.0000001,N189&lt;0),1,0)</f>
        <v>0</v>
      </c>
      <c r="Q190" s="30" t="str">
        <f aca="false">IF(P190=1,A190-O189,"")</f>
        <v/>
      </c>
    </row>
    <row r="191" customFormat="false" ht="15" hidden="false" customHeight="false" outlineLevel="0" collapsed="false">
      <c r="A191" s="25" t="n">
        <v>46104</v>
      </c>
      <c r="B191" s="26" t="s">
        <v>79</v>
      </c>
      <c r="C191" s="27" t="n">
        <v>80707.25</v>
      </c>
      <c r="D191" s="28" t="n">
        <f aca="false">C191/$T$1*100</f>
        <v>5.044203125</v>
      </c>
      <c r="E191" s="28" t="n">
        <f aca="false">E190+D191</f>
        <v>108.453286875</v>
      </c>
      <c r="F191" s="28" t="n">
        <f aca="false">MAX(0,MAX($E$2:E191))</f>
        <v>108.453286875</v>
      </c>
      <c r="G191" s="28" t="n">
        <f aca="false">E191-F191</f>
        <v>0</v>
      </c>
      <c r="H191" s="25" t="n">
        <f aca="false">IF(G191&gt;=-0.0000001,A191,H190)</f>
        <v>46104</v>
      </c>
      <c r="I191" s="29" t="n">
        <f aca="false">IF(AND(G191&gt;=-0.0000001,G190&lt;0),1,0)</f>
        <v>1</v>
      </c>
      <c r="J191" s="30" t="n">
        <f aca="false">IF(I191=1,A191-H190,"")</f>
        <v>4</v>
      </c>
      <c r="K191" s="27" t="n">
        <f aca="false">IF(B191="Wednesday",0,C191)</f>
        <v>80707.25</v>
      </c>
      <c r="L191" s="28" t="n">
        <f aca="false">L190+K191/$T$1*100</f>
        <v>124.84213</v>
      </c>
      <c r="M191" s="28" t="n">
        <f aca="false">MAX(0,MAX($L$2:L191))</f>
        <v>124.84213</v>
      </c>
      <c r="N191" s="28" t="n">
        <f aca="false">L191-M191</f>
        <v>0</v>
      </c>
      <c r="O191" s="25" t="n">
        <f aca="false">IF(N191&gt;=-0.0000001,A191,O190)</f>
        <v>46104</v>
      </c>
      <c r="P191" s="29" t="n">
        <f aca="false">IF(AND(N191&gt;=-0.0000001,N190&lt;0),1,0)</f>
        <v>1</v>
      </c>
      <c r="Q191" s="30" t="n">
        <f aca="false">IF(P191=1,A191-O190,"")</f>
        <v>4</v>
      </c>
    </row>
    <row r="192" customFormat="false" ht="15" hidden="false" customHeight="false" outlineLevel="0" collapsed="false">
      <c r="A192" s="25" t="n">
        <v>46105</v>
      </c>
      <c r="B192" s="26" t="s">
        <v>80</v>
      </c>
      <c r="C192" s="27" t="n">
        <v>-25606.75</v>
      </c>
      <c r="D192" s="28" t="n">
        <f aca="false">C192/$T$1*100</f>
        <v>-1.600421875</v>
      </c>
      <c r="E192" s="28" t="n">
        <f aca="false">E191+D192</f>
        <v>106.852865</v>
      </c>
      <c r="F192" s="28" t="n">
        <f aca="false">MAX(0,MAX($E$2:E192))</f>
        <v>108.453286875</v>
      </c>
      <c r="G192" s="28" t="n">
        <f aca="false">E192-F192</f>
        <v>-1.600421875</v>
      </c>
      <c r="H192" s="25" t="n">
        <f aca="false">IF(G192&gt;=-0.0000001,A192,H191)</f>
        <v>46104</v>
      </c>
      <c r="I192" s="29" t="n">
        <f aca="false">IF(AND(G192&gt;=-0.0000001,G191&lt;0),1,0)</f>
        <v>0</v>
      </c>
      <c r="J192" s="30" t="str">
        <f aca="false">IF(I192=1,A192-H191,"")</f>
        <v/>
      </c>
      <c r="K192" s="27" t="n">
        <f aca="false">IF(B192="Wednesday",0,C192)</f>
        <v>-25606.75</v>
      </c>
      <c r="L192" s="28" t="n">
        <f aca="false">L191+K192/$T$1*100</f>
        <v>123.241708125</v>
      </c>
      <c r="M192" s="28" t="n">
        <f aca="false">MAX(0,MAX($L$2:L192))</f>
        <v>124.84213</v>
      </c>
      <c r="N192" s="28" t="n">
        <f aca="false">L192-M192</f>
        <v>-1.600421875</v>
      </c>
      <c r="O192" s="25" t="n">
        <f aca="false">IF(N192&gt;=-0.0000001,A192,O191)</f>
        <v>46104</v>
      </c>
      <c r="P192" s="29" t="n">
        <f aca="false">IF(AND(N192&gt;=-0.0000001,N191&lt;0),1,0)</f>
        <v>0</v>
      </c>
      <c r="Q192" s="30" t="str">
        <f aca="false">IF(P192=1,A192-O191,"")</f>
        <v/>
      </c>
    </row>
    <row r="193" customFormat="false" ht="15" hidden="false" customHeight="false" outlineLevel="0" collapsed="false">
      <c r="A193" s="25" t="n">
        <v>46106</v>
      </c>
      <c r="B193" s="26" t="s">
        <v>81</v>
      </c>
      <c r="C193" s="27" t="n">
        <v>-19526</v>
      </c>
      <c r="D193" s="28" t="n">
        <f aca="false">C193/$T$1*100</f>
        <v>-1.220375</v>
      </c>
      <c r="E193" s="28" t="n">
        <f aca="false">E192+D193</f>
        <v>105.63249</v>
      </c>
      <c r="F193" s="28" t="n">
        <f aca="false">MAX(0,MAX($E$2:E193))</f>
        <v>108.453286875</v>
      </c>
      <c r="G193" s="28" t="n">
        <f aca="false">E193-F193</f>
        <v>-2.820796875</v>
      </c>
      <c r="H193" s="25" t="n">
        <f aca="false">IF(G193&gt;=-0.0000001,A193,H192)</f>
        <v>46104</v>
      </c>
      <c r="I193" s="29" t="n">
        <f aca="false">IF(AND(G193&gt;=-0.0000001,G192&lt;0),1,0)</f>
        <v>0</v>
      </c>
      <c r="J193" s="30" t="str">
        <f aca="false">IF(I193=1,A193-H192,"")</f>
        <v/>
      </c>
      <c r="K193" s="27" t="n">
        <f aca="false">IF(B193="Wednesday",0,C193)</f>
        <v>0</v>
      </c>
      <c r="L193" s="28" t="n">
        <f aca="false">L192+K193/$T$1*100</f>
        <v>123.241708125</v>
      </c>
      <c r="M193" s="28" t="n">
        <f aca="false">MAX(0,MAX($L$2:L193))</f>
        <v>124.84213</v>
      </c>
      <c r="N193" s="28" t="n">
        <f aca="false">L193-M193</f>
        <v>-1.600421875</v>
      </c>
      <c r="O193" s="25" t="n">
        <f aca="false">IF(N193&gt;=-0.0000001,A193,O192)</f>
        <v>46104</v>
      </c>
      <c r="P193" s="29" t="n">
        <f aca="false">IF(AND(N193&gt;=-0.0000001,N192&lt;0),1,0)</f>
        <v>0</v>
      </c>
      <c r="Q193" s="30" t="str">
        <f aca="false">IF(P193=1,A193-O192,"")</f>
        <v/>
      </c>
    </row>
    <row r="194" customFormat="false" ht="15" hidden="false" customHeight="false" outlineLevel="0" collapsed="false">
      <c r="A194" s="25" t="n">
        <v>46108</v>
      </c>
      <c r="B194" s="26" t="s">
        <v>83</v>
      </c>
      <c r="C194" s="27" t="n">
        <v>-11466</v>
      </c>
      <c r="D194" s="28" t="n">
        <f aca="false">C194/$T$1*100</f>
        <v>-0.716625</v>
      </c>
      <c r="E194" s="28" t="n">
        <f aca="false">E193+D194</f>
        <v>104.915865</v>
      </c>
      <c r="F194" s="28" t="n">
        <f aca="false">MAX(0,MAX($E$2:E194))</f>
        <v>108.453286875</v>
      </c>
      <c r="G194" s="28" t="n">
        <f aca="false">E194-F194</f>
        <v>-3.53742187499999</v>
      </c>
      <c r="H194" s="25" t="n">
        <f aca="false">IF(G194&gt;=-0.0000001,A194,H193)</f>
        <v>46104</v>
      </c>
      <c r="I194" s="29" t="n">
        <f aca="false">IF(AND(G194&gt;=-0.0000001,G193&lt;0),1,0)</f>
        <v>0</v>
      </c>
      <c r="J194" s="30" t="str">
        <f aca="false">IF(I194=1,A194-H193,"")</f>
        <v/>
      </c>
      <c r="K194" s="27" t="n">
        <f aca="false">IF(B194="Wednesday",0,C194)</f>
        <v>-11466</v>
      </c>
      <c r="L194" s="28" t="n">
        <f aca="false">L193+K194/$T$1*100</f>
        <v>122.525083125</v>
      </c>
      <c r="M194" s="28" t="n">
        <f aca="false">MAX(0,MAX($L$2:L194))</f>
        <v>124.84213</v>
      </c>
      <c r="N194" s="28" t="n">
        <f aca="false">L194-M194</f>
        <v>-2.31704687499999</v>
      </c>
      <c r="O194" s="25" t="n">
        <f aca="false">IF(N194&gt;=-0.0000001,A194,O193)</f>
        <v>46104</v>
      </c>
      <c r="P194" s="29" t="n">
        <f aca="false">IF(AND(N194&gt;=-0.0000001,N193&lt;0),1,0)</f>
        <v>0</v>
      </c>
      <c r="Q194" s="30" t="str">
        <f aca="false">IF(P194=1,A194-O193,"")</f>
        <v/>
      </c>
    </row>
    <row r="195" customFormat="false" ht="15" hidden="false" customHeight="false" outlineLevel="0" collapsed="false">
      <c r="A195" s="25" t="n">
        <v>46111</v>
      </c>
      <c r="B195" s="26" t="s">
        <v>79</v>
      </c>
      <c r="C195" s="27" t="n">
        <v>3032.25</v>
      </c>
      <c r="D195" s="28" t="n">
        <f aca="false">C195/$T$1*100</f>
        <v>0.189515625</v>
      </c>
      <c r="E195" s="28" t="n">
        <f aca="false">E194+D195</f>
        <v>105.105380625</v>
      </c>
      <c r="F195" s="28" t="n">
        <f aca="false">MAX(0,MAX($E$2:E195))</f>
        <v>108.453286875</v>
      </c>
      <c r="G195" s="28" t="n">
        <f aca="false">E195-F195</f>
        <v>-3.34790624999999</v>
      </c>
      <c r="H195" s="25" t="n">
        <f aca="false">IF(G195&gt;=-0.0000001,A195,H194)</f>
        <v>46104</v>
      </c>
      <c r="I195" s="29" t="n">
        <f aca="false">IF(AND(G195&gt;=-0.0000001,G194&lt;0),1,0)</f>
        <v>0</v>
      </c>
      <c r="J195" s="30" t="str">
        <f aca="false">IF(I195=1,A195-H194,"")</f>
        <v/>
      </c>
      <c r="K195" s="27" t="n">
        <f aca="false">IF(B195="Wednesday",0,C195)</f>
        <v>3032.25</v>
      </c>
      <c r="L195" s="28" t="n">
        <f aca="false">L194+K195/$T$1*100</f>
        <v>122.71459875</v>
      </c>
      <c r="M195" s="28" t="n">
        <f aca="false">MAX(0,MAX($L$2:L195))</f>
        <v>124.84213</v>
      </c>
      <c r="N195" s="28" t="n">
        <f aca="false">L195-M195</f>
        <v>-2.12753124999999</v>
      </c>
      <c r="O195" s="25" t="n">
        <f aca="false">IF(N195&gt;=-0.0000001,A195,O194)</f>
        <v>46104</v>
      </c>
      <c r="P195" s="29" t="n">
        <f aca="false">IF(AND(N195&gt;=-0.0000001,N194&lt;0),1,0)</f>
        <v>0</v>
      </c>
      <c r="Q195" s="30" t="str">
        <f aca="false">IF(P195=1,A195-O194,"")</f>
        <v/>
      </c>
    </row>
    <row r="196" customFormat="false" ht="15" hidden="false" customHeight="false" outlineLevel="0" collapsed="false">
      <c r="A196" s="25" t="n">
        <v>46114</v>
      </c>
      <c r="B196" s="26" t="s">
        <v>82</v>
      </c>
      <c r="C196" s="27" t="n">
        <v>80093</v>
      </c>
      <c r="D196" s="28" t="n">
        <f aca="false">C196/$T$1*100</f>
        <v>5.0058125</v>
      </c>
      <c r="E196" s="28" t="n">
        <f aca="false">E195+D196</f>
        <v>110.111193125</v>
      </c>
      <c r="F196" s="28" t="n">
        <f aca="false">MAX(0,MAX($E$2:E196))</f>
        <v>110.111193125</v>
      </c>
      <c r="G196" s="28" t="n">
        <f aca="false">E196-F196</f>
        <v>0</v>
      </c>
      <c r="H196" s="25" t="n">
        <f aca="false">IF(G196&gt;=-0.0000001,A196,H195)</f>
        <v>46114</v>
      </c>
      <c r="I196" s="29" t="n">
        <f aca="false">IF(AND(G196&gt;=-0.0000001,G195&lt;0),1,0)</f>
        <v>1</v>
      </c>
      <c r="J196" s="30" t="n">
        <f aca="false">IF(I196=1,A196-H195,"")</f>
        <v>10</v>
      </c>
      <c r="K196" s="27" t="n">
        <f aca="false">IF(B196="Wednesday",0,C196)</f>
        <v>80093</v>
      </c>
      <c r="L196" s="28" t="n">
        <f aca="false">L195+K196/$T$1*100</f>
        <v>127.72041125</v>
      </c>
      <c r="M196" s="28" t="n">
        <f aca="false">MAX(0,MAX($L$2:L196))</f>
        <v>127.72041125</v>
      </c>
      <c r="N196" s="28" t="n">
        <f aca="false">L196-M196</f>
        <v>0</v>
      </c>
      <c r="O196" s="25" t="n">
        <f aca="false">IF(N196&gt;=-0.0000001,A196,O195)</f>
        <v>46114</v>
      </c>
      <c r="P196" s="29" t="n">
        <f aca="false">IF(AND(N196&gt;=-0.0000001,N195&lt;0),1,0)</f>
        <v>1</v>
      </c>
      <c r="Q196" s="30" t="n">
        <f aca="false">IF(P196=1,A196-O195,"")</f>
        <v>10</v>
      </c>
    </row>
    <row r="197" customFormat="false" ht="15" hidden="false" customHeight="false" outlineLevel="0" collapsed="false">
      <c r="A197" s="25" t="n">
        <v>46118</v>
      </c>
      <c r="B197" s="26" t="s">
        <v>79</v>
      </c>
      <c r="C197" s="27" t="n">
        <v>-50999</v>
      </c>
      <c r="D197" s="28" t="n">
        <f aca="false">C197/$T$1*100</f>
        <v>-3.1874375</v>
      </c>
      <c r="E197" s="28" t="n">
        <f aca="false">E196+D197</f>
        <v>106.923755625</v>
      </c>
      <c r="F197" s="28" t="n">
        <f aca="false">MAX(0,MAX($E$2:E197))</f>
        <v>110.111193125</v>
      </c>
      <c r="G197" s="28" t="n">
        <f aca="false">E197-F197</f>
        <v>-3.1874375</v>
      </c>
      <c r="H197" s="25" t="n">
        <f aca="false">IF(G197&gt;=-0.0000001,A197,H196)</f>
        <v>46114</v>
      </c>
      <c r="I197" s="29" t="n">
        <f aca="false">IF(AND(G197&gt;=-0.0000001,G196&lt;0),1,0)</f>
        <v>0</v>
      </c>
      <c r="J197" s="30" t="str">
        <f aca="false">IF(I197=1,A197-H196,"")</f>
        <v/>
      </c>
      <c r="K197" s="27" t="n">
        <f aca="false">IF(B197="Wednesday",0,C197)</f>
        <v>-50999</v>
      </c>
      <c r="L197" s="28" t="n">
        <f aca="false">L196+K197/$T$1*100</f>
        <v>124.53297375</v>
      </c>
      <c r="M197" s="28" t="n">
        <f aca="false">MAX(0,MAX($L$2:L197))</f>
        <v>127.72041125</v>
      </c>
      <c r="N197" s="28" t="n">
        <f aca="false">L197-M197</f>
        <v>-3.1874375</v>
      </c>
      <c r="O197" s="25" t="n">
        <f aca="false">IF(N197&gt;=-0.0000001,A197,O196)</f>
        <v>46114</v>
      </c>
      <c r="P197" s="29" t="n">
        <f aca="false">IF(AND(N197&gt;=-0.0000001,N196&lt;0),1,0)</f>
        <v>0</v>
      </c>
      <c r="Q197" s="30" t="str">
        <f aca="false">IF(P197=1,A197-O196,"")</f>
        <v/>
      </c>
    </row>
    <row r="198" customFormat="false" ht="15" hidden="false" customHeight="false" outlineLevel="0" collapsed="false">
      <c r="A198" s="25" t="n">
        <v>46119</v>
      </c>
      <c r="B198" s="26" t="s">
        <v>80</v>
      </c>
      <c r="C198" s="27" t="n">
        <v>17085.25</v>
      </c>
      <c r="D198" s="28" t="n">
        <f aca="false">C198/$T$1*100</f>
        <v>1.067828125</v>
      </c>
      <c r="E198" s="28" t="n">
        <f aca="false">E197+D198</f>
        <v>107.99158375</v>
      </c>
      <c r="F198" s="28" t="n">
        <f aca="false">MAX(0,MAX($E$2:E198))</f>
        <v>110.111193125</v>
      </c>
      <c r="G198" s="28" t="n">
        <f aca="false">E198-F198</f>
        <v>-2.119609375</v>
      </c>
      <c r="H198" s="25" t="n">
        <f aca="false">IF(G198&gt;=-0.0000001,A198,H197)</f>
        <v>46114</v>
      </c>
      <c r="I198" s="29" t="n">
        <f aca="false">IF(AND(G198&gt;=-0.0000001,G197&lt;0),1,0)</f>
        <v>0</v>
      </c>
      <c r="J198" s="30" t="str">
        <f aca="false">IF(I198=1,A198-H197,"")</f>
        <v/>
      </c>
      <c r="K198" s="27" t="n">
        <f aca="false">IF(B198="Wednesday",0,C198)</f>
        <v>17085.25</v>
      </c>
      <c r="L198" s="28" t="n">
        <f aca="false">L197+K198/$T$1*100</f>
        <v>125.600801875</v>
      </c>
      <c r="M198" s="28" t="n">
        <f aca="false">MAX(0,MAX($L$2:L198))</f>
        <v>127.72041125</v>
      </c>
      <c r="N198" s="28" t="n">
        <f aca="false">L198-M198</f>
        <v>-2.119609375</v>
      </c>
      <c r="O198" s="25" t="n">
        <f aca="false">IF(N198&gt;=-0.0000001,A198,O197)</f>
        <v>46114</v>
      </c>
      <c r="P198" s="29" t="n">
        <f aca="false">IF(AND(N198&gt;=-0.0000001,N197&lt;0),1,0)</f>
        <v>0</v>
      </c>
      <c r="Q198" s="30" t="str">
        <f aca="false">IF(P198=1,A198-O197,"")</f>
        <v/>
      </c>
    </row>
    <row r="199" customFormat="false" ht="15" hidden="false" customHeight="false" outlineLevel="0" collapsed="false">
      <c r="A199" s="25" t="n">
        <v>46120</v>
      </c>
      <c r="B199" s="26" t="s">
        <v>81</v>
      </c>
      <c r="C199" s="27" t="n">
        <v>893.75</v>
      </c>
      <c r="D199" s="28" t="n">
        <f aca="false">C199/$T$1*100</f>
        <v>0.055859375</v>
      </c>
      <c r="E199" s="28" t="n">
        <f aca="false">E198+D199</f>
        <v>108.047443125</v>
      </c>
      <c r="F199" s="28" t="n">
        <f aca="false">MAX(0,MAX($E$2:E199))</f>
        <v>110.111193125</v>
      </c>
      <c r="G199" s="28" t="n">
        <f aca="false">E199-F199</f>
        <v>-2.06375</v>
      </c>
      <c r="H199" s="25" t="n">
        <f aca="false">IF(G199&gt;=-0.0000001,A199,H198)</f>
        <v>46114</v>
      </c>
      <c r="I199" s="29" t="n">
        <f aca="false">IF(AND(G199&gt;=-0.0000001,G198&lt;0),1,0)</f>
        <v>0</v>
      </c>
      <c r="J199" s="30" t="str">
        <f aca="false">IF(I199=1,A199-H198,"")</f>
        <v/>
      </c>
      <c r="K199" s="27" t="n">
        <f aca="false">IF(B199="Wednesday",0,C199)</f>
        <v>0</v>
      </c>
      <c r="L199" s="28" t="n">
        <f aca="false">L198+K199/$T$1*100</f>
        <v>125.600801875</v>
      </c>
      <c r="M199" s="28" t="n">
        <f aca="false">MAX(0,MAX($L$2:L199))</f>
        <v>127.72041125</v>
      </c>
      <c r="N199" s="28" t="n">
        <f aca="false">L199-M199</f>
        <v>-2.119609375</v>
      </c>
      <c r="O199" s="25" t="n">
        <f aca="false">IF(N199&gt;=-0.0000001,A199,O198)</f>
        <v>46114</v>
      </c>
      <c r="P199" s="29" t="n">
        <f aca="false">IF(AND(N199&gt;=-0.0000001,N198&lt;0),1,0)</f>
        <v>0</v>
      </c>
      <c r="Q199" s="30" t="str">
        <f aca="false">IF(P199=1,A199-O198,"")</f>
        <v/>
      </c>
    </row>
    <row r="200" customFormat="false" ht="15" hidden="false" customHeight="false" outlineLevel="0" collapsed="false">
      <c r="A200" s="25" t="n">
        <v>46121</v>
      </c>
      <c r="B200" s="26" t="s">
        <v>82</v>
      </c>
      <c r="C200" s="27" t="n">
        <v>20848.75</v>
      </c>
      <c r="D200" s="28" t="n">
        <f aca="false">C200/$T$1*100</f>
        <v>1.303046875</v>
      </c>
      <c r="E200" s="28" t="n">
        <f aca="false">E199+D200</f>
        <v>109.35049</v>
      </c>
      <c r="F200" s="28" t="n">
        <f aca="false">MAX(0,MAX($E$2:E200))</f>
        <v>110.111193125</v>
      </c>
      <c r="G200" s="28" t="n">
        <f aca="false">E200-F200</f>
        <v>-0.760703124999992</v>
      </c>
      <c r="H200" s="25" t="n">
        <f aca="false">IF(G200&gt;=-0.0000001,A200,H199)</f>
        <v>46114</v>
      </c>
      <c r="I200" s="29" t="n">
        <f aca="false">IF(AND(G200&gt;=-0.0000001,G199&lt;0),1,0)</f>
        <v>0</v>
      </c>
      <c r="J200" s="30" t="str">
        <f aca="false">IF(I200=1,A200-H199,"")</f>
        <v/>
      </c>
      <c r="K200" s="27" t="n">
        <f aca="false">IF(B200="Wednesday",0,C200)</f>
        <v>20848.75</v>
      </c>
      <c r="L200" s="28" t="n">
        <f aca="false">L199+K200/$T$1*100</f>
        <v>126.90384875</v>
      </c>
      <c r="M200" s="28" t="n">
        <f aca="false">MAX(0,MAX($L$2:L200))</f>
        <v>127.72041125</v>
      </c>
      <c r="N200" s="28" t="n">
        <f aca="false">L200-M200</f>
        <v>-0.816562499999989</v>
      </c>
      <c r="O200" s="25" t="n">
        <f aca="false">IF(N200&gt;=-0.0000001,A200,O199)</f>
        <v>46114</v>
      </c>
      <c r="P200" s="29" t="n">
        <f aca="false">IF(AND(N200&gt;=-0.0000001,N199&lt;0),1,0)</f>
        <v>0</v>
      </c>
      <c r="Q200" s="30" t="str">
        <f aca="false">IF(P200=1,A200-O199,"")</f>
        <v/>
      </c>
    </row>
    <row r="201" customFormat="false" ht="15" hidden="false" customHeight="false" outlineLevel="0" collapsed="false">
      <c r="A201" s="25" t="n">
        <v>46122</v>
      </c>
      <c r="B201" s="26" t="s">
        <v>83</v>
      </c>
      <c r="C201" s="27" t="n">
        <v>2145</v>
      </c>
      <c r="D201" s="28" t="n">
        <f aca="false">C201/$T$1*100</f>
        <v>0.1340625</v>
      </c>
      <c r="E201" s="28" t="n">
        <f aca="false">E200+D201</f>
        <v>109.4845525</v>
      </c>
      <c r="F201" s="28" t="n">
        <f aca="false">MAX(0,MAX($E$2:E201))</f>
        <v>110.111193125</v>
      </c>
      <c r="G201" s="28" t="n">
        <f aca="false">E201-F201</f>
        <v>-0.626640624999993</v>
      </c>
      <c r="H201" s="25" t="n">
        <f aca="false">IF(G201&gt;=-0.0000001,A201,H200)</f>
        <v>46114</v>
      </c>
      <c r="I201" s="29" t="n">
        <f aca="false">IF(AND(G201&gt;=-0.0000001,G200&lt;0),1,0)</f>
        <v>0</v>
      </c>
      <c r="J201" s="30" t="str">
        <f aca="false">IF(I201=1,A201-H200,"")</f>
        <v/>
      </c>
      <c r="K201" s="27" t="n">
        <f aca="false">IF(B201="Wednesday",0,C201)</f>
        <v>2145</v>
      </c>
      <c r="L201" s="28" t="n">
        <f aca="false">L200+K201/$T$1*100</f>
        <v>127.03791125</v>
      </c>
      <c r="M201" s="28" t="n">
        <f aca="false">MAX(0,MAX($L$2:L201))</f>
        <v>127.72041125</v>
      </c>
      <c r="N201" s="28" t="n">
        <f aca="false">L201-M201</f>
        <v>-0.68249999999999</v>
      </c>
      <c r="O201" s="25" t="n">
        <f aca="false">IF(N201&gt;=-0.0000001,A201,O200)</f>
        <v>46114</v>
      </c>
      <c r="P201" s="29" t="n">
        <f aca="false">IF(AND(N201&gt;=-0.0000001,N200&lt;0),1,0)</f>
        <v>0</v>
      </c>
      <c r="Q201" s="30" t="str">
        <f aca="false">IF(P201=1,A201-O200,"")</f>
        <v/>
      </c>
    </row>
    <row r="202" customFormat="false" ht="15" hidden="false" customHeight="false" outlineLevel="0" collapsed="false">
      <c r="A202" s="25" t="n">
        <v>46125</v>
      </c>
      <c r="B202" s="26" t="s">
        <v>79</v>
      </c>
      <c r="C202" s="27" t="n">
        <v>13643.5</v>
      </c>
      <c r="D202" s="28" t="n">
        <f aca="false">C202/$T$1*100</f>
        <v>0.85271875</v>
      </c>
      <c r="E202" s="28" t="n">
        <f aca="false">E201+D202</f>
        <v>110.33727125</v>
      </c>
      <c r="F202" s="28" t="n">
        <f aca="false">MAX(0,MAX($E$2:E202))</f>
        <v>110.33727125</v>
      </c>
      <c r="G202" s="28" t="n">
        <f aca="false">E202-F202</f>
        <v>0</v>
      </c>
      <c r="H202" s="25" t="n">
        <f aca="false">IF(G202&gt;=-0.0000001,A202,H201)</f>
        <v>46125</v>
      </c>
      <c r="I202" s="29" t="n">
        <f aca="false">IF(AND(G202&gt;=-0.0000001,G201&lt;0),1,0)</f>
        <v>1</v>
      </c>
      <c r="J202" s="30" t="n">
        <f aca="false">IF(I202=1,A202-H201,"")</f>
        <v>11</v>
      </c>
      <c r="K202" s="27" t="n">
        <f aca="false">IF(B202="Wednesday",0,C202)</f>
        <v>13643.5</v>
      </c>
      <c r="L202" s="28" t="n">
        <f aca="false">L201+K202/$T$1*100</f>
        <v>127.89063</v>
      </c>
      <c r="M202" s="28" t="n">
        <f aca="false">MAX(0,MAX($L$2:L202))</f>
        <v>127.89063</v>
      </c>
      <c r="N202" s="28" t="n">
        <f aca="false">L202-M202</f>
        <v>0</v>
      </c>
      <c r="O202" s="25" t="n">
        <f aca="false">IF(N202&gt;=-0.0000001,A202,O201)</f>
        <v>46125</v>
      </c>
      <c r="P202" s="29" t="n">
        <f aca="false">IF(AND(N202&gt;=-0.0000001,N201&lt;0),1,0)</f>
        <v>1</v>
      </c>
      <c r="Q202" s="30" t="n">
        <f aca="false">IF(P202=1,A202-O201,"")</f>
        <v>11</v>
      </c>
    </row>
    <row r="203" customFormat="false" ht="15" hidden="false" customHeight="false" outlineLevel="0" collapsed="false">
      <c r="A203" s="25" t="n">
        <v>46128</v>
      </c>
      <c r="B203" s="26" t="s">
        <v>82</v>
      </c>
      <c r="C203" s="27" t="n">
        <v>8287.5</v>
      </c>
      <c r="D203" s="28" t="n">
        <f aca="false">C203/$T$1*100</f>
        <v>0.51796875</v>
      </c>
      <c r="E203" s="28" t="n">
        <f aca="false">E202+D203</f>
        <v>110.85524</v>
      </c>
      <c r="F203" s="28" t="n">
        <f aca="false">MAX(0,MAX($E$2:E203))</f>
        <v>110.85524</v>
      </c>
      <c r="G203" s="28" t="n">
        <f aca="false">E203-F203</f>
        <v>0</v>
      </c>
      <c r="H203" s="25" t="n">
        <f aca="false">IF(G203&gt;=-0.0000001,A203,H202)</f>
        <v>46128</v>
      </c>
      <c r="I203" s="29" t="n">
        <f aca="false">IF(AND(G203&gt;=-0.0000001,G202&lt;0),1,0)</f>
        <v>0</v>
      </c>
      <c r="J203" s="30" t="str">
        <f aca="false">IF(I203=1,A203-H202,"")</f>
        <v/>
      </c>
      <c r="K203" s="27" t="n">
        <f aca="false">IF(B203="Wednesday",0,C203)</f>
        <v>8287.5</v>
      </c>
      <c r="L203" s="28" t="n">
        <f aca="false">L202+K203/$T$1*100</f>
        <v>128.40859875</v>
      </c>
      <c r="M203" s="28" t="n">
        <f aca="false">MAX(0,MAX($L$2:L203))</f>
        <v>128.40859875</v>
      </c>
      <c r="N203" s="28" t="n">
        <f aca="false">L203-M203</f>
        <v>0</v>
      </c>
      <c r="O203" s="25" t="n">
        <f aca="false">IF(N203&gt;=-0.0000001,A203,O202)</f>
        <v>46128</v>
      </c>
      <c r="P203" s="29" t="n">
        <f aca="false">IF(AND(N203&gt;=-0.0000001,N202&lt;0),1,0)</f>
        <v>0</v>
      </c>
      <c r="Q203" s="30" t="str">
        <f aca="false">IF(P203=1,A203-O202,"")</f>
        <v/>
      </c>
    </row>
    <row r="204" customFormat="false" ht="15" hidden="false" customHeight="false" outlineLevel="0" collapsed="false">
      <c r="A204" s="25" t="n">
        <v>46129</v>
      </c>
      <c r="B204" s="26" t="s">
        <v>83</v>
      </c>
      <c r="C204" s="27" t="n">
        <v>-552.5</v>
      </c>
      <c r="D204" s="28" t="n">
        <f aca="false">C204/$T$1*100</f>
        <v>-0.03453125</v>
      </c>
      <c r="E204" s="28" t="n">
        <f aca="false">E203+D204</f>
        <v>110.82070875</v>
      </c>
      <c r="F204" s="28" t="n">
        <f aca="false">MAX(0,MAX($E$2:E204))</f>
        <v>110.85524</v>
      </c>
      <c r="G204" s="28" t="n">
        <f aca="false">E204-F204</f>
        <v>-0.0345312500000006</v>
      </c>
      <c r="H204" s="25" t="n">
        <f aca="false">IF(G204&gt;=-0.0000001,A204,H203)</f>
        <v>46128</v>
      </c>
      <c r="I204" s="29" t="n">
        <f aca="false">IF(AND(G204&gt;=-0.0000001,G203&lt;0),1,0)</f>
        <v>0</v>
      </c>
      <c r="J204" s="30" t="str">
        <f aca="false">IF(I204=1,A204-H203,"")</f>
        <v/>
      </c>
      <c r="K204" s="27" t="n">
        <f aca="false">IF(B204="Wednesday",0,C204)</f>
        <v>-552.5</v>
      </c>
      <c r="L204" s="28" t="n">
        <f aca="false">L203+K204/$T$1*100</f>
        <v>128.3740675</v>
      </c>
      <c r="M204" s="28" t="n">
        <f aca="false">MAX(0,MAX($L$2:L204))</f>
        <v>128.40859875</v>
      </c>
      <c r="N204" s="28" t="n">
        <f aca="false">L204-M204</f>
        <v>-0.0345312499999864</v>
      </c>
      <c r="O204" s="25" t="n">
        <f aca="false">IF(N204&gt;=-0.0000001,A204,O203)</f>
        <v>46128</v>
      </c>
      <c r="P204" s="29" t="n">
        <f aca="false">IF(AND(N204&gt;=-0.0000001,N203&lt;0),1,0)</f>
        <v>0</v>
      </c>
      <c r="Q204" s="30" t="str">
        <f aca="false">IF(P204=1,A204-O203,"")</f>
        <v/>
      </c>
    </row>
    <row r="205" customFormat="false" ht="15" hidden="false" customHeight="false" outlineLevel="0" collapsed="false">
      <c r="A205" s="25" t="n">
        <v>46132</v>
      </c>
      <c r="B205" s="26" t="s">
        <v>79</v>
      </c>
      <c r="C205" s="27" t="n">
        <v>2600</v>
      </c>
      <c r="D205" s="28" t="n">
        <f aca="false">C205/$T$1*100</f>
        <v>0.1625</v>
      </c>
      <c r="E205" s="28" t="n">
        <f aca="false">E204+D205</f>
        <v>110.98320875</v>
      </c>
      <c r="F205" s="28" t="n">
        <f aca="false">MAX(0,MAX($E$2:E205))</f>
        <v>110.98320875</v>
      </c>
      <c r="G205" s="28" t="n">
        <f aca="false">E205-F205</f>
        <v>0</v>
      </c>
      <c r="H205" s="25" t="n">
        <f aca="false">IF(G205&gt;=-0.0000001,A205,H204)</f>
        <v>46132</v>
      </c>
      <c r="I205" s="29" t="n">
        <f aca="false">IF(AND(G205&gt;=-0.0000001,G204&lt;0),1,0)</f>
        <v>1</v>
      </c>
      <c r="J205" s="30" t="n">
        <f aca="false">IF(I205=1,A205-H204,"")</f>
        <v>4</v>
      </c>
      <c r="K205" s="27" t="n">
        <f aca="false">IF(B205="Wednesday",0,C205)</f>
        <v>2600</v>
      </c>
      <c r="L205" s="28" t="n">
        <f aca="false">L204+K205/$T$1*100</f>
        <v>128.5365675</v>
      </c>
      <c r="M205" s="28" t="n">
        <f aca="false">MAX(0,MAX($L$2:L205))</f>
        <v>128.5365675</v>
      </c>
      <c r="N205" s="28" t="n">
        <f aca="false">L205-M205</f>
        <v>0</v>
      </c>
      <c r="O205" s="25" t="n">
        <f aca="false">IF(N205&gt;=-0.0000001,A205,O204)</f>
        <v>46132</v>
      </c>
      <c r="P205" s="29" t="n">
        <f aca="false">IF(AND(N205&gt;=-0.0000001,N204&lt;0),1,0)</f>
        <v>1</v>
      </c>
      <c r="Q205" s="30" t="n">
        <f aca="false">IF(P205=1,A205-O204,"")</f>
        <v>4</v>
      </c>
    </row>
    <row r="206" customFormat="false" ht="15" hidden="false" customHeight="false" outlineLevel="0" collapsed="false">
      <c r="A206" s="25" t="n">
        <v>46133</v>
      </c>
      <c r="B206" s="26" t="s">
        <v>80</v>
      </c>
      <c r="C206" s="27" t="n">
        <v>50784.5</v>
      </c>
      <c r="D206" s="28" t="n">
        <f aca="false">C206/$T$1*100</f>
        <v>3.17403125</v>
      </c>
      <c r="E206" s="28" t="n">
        <f aca="false">E205+D206</f>
        <v>114.15724</v>
      </c>
      <c r="F206" s="28" t="n">
        <f aca="false">MAX(0,MAX($E$2:E206))</f>
        <v>114.15724</v>
      </c>
      <c r="G206" s="28" t="n">
        <f aca="false">E206-F206</f>
        <v>0</v>
      </c>
      <c r="H206" s="25" t="n">
        <f aca="false">IF(G206&gt;=-0.0000001,A206,H205)</f>
        <v>46133</v>
      </c>
      <c r="I206" s="29" t="n">
        <f aca="false">IF(AND(G206&gt;=-0.0000001,G205&lt;0),1,0)</f>
        <v>0</v>
      </c>
      <c r="J206" s="30" t="str">
        <f aca="false">IF(I206=1,A206-H205,"")</f>
        <v/>
      </c>
      <c r="K206" s="27" t="n">
        <f aca="false">IF(B206="Wednesday",0,C206)</f>
        <v>50784.5</v>
      </c>
      <c r="L206" s="28" t="n">
        <f aca="false">L205+K206/$T$1*100</f>
        <v>131.71059875</v>
      </c>
      <c r="M206" s="28" t="n">
        <f aca="false">MAX(0,MAX($L$2:L206))</f>
        <v>131.71059875</v>
      </c>
      <c r="N206" s="28" t="n">
        <f aca="false">L206-M206</f>
        <v>0</v>
      </c>
      <c r="O206" s="25" t="n">
        <f aca="false">IF(N206&gt;=-0.0000001,A206,O205)</f>
        <v>46133</v>
      </c>
      <c r="P206" s="29" t="n">
        <f aca="false">IF(AND(N206&gt;=-0.0000001,N205&lt;0),1,0)</f>
        <v>0</v>
      </c>
      <c r="Q206" s="30" t="str">
        <f aca="false">IF(P206=1,A206-O205,"")</f>
        <v/>
      </c>
    </row>
    <row r="207" customFormat="false" ht="15" hidden="false" customHeight="false" outlineLevel="0" collapsed="false">
      <c r="A207" s="25" t="n">
        <v>46134</v>
      </c>
      <c r="B207" s="26" t="s">
        <v>81</v>
      </c>
      <c r="C207" s="27" t="n">
        <v>633.75</v>
      </c>
      <c r="D207" s="28" t="n">
        <f aca="false">C207/$T$1*100</f>
        <v>0.039609375</v>
      </c>
      <c r="E207" s="28" t="n">
        <f aca="false">E206+D207</f>
        <v>114.196849375</v>
      </c>
      <c r="F207" s="28" t="n">
        <f aca="false">MAX(0,MAX($E$2:E207))</f>
        <v>114.196849375</v>
      </c>
      <c r="G207" s="28" t="n">
        <f aca="false">E207-F207</f>
        <v>0</v>
      </c>
      <c r="H207" s="25" t="n">
        <f aca="false">IF(G207&gt;=-0.0000001,A207,H206)</f>
        <v>46134</v>
      </c>
      <c r="I207" s="29" t="n">
        <f aca="false">IF(AND(G207&gt;=-0.0000001,G206&lt;0),1,0)</f>
        <v>0</v>
      </c>
      <c r="J207" s="30" t="str">
        <f aca="false">IF(I207=1,A207-H206,"")</f>
        <v/>
      </c>
      <c r="K207" s="27" t="n">
        <f aca="false">IF(B207="Wednesday",0,C207)</f>
        <v>0</v>
      </c>
      <c r="L207" s="28" t="n">
        <f aca="false">L206+K207/$T$1*100</f>
        <v>131.71059875</v>
      </c>
      <c r="M207" s="28" t="n">
        <f aca="false">MAX(0,MAX($L$2:L207))</f>
        <v>131.71059875</v>
      </c>
      <c r="N207" s="28" t="n">
        <f aca="false">L207-M207</f>
        <v>0</v>
      </c>
      <c r="O207" s="25" t="n">
        <f aca="false">IF(N207&gt;=-0.0000001,A207,O206)</f>
        <v>46134</v>
      </c>
      <c r="P207" s="29" t="n">
        <f aca="false">IF(AND(N207&gt;=-0.0000001,N206&lt;0),1,0)</f>
        <v>0</v>
      </c>
      <c r="Q207" s="30" t="str">
        <f aca="false">IF(P207=1,A207-O206,"")</f>
        <v/>
      </c>
    </row>
    <row r="208" customFormat="false" ht="15" hidden="false" customHeight="false" outlineLevel="0" collapsed="false">
      <c r="A208" s="25" t="n">
        <v>46135</v>
      </c>
      <c r="B208" s="26" t="s">
        <v>82</v>
      </c>
      <c r="C208" s="27" t="n">
        <v>63700</v>
      </c>
      <c r="D208" s="28" t="n">
        <f aca="false">C208/$T$1*100</f>
        <v>3.98125</v>
      </c>
      <c r="E208" s="28" t="n">
        <f aca="false">E207+D208</f>
        <v>118.178099375</v>
      </c>
      <c r="F208" s="28" t="n">
        <f aca="false">MAX(0,MAX($E$2:E208))</f>
        <v>118.178099375</v>
      </c>
      <c r="G208" s="28" t="n">
        <f aca="false">E208-F208</f>
        <v>0</v>
      </c>
      <c r="H208" s="25" t="n">
        <f aca="false">IF(G208&gt;=-0.0000001,A208,H207)</f>
        <v>46135</v>
      </c>
      <c r="I208" s="29" t="n">
        <f aca="false">IF(AND(G208&gt;=-0.0000001,G207&lt;0),1,0)</f>
        <v>0</v>
      </c>
      <c r="J208" s="30" t="str">
        <f aca="false">IF(I208=1,A208-H207,"")</f>
        <v/>
      </c>
      <c r="K208" s="27" t="n">
        <f aca="false">IF(B208="Wednesday",0,C208)</f>
        <v>63700</v>
      </c>
      <c r="L208" s="28" t="n">
        <f aca="false">L207+K208/$T$1*100</f>
        <v>135.69184875</v>
      </c>
      <c r="M208" s="28" t="n">
        <f aca="false">MAX(0,MAX($L$2:L208))</f>
        <v>135.69184875</v>
      </c>
      <c r="N208" s="28" t="n">
        <f aca="false">L208-M208</f>
        <v>0</v>
      </c>
      <c r="O208" s="25" t="n">
        <f aca="false">IF(N208&gt;=-0.0000001,A208,O207)</f>
        <v>46135</v>
      </c>
      <c r="P208" s="29" t="n">
        <f aca="false">IF(AND(N208&gt;=-0.0000001,N207&lt;0),1,0)</f>
        <v>0</v>
      </c>
      <c r="Q208" s="30" t="str">
        <f aca="false">IF(P208=1,A208-O207,"")</f>
        <v/>
      </c>
    </row>
    <row r="209" customFormat="false" ht="15" hidden="false" customHeight="false" outlineLevel="0" collapsed="false">
      <c r="A209" s="25" t="n">
        <v>46136</v>
      </c>
      <c r="B209" s="26" t="s">
        <v>83</v>
      </c>
      <c r="C209" s="27" t="n">
        <v>39455</v>
      </c>
      <c r="D209" s="28" t="n">
        <f aca="false">C209/$T$1*100</f>
        <v>2.4659375</v>
      </c>
      <c r="E209" s="28" t="n">
        <f aca="false">E208+D209</f>
        <v>120.644036875</v>
      </c>
      <c r="F209" s="28" t="n">
        <f aca="false">MAX(0,MAX($E$2:E209))</f>
        <v>120.644036875</v>
      </c>
      <c r="G209" s="28" t="n">
        <f aca="false">E209-F209</f>
        <v>0</v>
      </c>
      <c r="H209" s="25" t="n">
        <f aca="false">IF(G209&gt;=-0.0000001,A209,H208)</f>
        <v>46136</v>
      </c>
      <c r="I209" s="29" t="n">
        <f aca="false">IF(AND(G209&gt;=-0.0000001,G208&lt;0),1,0)</f>
        <v>0</v>
      </c>
      <c r="J209" s="30" t="str">
        <f aca="false">IF(I209=1,A209-H208,"")</f>
        <v/>
      </c>
      <c r="K209" s="27" t="n">
        <f aca="false">IF(B209="Wednesday",0,C209)</f>
        <v>39455</v>
      </c>
      <c r="L209" s="28" t="n">
        <f aca="false">L208+K209/$T$1*100</f>
        <v>138.15778625</v>
      </c>
      <c r="M209" s="28" t="n">
        <f aca="false">MAX(0,MAX($L$2:L209))</f>
        <v>138.15778625</v>
      </c>
      <c r="N209" s="28" t="n">
        <f aca="false">L209-M209</f>
        <v>0</v>
      </c>
      <c r="O209" s="25" t="n">
        <f aca="false">IF(N209&gt;=-0.0000001,A209,O208)</f>
        <v>46136</v>
      </c>
      <c r="P209" s="29" t="n">
        <f aca="false">IF(AND(N209&gt;=-0.0000001,N208&lt;0),1,0)</f>
        <v>0</v>
      </c>
      <c r="Q209" s="30" t="str">
        <f aca="false">IF(P209=1,A209-O208,"")</f>
        <v/>
      </c>
    </row>
    <row r="210" customFormat="false" ht="15" hidden="false" customHeight="false" outlineLevel="0" collapsed="false">
      <c r="A210" s="25" t="n">
        <v>46139</v>
      </c>
      <c r="B210" s="26" t="s">
        <v>79</v>
      </c>
      <c r="C210" s="27" t="n">
        <v>-24368.5</v>
      </c>
      <c r="D210" s="28" t="n">
        <f aca="false">C210/$T$1*100</f>
        <v>-1.52303125</v>
      </c>
      <c r="E210" s="28" t="n">
        <f aca="false">E209+D210</f>
        <v>119.121005625</v>
      </c>
      <c r="F210" s="28" t="n">
        <f aca="false">MAX(0,MAX($E$2:E210))</f>
        <v>120.644036875</v>
      </c>
      <c r="G210" s="28" t="n">
        <f aca="false">E210-F210</f>
        <v>-1.52303125</v>
      </c>
      <c r="H210" s="25" t="n">
        <f aca="false">IF(G210&gt;=-0.0000001,A210,H209)</f>
        <v>46136</v>
      </c>
      <c r="I210" s="29" t="n">
        <f aca="false">IF(AND(G210&gt;=-0.0000001,G209&lt;0),1,0)</f>
        <v>0</v>
      </c>
      <c r="J210" s="30" t="str">
        <f aca="false">IF(I210=1,A210-H209,"")</f>
        <v/>
      </c>
      <c r="K210" s="27" t="n">
        <f aca="false">IF(B210="Wednesday",0,C210)</f>
        <v>-24368.5</v>
      </c>
      <c r="L210" s="28" t="n">
        <f aca="false">L209+K210/$T$1*100</f>
        <v>136.634755</v>
      </c>
      <c r="M210" s="28" t="n">
        <f aca="false">MAX(0,MAX($L$2:L210))</f>
        <v>138.15778625</v>
      </c>
      <c r="N210" s="28" t="n">
        <f aca="false">L210-M210</f>
        <v>-1.52303125</v>
      </c>
      <c r="O210" s="25" t="n">
        <f aca="false">IF(N210&gt;=-0.0000001,A210,O209)</f>
        <v>46136</v>
      </c>
      <c r="P210" s="29" t="n">
        <f aca="false">IF(AND(N210&gt;=-0.0000001,N209&lt;0),1,0)</f>
        <v>0</v>
      </c>
      <c r="Q210" s="30" t="str">
        <f aca="false">IF(P210=1,A210-O209,"")</f>
        <v/>
      </c>
    </row>
    <row r="211" customFormat="false" ht="15" hidden="false" customHeight="false" outlineLevel="0" collapsed="false">
      <c r="A211" s="25" t="n">
        <v>46140</v>
      </c>
      <c r="B211" s="26" t="s">
        <v>80</v>
      </c>
      <c r="C211" s="27" t="n">
        <v>101302.5</v>
      </c>
      <c r="D211" s="28" t="n">
        <f aca="false">C211/$T$1*100</f>
        <v>6.33140625</v>
      </c>
      <c r="E211" s="28" t="n">
        <f aca="false">E210+D211</f>
        <v>125.452411875</v>
      </c>
      <c r="F211" s="28" t="n">
        <f aca="false">MAX(0,MAX($E$2:E211))</f>
        <v>125.452411875</v>
      </c>
      <c r="G211" s="28" t="n">
        <f aca="false">E211-F211</f>
        <v>0</v>
      </c>
      <c r="H211" s="25" t="n">
        <f aca="false">IF(G211&gt;=-0.0000001,A211,H210)</f>
        <v>46140</v>
      </c>
      <c r="I211" s="29" t="n">
        <f aca="false">IF(AND(G211&gt;=-0.0000001,G210&lt;0),1,0)</f>
        <v>1</v>
      </c>
      <c r="J211" s="30" t="n">
        <f aca="false">IF(I211=1,A211-H210,"")</f>
        <v>4</v>
      </c>
      <c r="K211" s="27" t="n">
        <f aca="false">IF(B211="Wednesday",0,C211)</f>
        <v>101302.5</v>
      </c>
      <c r="L211" s="28" t="n">
        <f aca="false">L210+K211/$T$1*100</f>
        <v>142.96616125</v>
      </c>
      <c r="M211" s="28" t="n">
        <f aca="false">MAX(0,MAX($L$2:L211))</f>
        <v>142.96616125</v>
      </c>
      <c r="N211" s="28" t="n">
        <f aca="false">L211-M211</f>
        <v>0</v>
      </c>
      <c r="O211" s="25" t="n">
        <f aca="false">IF(N211&gt;=-0.0000001,A211,O210)</f>
        <v>46140</v>
      </c>
      <c r="P211" s="29" t="n">
        <f aca="false">IF(AND(N211&gt;=-0.0000001,N210&lt;0),1,0)</f>
        <v>1</v>
      </c>
      <c r="Q211" s="30" t="n">
        <f aca="false">IF(P211=1,A211-O210,"")</f>
        <v>4</v>
      </c>
    </row>
    <row r="212" customFormat="false" ht="15" hidden="false" customHeight="false" outlineLevel="0" collapsed="false">
      <c r="A212" s="25" t="n">
        <v>46141</v>
      </c>
      <c r="B212" s="26" t="s">
        <v>81</v>
      </c>
      <c r="C212" s="27" t="n">
        <v>-6906.25</v>
      </c>
      <c r="D212" s="28" t="n">
        <f aca="false">C212/$T$1*100</f>
        <v>-0.431640625</v>
      </c>
      <c r="E212" s="28" t="n">
        <f aca="false">E211+D212</f>
        <v>125.02077125</v>
      </c>
      <c r="F212" s="28" t="n">
        <f aca="false">MAX(0,MAX($E$2:E212))</f>
        <v>125.452411875</v>
      </c>
      <c r="G212" s="28" t="n">
        <f aca="false">E212-F212</f>
        <v>-0.431640625</v>
      </c>
      <c r="H212" s="25" t="n">
        <f aca="false">IF(G212&gt;=-0.0000001,A212,H211)</f>
        <v>46140</v>
      </c>
      <c r="I212" s="29" t="n">
        <f aca="false">IF(AND(G212&gt;=-0.0000001,G211&lt;0),1,0)</f>
        <v>0</v>
      </c>
      <c r="J212" s="30" t="str">
        <f aca="false">IF(I212=1,A212-H211,"")</f>
        <v/>
      </c>
      <c r="K212" s="27" t="n">
        <f aca="false">IF(B212="Wednesday",0,C212)</f>
        <v>0</v>
      </c>
      <c r="L212" s="28" t="n">
        <f aca="false">L211+K212/$T$1*100</f>
        <v>142.96616125</v>
      </c>
      <c r="M212" s="28" t="n">
        <f aca="false">MAX(0,MAX($L$2:L212))</f>
        <v>142.96616125</v>
      </c>
      <c r="N212" s="28" t="n">
        <f aca="false">L212-M212</f>
        <v>0</v>
      </c>
      <c r="O212" s="25" t="n">
        <f aca="false">IF(N212&gt;=-0.0000001,A212,O211)</f>
        <v>46141</v>
      </c>
      <c r="P212" s="29" t="n">
        <f aca="false">IF(AND(N212&gt;=-0.0000001,N211&lt;0),1,0)</f>
        <v>0</v>
      </c>
      <c r="Q212" s="30" t="str">
        <f aca="false">IF(P212=1,A212-O211,"")</f>
        <v/>
      </c>
    </row>
    <row r="213" customFormat="false" ht="15" hidden="false" customHeight="false" outlineLevel="0" collapsed="false">
      <c r="A213" s="25" t="n">
        <v>46142</v>
      </c>
      <c r="B213" s="26" t="s">
        <v>82</v>
      </c>
      <c r="C213" s="27" t="n">
        <v>78780</v>
      </c>
      <c r="D213" s="28" t="n">
        <f aca="false">C213/$T$1*100</f>
        <v>4.92375</v>
      </c>
      <c r="E213" s="28" t="n">
        <f aca="false">E212+D213</f>
        <v>129.94452125</v>
      </c>
      <c r="F213" s="28" t="n">
        <f aca="false">MAX(0,MAX($E$2:E213))</f>
        <v>129.94452125</v>
      </c>
      <c r="G213" s="28" t="n">
        <f aca="false">E213-F213</f>
        <v>0</v>
      </c>
      <c r="H213" s="25" t="n">
        <f aca="false">IF(G213&gt;=-0.0000001,A213,H212)</f>
        <v>46142</v>
      </c>
      <c r="I213" s="29" t="n">
        <f aca="false">IF(AND(G213&gt;=-0.0000001,G212&lt;0),1,0)</f>
        <v>1</v>
      </c>
      <c r="J213" s="30" t="n">
        <f aca="false">IF(I213=1,A213-H212,"")</f>
        <v>2</v>
      </c>
      <c r="K213" s="27" t="n">
        <f aca="false">IF(B213="Wednesday",0,C213)</f>
        <v>78780</v>
      </c>
      <c r="L213" s="28" t="n">
        <f aca="false">L212+K213/$T$1*100</f>
        <v>147.88991125</v>
      </c>
      <c r="M213" s="28" t="n">
        <f aca="false">MAX(0,MAX($L$2:L213))</f>
        <v>147.88991125</v>
      </c>
      <c r="N213" s="28" t="n">
        <f aca="false">L213-M213</f>
        <v>0</v>
      </c>
      <c r="O213" s="25" t="n">
        <f aca="false">IF(N213&gt;=-0.0000001,A213,O212)</f>
        <v>46142</v>
      </c>
      <c r="P213" s="29" t="n">
        <f aca="false">IF(AND(N213&gt;=-0.0000001,N212&lt;0),1,0)</f>
        <v>0</v>
      </c>
      <c r="Q213" s="30" t="str">
        <f aca="false">IF(P213=1,A213-O212,"")</f>
        <v/>
      </c>
    </row>
    <row r="214" customFormat="false" ht="15" hidden="false" customHeight="false" outlineLevel="0" collapsed="false">
      <c r="A214" s="25" t="n">
        <v>46146</v>
      </c>
      <c r="B214" s="26" t="s">
        <v>79</v>
      </c>
      <c r="C214" s="27" t="n">
        <v>11583</v>
      </c>
      <c r="D214" s="28" t="n">
        <f aca="false">C214/$T$1*100</f>
        <v>0.7239375</v>
      </c>
      <c r="E214" s="28" t="n">
        <f aca="false">E213+D214</f>
        <v>130.66845875</v>
      </c>
      <c r="F214" s="28" t="n">
        <f aca="false">MAX(0,MAX($E$2:E214))</f>
        <v>130.66845875</v>
      </c>
      <c r="G214" s="28" t="n">
        <f aca="false">E214-F214</f>
        <v>0</v>
      </c>
      <c r="H214" s="25" t="n">
        <f aca="false">IF(G214&gt;=-0.0000001,A214,H213)</f>
        <v>46146</v>
      </c>
      <c r="I214" s="29" t="n">
        <f aca="false">IF(AND(G214&gt;=-0.0000001,G213&lt;0),1,0)</f>
        <v>0</v>
      </c>
      <c r="J214" s="30" t="str">
        <f aca="false">IF(I214=1,A214-H213,"")</f>
        <v/>
      </c>
      <c r="K214" s="27" t="n">
        <f aca="false">IF(B214="Wednesday",0,C214)</f>
        <v>11583</v>
      </c>
      <c r="L214" s="28" t="n">
        <f aca="false">L213+K214/$T$1*100</f>
        <v>148.61384875</v>
      </c>
      <c r="M214" s="28" t="n">
        <f aca="false">MAX(0,MAX($L$2:L214))</f>
        <v>148.61384875</v>
      </c>
      <c r="N214" s="28" t="n">
        <f aca="false">L214-M214</f>
        <v>0</v>
      </c>
      <c r="O214" s="25" t="n">
        <f aca="false">IF(N214&gt;=-0.0000001,A214,O213)</f>
        <v>46146</v>
      </c>
      <c r="P214" s="29" t="n">
        <f aca="false">IF(AND(N214&gt;=-0.0000001,N213&lt;0),1,0)</f>
        <v>0</v>
      </c>
      <c r="Q214" s="30" t="str">
        <f aca="false">IF(P214=1,A214-O213,"")</f>
        <v/>
      </c>
    </row>
    <row r="215" customFormat="false" ht="15" hidden="false" customHeight="false" outlineLevel="0" collapsed="false">
      <c r="A215" s="25" t="n">
        <v>46147</v>
      </c>
      <c r="B215" s="26" t="s">
        <v>80</v>
      </c>
      <c r="C215" s="27" t="n">
        <v>102011</v>
      </c>
      <c r="D215" s="28" t="n">
        <f aca="false">C215/$T$1*100</f>
        <v>6.3756875</v>
      </c>
      <c r="E215" s="28" t="n">
        <f aca="false">E214+D215</f>
        <v>137.04414625</v>
      </c>
      <c r="F215" s="28" t="n">
        <f aca="false">MAX(0,MAX($E$2:E215))</f>
        <v>137.04414625</v>
      </c>
      <c r="G215" s="28" t="n">
        <f aca="false">E215-F215</f>
        <v>0</v>
      </c>
      <c r="H215" s="25" t="n">
        <f aca="false">IF(G215&gt;=-0.0000001,A215,H214)</f>
        <v>46147</v>
      </c>
      <c r="I215" s="29" t="n">
        <f aca="false">IF(AND(G215&gt;=-0.0000001,G214&lt;0),1,0)</f>
        <v>0</v>
      </c>
      <c r="J215" s="30" t="str">
        <f aca="false">IF(I215=1,A215-H214,"")</f>
        <v/>
      </c>
      <c r="K215" s="27" t="n">
        <f aca="false">IF(B215="Wednesday",0,C215)</f>
        <v>102011</v>
      </c>
      <c r="L215" s="28" t="n">
        <f aca="false">L214+K215/$T$1*100</f>
        <v>154.98953625</v>
      </c>
      <c r="M215" s="28" t="n">
        <f aca="false">MAX(0,MAX($L$2:L215))</f>
        <v>154.98953625</v>
      </c>
      <c r="N215" s="28" t="n">
        <f aca="false">L215-M215</f>
        <v>0</v>
      </c>
      <c r="O215" s="25" t="n">
        <f aca="false">IF(N215&gt;=-0.0000001,A215,O214)</f>
        <v>46147</v>
      </c>
      <c r="P215" s="29" t="n">
        <f aca="false">IF(AND(N215&gt;=-0.0000001,N214&lt;0),1,0)</f>
        <v>0</v>
      </c>
      <c r="Q215" s="30" t="str">
        <f aca="false">IF(P215=1,A215-O214,"")</f>
        <v/>
      </c>
    </row>
    <row r="216" customFormat="false" ht="15" hidden="false" customHeight="false" outlineLevel="0" collapsed="false">
      <c r="A216" s="25" t="n">
        <v>46148</v>
      </c>
      <c r="B216" s="26" t="s">
        <v>81</v>
      </c>
      <c r="C216" s="27" t="n">
        <v>-14105</v>
      </c>
      <c r="D216" s="28" t="n">
        <f aca="false">C216/$T$1*100</f>
        <v>-0.8815625</v>
      </c>
      <c r="E216" s="28" t="n">
        <f aca="false">E215+D216</f>
        <v>136.16258375</v>
      </c>
      <c r="F216" s="28" t="n">
        <f aca="false">MAX(0,MAX($E$2:E216))</f>
        <v>137.04414625</v>
      </c>
      <c r="G216" s="28" t="n">
        <f aca="false">E216-F216</f>
        <v>-0.881562500000001</v>
      </c>
      <c r="H216" s="25" t="n">
        <f aca="false">IF(G216&gt;=-0.0000001,A216,H215)</f>
        <v>46147</v>
      </c>
      <c r="I216" s="29" t="n">
        <f aca="false">IF(AND(G216&gt;=-0.0000001,G215&lt;0),1,0)</f>
        <v>0</v>
      </c>
      <c r="J216" s="30" t="str">
        <f aca="false">IF(I216=1,A216-H215,"")</f>
        <v/>
      </c>
      <c r="K216" s="27" t="n">
        <f aca="false">IF(B216="Wednesday",0,C216)</f>
        <v>0</v>
      </c>
      <c r="L216" s="28" t="n">
        <f aca="false">L215+K216/$T$1*100</f>
        <v>154.98953625</v>
      </c>
      <c r="M216" s="28" t="n">
        <f aca="false">MAX(0,MAX($L$2:L216))</f>
        <v>154.98953625</v>
      </c>
      <c r="N216" s="28" t="n">
        <f aca="false">L216-M216</f>
        <v>0</v>
      </c>
      <c r="O216" s="25" t="n">
        <f aca="false">IF(N216&gt;=-0.0000001,A216,O215)</f>
        <v>46148</v>
      </c>
      <c r="P216" s="29" t="n">
        <f aca="false">IF(AND(N216&gt;=-0.0000001,N215&lt;0),1,0)</f>
        <v>0</v>
      </c>
      <c r="Q216" s="30" t="str">
        <f aca="false">IF(P216=1,A216-O215,"")</f>
        <v/>
      </c>
    </row>
    <row r="217" customFormat="false" ht="15" hidden="false" customHeight="false" outlineLevel="0" collapsed="false">
      <c r="A217" s="25" t="n">
        <v>46149</v>
      </c>
      <c r="B217" s="26" t="s">
        <v>82</v>
      </c>
      <c r="C217" s="27" t="n">
        <v>34872.5</v>
      </c>
      <c r="D217" s="28" t="n">
        <f aca="false">C217/$T$1*100</f>
        <v>2.17953125</v>
      </c>
      <c r="E217" s="28" t="n">
        <f aca="false">E216+D217</f>
        <v>138.342115</v>
      </c>
      <c r="F217" s="28" t="n">
        <f aca="false">MAX(0,MAX($E$2:E217))</f>
        <v>138.342115</v>
      </c>
      <c r="G217" s="28" t="n">
        <f aca="false">E217-F217</f>
        <v>0</v>
      </c>
      <c r="H217" s="25" t="n">
        <f aca="false">IF(G217&gt;=-0.0000001,A217,H216)</f>
        <v>46149</v>
      </c>
      <c r="I217" s="29" t="n">
        <f aca="false">IF(AND(G217&gt;=-0.0000001,G216&lt;0),1,0)</f>
        <v>1</v>
      </c>
      <c r="J217" s="30" t="n">
        <f aca="false">IF(I217=1,A217-H216,"")</f>
        <v>2</v>
      </c>
      <c r="K217" s="27" t="n">
        <f aca="false">IF(B217="Wednesday",0,C217)</f>
        <v>34872.5</v>
      </c>
      <c r="L217" s="28" t="n">
        <f aca="false">L216+K217/$T$1*100</f>
        <v>157.1690675</v>
      </c>
      <c r="M217" s="28" t="n">
        <f aca="false">MAX(0,MAX($L$2:L217))</f>
        <v>157.1690675</v>
      </c>
      <c r="N217" s="28" t="n">
        <f aca="false">L217-M217</f>
        <v>0</v>
      </c>
      <c r="O217" s="25" t="n">
        <f aca="false">IF(N217&gt;=-0.0000001,A217,O216)</f>
        <v>46149</v>
      </c>
      <c r="P217" s="29" t="n">
        <f aca="false">IF(AND(N217&gt;=-0.0000001,N216&lt;0),1,0)</f>
        <v>0</v>
      </c>
      <c r="Q217" s="30" t="str">
        <f aca="false">IF(P217=1,A217-O216,"")</f>
        <v/>
      </c>
    </row>
    <row r="218" customFormat="false" ht="15" hidden="false" customHeight="false" outlineLevel="0" collapsed="false">
      <c r="A218" s="25" t="n">
        <v>46150</v>
      </c>
      <c r="B218" s="26" t="s">
        <v>83</v>
      </c>
      <c r="C218" s="27" t="n">
        <v>-9782.5</v>
      </c>
      <c r="D218" s="28" t="n">
        <f aca="false">C218/$T$1*100</f>
        <v>-0.61140625</v>
      </c>
      <c r="E218" s="28" t="n">
        <f aca="false">E217+D218</f>
        <v>137.73070875</v>
      </c>
      <c r="F218" s="28" t="n">
        <f aca="false">MAX(0,MAX($E$2:E218))</f>
        <v>138.342115</v>
      </c>
      <c r="G218" s="28" t="n">
        <f aca="false">E218-F218</f>
        <v>-0.611406249999988</v>
      </c>
      <c r="H218" s="25" t="n">
        <f aca="false">IF(G218&gt;=-0.0000001,A218,H217)</f>
        <v>46149</v>
      </c>
      <c r="I218" s="29" t="n">
        <f aca="false">IF(AND(G218&gt;=-0.0000001,G217&lt;0),1,0)</f>
        <v>0</v>
      </c>
      <c r="J218" s="30" t="str">
        <f aca="false">IF(I218=1,A218-H217,"")</f>
        <v/>
      </c>
      <c r="K218" s="27" t="n">
        <f aca="false">IF(B218="Wednesday",0,C218)</f>
        <v>-9782.5</v>
      </c>
      <c r="L218" s="28" t="n">
        <f aca="false">L217+K218/$T$1*100</f>
        <v>156.55766125</v>
      </c>
      <c r="M218" s="28" t="n">
        <f aca="false">MAX(0,MAX($L$2:L218))</f>
        <v>157.1690675</v>
      </c>
      <c r="N218" s="28" t="n">
        <f aca="false">L218-M218</f>
        <v>-0.611406249999988</v>
      </c>
      <c r="O218" s="25" t="n">
        <f aca="false">IF(N218&gt;=-0.0000001,A218,O217)</f>
        <v>46149</v>
      </c>
      <c r="P218" s="29" t="n">
        <f aca="false">IF(AND(N218&gt;=-0.0000001,N217&lt;0),1,0)</f>
        <v>0</v>
      </c>
      <c r="Q218" s="30" t="str">
        <f aca="false">IF(P218=1,A218-O217,"")</f>
        <v/>
      </c>
    </row>
    <row r="219" customFormat="false" ht="15" hidden="false" customHeight="false" outlineLevel="0" collapsed="false">
      <c r="A219" s="25" t="n">
        <v>46153</v>
      </c>
      <c r="B219" s="26" t="s">
        <v>79</v>
      </c>
      <c r="C219" s="27" t="n">
        <v>-110740.5</v>
      </c>
      <c r="D219" s="28" t="n">
        <f aca="false">C219/$T$1*100</f>
        <v>-6.92128125</v>
      </c>
      <c r="E219" s="28" t="n">
        <f aca="false">E218+D219</f>
        <v>130.8094275</v>
      </c>
      <c r="F219" s="28" t="n">
        <f aca="false">MAX(0,MAX($E$2:E219))</f>
        <v>138.342115</v>
      </c>
      <c r="G219" s="28" t="n">
        <f aca="false">E219-F219</f>
        <v>-7.53268749999998</v>
      </c>
      <c r="H219" s="25" t="n">
        <f aca="false">IF(G219&gt;=-0.0000001,A219,H218)</f>
        <v>46149</v>
      </c>
      <c r="I219" s="29" t="n">
        <f aca="false">IF(AND(G219&gt;=-0.0000001,G218&lt;0),1,0)</f>
        <v>0</v>
      </c>
      <c r="J219" s="30" t="str">
        <f aca="false">IF(I219=1,A219-H218,"")</f>
        <v/>
      </c>
      <c r="K219" s="27" t="n">
        <f aca="false">IF(B219="Wednesday",0,C219)</f>
        <v>-110740.5</v>
      </c>
      <c r="L219" s="28" t="n">
        <f aca="false">L218+K219/$T$1*100</f>
        <v>149.63638</v>
      </c>
      <c r="M219" s="28" t="n">
        <f aca="false">MAX(0,MAX($L$2:L219))</f>
        <v>157.1690675</v>
      </c>
      <c r="N219" s="28" t="n">
        <f aca="false">L219-M219</f>
        <v>-7.53268749999998</v>
      </c>
      <c r="O219" s="25" t="n">
        <f aca="false">IF(N219&gt;=-0.0000001,A219,O218)</f>
        <v>46149</v>
      </c>
      <c r="P219" s="29" t="n">
        <f aca="false">IF(AND(N219&gt;=-0.0000001,N218&lt;0),1,0)</f>
        <v>0</v>
      </c>
      <c r="Q219" s="30" t="str">
        <f aca="false">IF(P219=1,A219-O218,"")</f>
        <v/>
      </c>
    </row>
    <row r="220" customFormat="false" ht="15" hidden="false" customHeight="false" outlineLevel="0" collapsed="false">
      <c r="A220" s="25" t="n">
        <v>46154</v>
      </c>
      <c r="B220" s="26" t="s">
        <v>80</v>
      </c>
      <c r="C220" s="27" t="n">
        <v>12395.5</v>
      </c>
      <c r="D220" s="28" t="n">
        <f aca="false">C220/$T$1*100</f>
        <v>0.77471875</v>
      </c>
      <c r="E220" s="28" t="n">
        <f aca="false">E219+D220</f>
        <v>131.58414625</v>
      </c>
      <c r="F220" s="28" t="n">
        <f aca="false">MAX(0,MAX($E$2:E220))</f>
        <v>138.342115</v>
      </c>
      <c r="G220" s="28" t="n">
        <f aca="false">E220-F220</f>
        <v>-6.75796874999998</v>
      </c>
      <c r="H220" s="25" t="n">
        <f aca="false">IF(G220&gt;=-0.0000001,A220,H219)</f>
        <v>46149</v>
      </c>
      <c r="I220" s="29" t="n">
        <f aca="false">IF(AND(G220&gt;=-0.0000001,G219&lt;0),1,0)</f>
        <v>0</v>
      </c>
      <c r="J220" s="30" t="str">
        <f aca="false">IF(I220=1,A220-H219,"")</f>
        <v/>
      </c>
      <c r="K220" s="27" t="n">
        <f aca="false">IF(B220="Wednesday",0,C220)</f>
        <v>12395.5</v>
      </c>
      <c r="L220" s="28" t="n">
        <f aca="false">L219+K220/$T$1*100</f>
        <v>150.41109875</v>
      </c>
      <c r="M220" s="28" t="n">
        <f aca="false">MAX(0,MAX($L$2:L220))</f>
        <v>157.1690675</v>
      </c>
      <c r="N220" s="28" t="n">
        <f aca="false">L220-M220</f>
        <v>-6.75796874999998</v>
      </c>
      <c r="O220" s="25" t="n">
        <f aca="false">IF(N220&gt;=-0.0000001,A220,O219)</f>
        <v>46149</v>
      </c>
      <c r="P220" s="29" t="n">
        <f aca="false">IF(AND(N220&gt;=-0.0000001,N219&lt;0),1,0)</f>
        <v>0</v>
      </c>
      <c r="Q220" s="30" t="str">
        <f aca="false">IF(P220=1,A220-O219,"")</f>
        <v/>
      </c>
    </row>
    <row r="221" customFormat="false" ht="15" hidden="false" customHeight="false" outlineLevel="0" collapsed="false">
      <c r="A221" s="25" t="n">
        <v>46155</v>
      </c>
      <c r="B221" s="26" t="s">
        <v>81</v>
      </c>
      <c r="C221" s="27" t="n">
        <v>-698.75</v>
      </c>
      <c r="D221" s="28" t="n">
        <f aca="false">C221/$T$1*100</f>
        <v>-0.043671875</v>
      </c>
      <c r="E221" s="28" t="n">
        <f aca="false">E220+D221</f>
        <v>131.540474375</v>
      </c>
      <c r="F221" s="28" t="n">
        <f aca="false">MAX(0,MAX($E$2:E221))</f>
        <v>138.342115</v>
      </c>
      <c r="G221" s="28" t="n">
        <f aca="false">E221-F221</f>
        <v>-6.80164062499998</v>
      </c>
      <c r="H221" s="25" t="n">
        <f aca="false">IF(G221&gt;=-0.0000001,A221,H220)</f>
        <v>46149</v>
      </c>
      <c r="I221" s="29" t="n">
        <f aca="false">IF(AND(G221&gt;=-0.0000001,G220&lt;0),1,0)</f>
        <v>0</v>
      </c>
      <c r="J221" s="30" t="str">
        <f aca="false">IF(I221=1,A221-H220,"")</f>
        <v/>
      </c>
      <c r="K221" s="27" t="n">
        <f aca="false">IF(B221="Wednesday",0,C221)</f>
        <v>0</v>
      </c>
      <c r="L221" s="28" t="n">
        <f aca="false">L220+K221/$T$1*100</f>
        <v>150.41109875</v>
      </c>
      <c r="M221" s="28" t="n">
        <f aca="false">MAX(0,MAX($L$2:L221))</f>
        <v>157.1690675</v>
      </c>
      <c r="N221" s="28" t="n">
        <f aca="false">L221-M221</f>
        <v>-6.75796874999998</v>
      </c>
      <c r="O221" s="25" t="n">
        <f aca="false">IF(N221&gt;=-0.0000001,A221,O220)</f>
        <v>46149</v>
      </c>
      <c r="P221" s="29" t="n">
        <f aca="false">IF(AND(N221&gt;=-0.0000001,N220&lt;0),1,0)</f>
        <v>0</v>
      </c>
      <c r="Q221" s="30" t="str">
        <f aca="false">IF(P221=1,A221-O220,"")</f>
        <v/>
      </c>
    </row>
    <row r="222" customFormat="false" ht="15" hidden="false" customHeight="false" outlineLevel="0" collapsed="false">
      <c r="A222" s="25" t="n">
        <v>46156</v>
      </c>
      <c r="B222" s="26" t="s">
        <v>82</v>
      </c>
      <c r="C222" s="27" t="n">
        <v>44606.25</v>
      </c>
      <c r="D222" s="28" t="n">
        <f aca="false">C222/$T$1*100</f>
        <v>2.787890625</v>
      </c>
      <c r="E222" s="28" t="n">
        <f aca="false">E221+D222</f>
        <v>134.328365</v>
      </c>
      <c r="F222" s="28" t="n">
        <f aca="false">MAX(0,MAX($E$2:E222))</f>
        <v>138.342115</v>
      </c>
      <c r="G222" s="28" t="n">
        <f aca="false">E222-F222</f>
        <v>-4.01374999999999</v>
      </c>
      <c r="H222" s="25" t="n">
        <f aca="false">IF(G222&gt;=-0.0000001,A222,H221)</f>
        <v>46149</v>
      </c>
      <c r="I222" s="29" t="n">
        <f aca="false">IF(AND(G222&gt;=-0.0000001,G221&lt;0),1,0)</f>
        <v>0</v>
      </c>
      <c r="J222" s="30" t="str">
        <f aca="false">IF(I222=1,A222-H221,"")</f>
        <v/>
      </c>
      <c r="K222" s="27" t="n">
        <f aca="false">IF(B222="Wednesday",0,C222)</f>
        <v>44606.25</v>
      </c>
      <c r="L222" s="28" t="n">
        <f aca="false">L221+K222/$T$1*100</f>
        <v>153.198989375</v>
      </c>
      <c r="M222" s="28" t="n">
        <f aca="false">MAX(0,MAX($L$2:L222))</f>
        <v>157.1690675</v>
      </c>
      <c r="N222" s="28" t="n">
        <f aca="false">L222-M222</f>
        <v>-3.97007812499999</v>
      </c>
      <c r="O222" s="25" t="n">
        <f aca="false">IF(N222&gt;=-0.0000001,A222,O221)</f>
        <v>46149</v>
      </c>
      <c r="P222" s="29" t="n">
        <f aca="false">IF(AND(N222&gt;=-0.0000001,N221&lt;0),1,0)</f>
        <v>0</v>
      </c>
      <c r="Q222" s="30" t="str">
        <f aca="false">IF(P222=1,A222-O221,"")</f>
        <v/>
      </c>
    </row>
    <row r="223" customFormat="false" ht="15" hidden="false" customHeight="false" outlineLevel="0" collapsed="false">
      <c r="A223" s="25" t="n">
        <v>46157</v>
      </c>
      <c r="B223" s="26" t="s">
        <v>83</v>
      </c>
      <c r="C223" s="27" t="n">
        <v>-5687.5</v>
      </c>
      <c r="D223" s="28" t="n">
        <f aca="false">C223/$T$1*100</f>
        <v>-0.35546875</v>
      </c>
      <c r="E223" s="28" t="n">
        <f aca="false">E222+D223</f>
        <v>133.97289625</v>
      </c>
      <c r="F223" s="28" t="n">
        <f aca="false">MAX(0,MAX($E$2:E223))</f>
        <v>138.342115</v>
      </c>
      <c r="G223" s="28" t="n">
        <f aca="false">E223-F223</f>
        <v>-4.36921874999999</v>
      </c>
      <c r="H223" s="25" t="n">
        <f aca="false">IF(G223&gt;=-0.0000001,A223,H222)</f>
        <v>46149</v>
      </c>
      <c r="I223" s="29" t="n">
        <f aca="false">IF(AND(G223&gt;=-0.0000001,G222&lt;0),1,0)</f>
        <v>0</v>
      </c>
      <c r="J223" s="30" t="str">
        <f aca="false">IF(I223=1,A223-H222,"")</f>
        <v/>
      </c>
      <c r="K223" s="27" t="n">
        <f aca="false">IF(B223="Wednesday",0,C223)</f>
        <v>-5687.5</v>
      </c>
      <c r="L223" s="28" t="n">
        <f aca="false">L222+K223/$T$1*100</f>
        <v>152.843520625</v>
      </c>
      <c r="M223" s="28" t="n">
        <f aca="false">MAX(0,MAX($L$2:L223))</f>
        <v>157.1690675</v>
      </c>
      <c r="N223" s="28" t="n">
        <f aca="false">L223-M223</f>
        <v>-4.32554687499999</v>
      </c>
      <c r="O223" s="25" t="n">
        <f aca="false">IF(N223&gt;=-0.0000001,A223,O222)</f>
        <v>46149</v>
      </c>
      <c r="P223" s="29" t="n">
        <f aca="false">IF(AND(N223&gt;=-0.0000001,N222&lt;0),1,0)</f>
        <v>0</v>
      </c>
      <c r="Q223" s="30" t="str">
        <f aca="false">IF(P223=1,A223-O222,"")</f>
        <v/>
      </c>
    </row>
    <row r="224" customFormat="false" ht="15" hidden="false" customHeight="false" outlineLevel="0" collapsed="false">
      <c r="A224" s="25" t="n">
        <v>46160</v>
      </c>
      <c r="B224" s="26" t="s">
        <v>79</v>
      </c>
      <c r="C224" s="27" t="n">
        <v>57775.25</v>
      </c>
      <c r="D224" s="28" t="n">
        <f aca="false">C224/$T$1*100</f>
        <v>3.610953125</v>
      </c>
      <c r="E224" s="28" t="n">
        <f aca="false">E223+D224</f>
        <v>137.583849375</v>
      </c>
      <c r="F224" s="28" t="n">
        <f aca="false">MAX(0,MAX($E$2:E224))</f>
        <v>138.342115</v>
      </c>
      <c r="G224" s="28" t="n">
        <f aca="false">E224-F224</f>
        <v>-0.758265624999979</v>
      </c>
      <c r="H224" s="25" t="n">
        <f aca="false">IF(G224&gt;=-0.0000001,A224,H223)</f>
        <v>46149</v>
      </c>
      <c r="I224" s="29" t="n">
        <f aca="false">IF(AND(G224&gt;=-0.0000001,G223&lt;0),1,0)</f>
        <v>0</v>
      </c>
      <c r="J224" s="30" t="str">
        <f aca="false">IF(I224=1,A224-H223,"")</f>
        <v/>
      </c>
      <c r="K224" s="27" t="n">
        <f aca="false">IF(B224="Wednesday",0,C224)</f>
        <v>57775.25</v>
      </c>
      <c r="L224" s="28" t="n">
        <f aca="false">L223+K224/$T$1*100</f>
        <v>156.45447375</v>
      </c>
      <c r="M224" s="28" t="n">
        <f aca="false">MAX(0,MAX($L$2:L224))</f>
        <v>157.1690675</v>
      </c>
      <c r="N224" s="28" t="n">
        <f aca="false">L224-M224</f>
        <v>-0.714593749999978</v>
      </c>
      <c r="O224" s="25" t="n">
        <f aca="false">IF(N224&gt;=-0.0000001,A224,O223)</f>
        <v>46149</v>
      </c>
      <c r="P224" s="29" t="n">
        <f aca="false">IF(AND(N224&gt;=-0.0000001,N223&lt;0),1,0)</f>
        <v>0</v>
      </c>
      <c r="Q224" s="30" t="str">
        <f aca="false">IF(P224=1,A224-O223,"")</f>
        <v/>
      </c>
    </row>
    <row r="225" customFormat="false" ht="15" hidden="false" customHeight="false" outlineLevel="0" collapsed="false">
      <c r="A225" s="25" t="n">
        <v>46161</v>
      </c>
      <c r="B225" s="26" t="s">
        <v>80</v>
      </c>
      <c r="C225" s="27" t="n">
        <v>44817.5</v>
      </c>
      <c r="D225" s="28" t="n">
        <f aca="false">C225/$T$1*100</f>
        <v>2.80109375</v>
      </c>
      <c r="E225" s="28" t="n">
        <f aca="false">E224+D225</f>
        <v>140.384943125</v>
      </c>
      <c r="F225" s="28" t="n">
        <f aca="false">MAX(0,MAX($E$2:E225))</f>
        <v>140.384943125</v>
      </c>
      <c r="G225" s="28" t="n">
        <f aca="false">E225-F225</f>
        <v>0</v>
      </c>
      <c r="H225" s="25" t="n">
        <f aca="false">IF(G225&gt;=-0.0000001,A225,H224)</f>
        <v>46161</v>
      </c>
      <c r="I225" s="29" t="n">
        <f aca="false">IF(AND(G225&gt;=-0.0000001,G224&lt;0),1,0)</f>
        <v>1</v>
      </c>
      <c r="J225" s="30" t="n">
        <f aca="false">IF(I225=1,A225-H224,"")</f>
        <v>12</v>
      </c>
      <c r="K225" s="27" t="n">
        <f aca="false">IF(B225="Wednesday",0,C225)</f>
        <v>44817.5</v>
      </c>
      <c r="L225" s="28" t="n">
        <f aca="false">L224+K225/$T$1*100</f>
        <v>159.2555675</v>
      </c>
      <c r="M225" s="28" t="n">
        <f aca="false">MAX(0,MAX($L$2:L225))</f>
        <v>159.2555675</v>
      </c>
      <c r="N225" s="28" t="n">
        <f aca="false">L225-M225</f>
        <v>0</v>
      </c>
      <c r="O225" s="25" t="n">
        <f aca="false">IF(N225&gt;=-0.0000001,A225,O224)</f>
        <v>46161</v>
      </c>
      <c r="P225" s="29" t="n">
        <f aca="false">IF(AND(N225&gt;=-0.0000001,N224&lt;0),1,0)</f>
        <v>1</v>
      </c>
      <c r="Q225" s="30" t="n">
        <f aca="false">IF(P225=1,A225-O224,"")</f>
        <v>12</v>
      </c>
    </row>
    <row r="226" customFormat="false" ht="15" hidden="false" customHeight="false" outlineLevel="0" collapsed="false">
      <c r="A226" s="25" t="n">
        <v>46162</v>
      </c>
      <c r="B226" s="26" t="s">
        <v>81</v>
      </c>
      <c r="C226" s="27" t="n">
        <v>-50245</v>
      </c>
      <c r="D226" s="28" t="n">
        <f aca="false">C226/$T$1*100</f>
        <v>-3.1403125</v>
      </c>
      <c r="E226" s="28" t="n">
        <f aca="false">E225+D226</f>
        <v>137.244630625</v>
      </c>
      <c r="F226" s="28" t="n">
        <f aca="false">MAX(0,MAX($E$2:E226))</f>
        <v>140.384943125</v>
      </c>
      <c r="G226" s="28" t="n">
        <f aca="false">E226-F226</f>
        <v>-3.14031249999999</v>
      </c>
      <c r="H226" s="25" t="n">
        <f aca="false">IF(G226&gt;=-0.0000001,A226,H225)</f>
        <v>46161</v>
      </c>
      <c r="I226" s="29" t="n">
        <f aca="false">IF(AND(G226&gt;=-0.0000001,G225&lt;0),1,0)</f>
        <v>0</v>
      </c>
      <c r="J226" s="30" t="str">
        <f aca="false">IF(I226=1,A226-H225,"")</f>
        <v/>
      </c>
      <c r="K226" s="27" t="n">
        <f aca="false">IF(B226="Wednesday",0,C226)</f>
        <v>0</v>
      </c>
      <c r="L226" s="28" t="n">
        <f aca="false">L225+K226/$T$1*100</f>
        <v>159.2555675</v>
      </c>
      <c r="M226" s="28" t="n">
        <f aca="false">MAX(0,MAX($L$2:L226))</f>
        <v>159.2555675</v>
      </c>
      <c r="N226" s="28" t="n">
        <f aca="false">L226-M226</f>
        <v>0</v>
      </c>
      <c r="O226" s="25" t="n">
        <f aca="false">IF(N226&gt;=-0.0000001,A226,O225)</f>
        <v>46162</v>
      </c>
      <c r="P226" s="29" t="n">
        <f aca="false">IF(AND(N226&gt;=-0.0000001,N225&lt;0),1,0)</f>
        <v>0</v>
      </c>
      <c r="Q226" s="30" t="str">
        <f aca="false">IF(P226=1,A226-O225,"")</f>
        <v/>
      </c>
    </row>
    <row r="227" customFormat="false" ht="15" hidden="false" customHeight="false" outlineLevel="0" collapsed="false">
      <c r="A227" s="25" t="n">
        <v>46163</v>
      </c>
      <c r="B227" s="26" t="s">
        <v>82</v>
      </c>
      <c r="C227" s="27" t="n">
        <v>-7150</v>
      </c>
      <c r="D227" s="28" t="n">
        <f aca="false">C227/$T$1*100</f>
        <v>-0.446875</v>
      </c>
      <c r="E227" s="28" t="n">
        <f aca="false">E226+D227</f>
        <v>136.797755625</v>
      </c>
      <c r="F227" s="28" t="n">
        <f aca="false">MAX(0,MAX($E$2:E227))</f>
        <v>140.384943125</v>
      </c>
      <c r="G227" s="28" t="n">
        <f aca="false">E227-F227</f>
        <v>-3.5871875</v>
      </c>
      <c r="H227" s="25" t="n">
        <f aca="false">IF(G227&gt;=-0.0000001,A227,H226)</f>
        <v>46161</v>
      </c>
      <c r="I227" s="29" t="n">
        <f aca="false">IF(AND(G227&gt;=-0.0000001,G226&lt;0),1,0)</f>
        <v>0</v>
      </c>
      <c r="J227" s="30" t="str">
        <f aca="false">IF(I227=1,A227-H226,"")</f>
        <v/>
      </c>
      <c r="K227" s="27" t="n">
        <f aca="false">IF(B227="Wednesday",0,C227)</f>
        <v>-7150</v>
      </c>
      <c r="L227" s="28" t="n">
        <f aca="false">L226+K227/$T$1*100</f>
        <v>158.8086925</v>
      </c>
      <c r="M227" s="28" t="n">
        <f aca="false">MAX(0,MAX($L$2:L227))</f>
        <v>159.2555675</v>
      </c>
      <c r="N227" s="28" t="n">
        <f aca="false">L227-M227</f>
        <v>-0.446875000000006</v>
      </c>
      <c r="O227" s="25" t="n">
        <f aca="false">IF(N227&gt;=-0.0000001,A227,O226)</f>
        <v>46162</v>
      </c>
      <c r="P227" s="29" t="n">
        <f aca="false">IF(AND(N227&gt;=-0.0000001,N226&lt;0),1,0)</f>
        <v>0</v>
      </c>
      <c r="Q227" s="30" t="str">
        <f aca="false">IF(P227=1,A227-O226,"")</f>
        <v/>
      </c>
    </row>
    <row r="228" customFormat="false" ht="15" hidden="false" customHeight="false" outlineLevel="0" collapsed="false">
      <c r="A228" s="25" t="n">
        <v>46164</v>
      </c>
      <c r="B228" s="26" t="s">
        <v>83</v>
      </c>
      <c r="C228" s="27" t="n">
        <v>11878.75</v>
      </c>
      <c r="D228" s="28" t="n">
        <f aca="false">C228/$T$1*100</f>
        <v>0.742421875</v>
      </c>
      <c r="E228" s="28" t="n">
        <f aca="false">E227+D228</f>
        <v>137.5401775</v>
      </c>
      <c r="F228" s="28" t="n">
        <f aca="false">MAX(0,MAX($E$2:E228))</f>
        <v>140.384943125</v>
      </c>
      <c r="G228" s="28" t="n">
        <f aca="false">E228-F228</f>
        <v>-2.84476562500001</v>
      </c>
      <c r="H228" s="25" t="n">
        <f aca="false">IF(G228&gt;=-0.0000001,A228,H227)</f>
        <v>46161</v>
      </c>
      <c r="I228" s="29" t="n">
        <f aca="false">IF(AND(G228&gt;=-0.0000001,G227&lt;0),1,0)</f>
        <v>0</v>
      </c>
      <c r="J228" s="30" t="str">
        <f aca="false">IF(I228=1,A228-H227,"")</f>
        <v/>
      </c>
      <c r="K228" s="27" t="n">
        <f aca="false">IF(B228="Wednesday",0,C228)</f>
        <v>11878.75</v>
      </c>
      <c r="L228" s="28" t="n">
        <f aca="false">L227+K228/$T$1*100</f>
        <v>159.551114375</v>
      </c>
      <c r="M228" s="28" t="n">
        <f aca="false">MAX(0,MAX($L$2:L228))</f>
        <v>159.551114375</v>
      </c>
      <c r="N228" s="28" t="n">
        <f aca="false">L228-M228</f>
        <v>0</v>
      </c>
      <c r="O228" s="25" t="n">
        <f aca="false">IF(N228&gt;=-0.0000001,A228,O227)</f>
        <v>46164</v>
      </c>
      <c r="P228" s="29" t="n">
        <f aca="false">IF(AND(N228&gt;=-0.0000001,N227&lt;0),1,0)</f>
        <v>1</v>
      </c>
      <c r="Q228" s="30" t="n">
        <f aca="false">IF(P228=1,A228-O227,"")</f>
        <v>2</v>
      </c>
    </row>
    <row r="229" customFormat="false" ht="15" hidden="false" customHeight="false" outlineLevel="0" collapsed="false">
      <c r="A229" s="25" t="n">
        <v>46167</v>
      </c>
      <c r="B229" s="26" t="s">
        <v>79</v>
      </c>
      <c r="C229" s="27" t="n">
        <v>-34609.25</v>
      </c>
      <c r="D229" s="28" t="n">
        <f aca="false">C229/$T$1*100</f>
        <v>-2.163078125</v>
      </c>
      <c r="E229" s="28" t="n">
        <f aca="false">E228+D229</f>
        <v>135.377099375</v>
      </c>
      <c r="F229" s="28" t="n">
        <f aca="false">MAX(0,MAX($E$2:E229))</f>
        <v>140.384943125</v>
      </c>
      <c r="G229" s="28" t="n">
        <f aca="false">E229-F229</f>
        <v>-5.00784375000001</v>
      </c>
      <c r="H229" s="25" t="n">
        <f aca="false">IF(G229&gt;=-0.0000001,A229,H228)</f>
        <v>46161</v>
      </c>
      <c r="I229" s="29" t="n">
        <f aca="false">IF(AND(G229&gt;=-0.0000001,G228&lt;0),1,0)</f>
        <v>0</v>
      </c>
      <c r="J229" s="30" t="str">
        <f aca="false">IF(I229=1,A229-H228,"")</f>
        <v/>
      </c>
      <c r="K229" s="27" t="n">
        <f aca="false">IF(B229="Wednesday",0,C229)</f>
        <v>-34609.25</v>
      </c>
      <c r="L229" s="28" t="n">
        <f aca="false">L228+K229/$T$1*100</f>
        <v>157.38803625</v>
      </c>
      <c r="M229" s="28" t="n">
        <f aca="false">MAX(0,MAX($L$2:L229))</f>
        <v>159.551114375</v>
      </c>
      <c r="N229" s="28" t="n">
        <f aca="false">L229-M229</f>
        <v>-2.163078125</v>
      </c>
      <c r="O229" s="25" t="n">
        <f aca="false">IF(N229&gt;=-0.0000001,A229,O228)</f>
        <v>46164</v>
      </c>
      <c r="P229" s="29" t="n">
        <f aca="false">IF(AND(N229&gt;=-0.0000001,N228&lt;0),1,0)</f>
        <v>0</v>
      </c>
      <c r="Q229" s="30" t="str">
        <f aca="false">IF(P229=1,A229-O228,"")</f>
        <v/>
      </c>
    </row>
    <row r="230" customFormat="false" ht="15" hidden="false" customHeight="false" outlineLevel="0" collapsed="false">
      <c r="A230" s="25" t="n">
        <v>46168</v>
      </c>
      <c r="B230" s="26" t="s">
        <v>80</v>
      </c>
      <c r="C230" s="27" t="n">
        <v>47736</v>
      </c>
      <c r="D230" s="28" t="n">
        <f aca="false">C230/$T$1*100</f>
        <v>2.9835</v>
      </c>
      <c r="E230" s="28" t="n">
        <f aca="false">E229+D230</f>
        <v>138.360599375</v>
      </c>
      <c r="F230" s="28" t="n">
        <f aca="false">MAX(0,MAX($E$2:E230))</f>
        <v>140.384943125</v>
      </c>
      <c r="G230" s="28" t="n">
        <f aca="false">E230-F230</f>
        <v>-2.02434375000001</v>
      </c>
      <c r="H230" s="25" t="n">
        <f aca="false">IF(G230&gt;=-0.0000001,A230,H229)</f>
        <v>46161</v>
      </c>
      <c r="I230" s="29" t="n">
        <f aca="false">IF(AND(G230&gt;=-0.0000001,G229&lt;0),1,0)</f>
        <v>0</v>
      </c>
      <c r="J230" s="30" t="str">
        <f aca="false">IF(I230=1,A230-H229,"")</f>
        <v/>
      </c>
      <c r="K230" s="27" t="n">
        <f aca="false">IF(B230="Wednesday",0,C230)</f>
        <v>47736</v>
      </c>
      <c r="L230" s="28" t="n">
        <f aca="false">L229+K230/$T$1*100</f>
        <v>160.37153625</v>
      </c>
      <c r="M230" s="28" t="n">
        <f aca="false">MAX(0,MAX($L$2:L230))</f>
        <v>160.37153625</v>
      </c>
      <c r="N230" s="28" t="n">
        <f aca="false">L230-M230</f>
        <v>0</v>
      </c>
      <c r="O230" s="25" t="n">
        <f aca="false">IF(N230&gt;=-0.0000001,A230,O229)</f>
        <v>46168</v>
      </c>
      <c r="P230" s="29" t="n">
        <f aca="false">IF(AND(N230&gt;=-0.0000001,N229&lt;0),1,0)</f>
        <v>1</v>
      </c>
      <c r="Q230" s="30" t="n">
        <f aca="false">IF(P230=1,A230-O229,"")</f>
        <v>4</v>
      </c>
    </row>
    <row r="231" customFormat="false" ht="15" hidden="false" customHeight="false" outlineLevel="0" collapsed="false">
      <c r="A231" s="25" t="n">
        <v>46169</v>
      </c>
      <c r="B231" s="26" t="s">
        <v>81</v>
      </c>
      <c r="C231" s="27" t="n">
        <v>-5736.25</v>
      </c>
      <c r="D231" s="28" t="n">
        <f aca="false">C231/$T$1*100</f>
        <v>-0.358515625</v>
      </c>
      <c r="E231" s="28" t="n">
        <f aca="false">E230+D231</f>
        <v>138.00208375</v>
      </c>
      <c r="F231" s="28" t="n">
        <f aca="false">MAX(0,MAX($E$2:E231))</f>
        <v>140.384943125</v>
      </c>
      <c r="G231" s="28" t="n">
        <f aca="false">E231-F231</f>
        <v>-2.38285937500001</v>
      </c>
      <c r="H231" s="25" t="n">
        <f aca="false">IF(G231&gt;=-0.0000001,A231,H230)</f>
        <v>46161</v>
      </c>
      <c r="I231" s="29" t="n">
        <f aca="false">IF(AND(G231&gt;=-0.0000001,G230&lt;0),1,0)</f>
        <v>0</v>
      </c>
      <c r="J231" s="30" t="str">
        <f aca="false">IF(I231=1,A231-H230,"")</f>
        <v/>
      </c>
      <c r="K231" s="27" t="n">
        <f aca="false">IF(B231="Wednesday",0,C231)</f>
        <v>0</v>
      </c>
      <c r="L231" s="28" t="n">
        <f aca="false">L230+K231/$T$1*100</f>
        <v>160.37153625</v>
      </c>
      <c r="M231" s="28" t="n">
        <f aca="false">MAX(0,MAX($L$2:L231))</f>
        <v>160.37153625</v>
      </c>
      <c r="N231" s="28" t="n">
        <f aca="false">L231-M231</f>
        <v>0</v>
      </c>
      <c r="O231" s="25" t="n">
        <f aca="false">IF(N231&gt;=-0.0000001,A231,O230)</f>
        <v>46169</v>
      </c>
      <c r="P231" s="29" t="n">
        <f aca="false">IF(AND(N231&gt;=-0.0000001,N230&lt;0),1,0)</f>
        <v>0</v>
      </c>
      <c r="Q231" s="30" t="str">
        <f aca="false">IF(P231=1,A231-O230,"")</f>
        <v/>
      </c>
    </row>
    <row r="232" customFormat="false" ht="15" hidden="false" customHeight="false" outlineLevel="0" collapsed="false">
      <c r="A232" s="25" t="n">
        <v>46171</v>
      </c>
      <c r="B232" s="26" t="s">
        <v>83</v>
      </c>
      <c r="C232" s="27" t="n">
        <v>22668.75</v>
      </c>
      <c r="D232" s="28" t="n">
        <f aca="false">C232/$T$1*100</f>
        <v>1.416796875</v>
      </c>
      <c r="E232" s="28" t="n">
        <f aca="false">E231+D232</f>
        <v>139.418880625</v>
      </c>
      <c r="F232" s="28" t="n">
        <f aca="false">MAX(0,MAX($E$2:E232))</f>
        <v>140.384943125</v>
      </c>
      <c r="G232" s="28" t="n">
        <f aca="false">E232-F232</f>
        <v>-0.966062500000021</v>
      </c>
      <c r="H232" s="25" t="n">
        <f aca="false">IF(G232&gt;=-0.0000001,A232,H231)</f>
        <v>46161</v>
      </c>
      <c r="I232" s="29" t="n">
        <f aca="false">IF(AND(G232&gt;=-0.0000001,G231&lt;0),1,0)</f>
        <v>0</v>
      </c>
      <c r="J232" s="30" t="str">
        <f aca="false">IF(I232=1,A232-H231,"")</f>
        <v/>
      </c>
      <c r="K232" s="27" t="n">
        <f aca="false">IF(B232="Wednesday",0,C232)</f>
        <v>22668.75</v>
      </c>
      <c r="L232" s="28" t="n">
        <f aca="false">L231+K232/$T$1*100</f>
        <v>161.788333125</v>
      </c>
      <c r="M232" s="28" t="n">
        <f aca="false">MAX(0,MAX($L$2:L232))</f>
        <v>161.788333125</v>
      </c>
      <c r="N232" s="28" t="n">
        <f aca="false">L232-M232</f>
        <v>0</v>
      </c>
      <c r="O232" s="25" t="n">
        <f aca="false">IF(N232&gt;=-0.0000001,A232,O231)</f>
        <v>46171</v>
      </c>
      <c r="P232" s="29" t="n">
        <f aca="false">IF(AND(N232&gt;=-0.0000001,N231&lt;0),1,0)</f>
        <v>0</v>
      </c>
      <c r="Q232" s="30" t="str">
        <f aca="false">IF(P232=1,A232-O231,"")</f>
        <v/>
      </c>
    </row>
    <row r="233" customFormat="false" ht="15" hidden="false" customHeight="false" outlineLevel="0" collapsed="false">
      <c r="A233" s="25" t="n">
        <v>46174</v>
      </c>
      <c r="B233" s="26" t="s">
        <v>79</v>
      </c>
      <c r="C233" s="27" t="n">
        <v>41466.75</v>
      </c>
      <c r="D233" s="28" t="n">
        <f aca="false">C233/$T$1*100</f>
        <v>2.591671875</v>
      </c>
      <c r="E233" s="28" t="n">
        <f aca="false">E232+D233</f>
        <v>142.0105525</v>
      </c>
      <c r="F233" s="28" t="n">
        <f aca="false">MAX(0,MAX($E$2:E233))</f>
        <v>142.0105525</v>
      </c>
      <c r="G233" s="28" t="n">
        <f aca="false">E233-F233</f>
        <v>0</v>
      </c>
      <c r="H233" s="25" t="n">
        <f aca="false">IF(G233&gt;=-0.0000001,A233,H232)</f>
        <v>46174</v>
      </c>
      <c r="I233" s="29" t="n">
        <f aca="false">IF(AND(G233&gt;=-0.0000001,G232&lt;0),1,0)</f>
        <v>1</v>
      </c>
      <c r="J233" s="30" t="n">
        <f aca="false">IF(I233=1,A233-H232,"")</f>
        <v>13</v>
      </c>
      <c r="K233" s="27" t="n">
        <f aca="false">IF(B233="Wednesday",0,C233)</f>
        <v>41466.75</v>
      </c>
      <c r="L233" s="28" t="n">
        <f aca="false">L232+K233/$T$1*100</f>
        <v>164.380005</v>
      </c>
      <c r="M233" s="28" t="n">
        <f aca="false">MAX(0,MAX($L$2:L233))</f>
        <v>164.380005</v>
      </c>
      <c r="N233" s="28" t="n">
        <f aca="false">L233-M233</f>
        <v>0</v>
      </c>
      <c r="O233" s="25" t="n">
        <f aca="false">IF(N233&gt;=-0.0000001,A233,O232)</f>
        <v>46174</v>
      </c>
      <c r="P233" s="29" t="n">
        <f aca="false">IF(AND(N233&gt;=-0.0000001,N232&lt;0),1,0)</f>
        <v>0</v>
      </c>
      <c r="Q233" s="30" t="str">
        <f aca="false">IF(P233=1,A233-O232,"")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9" style="0" width="18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S1" s="23" t="s">
        <v>53</v>
      </c>
      <c r="T1" s="24" t="n">
        <v>1700000</v>
      </c>
    </row>
    <row r="2" customFormat="false" ht="15" hidden="false" customHeight="false" outlineLevel="0" collapsed="false">
      <c r="A2" s="25" t="n">
        <v>45810</v>
      </c>
      <c r="B2" s="26" t="s">
        <v>79</v>
      </c>
      <c r="C2" s="27" t="n">
        <v>-1524</v>
      </c>
      <c r="D2" s="28" t="n">
        <f aca="false">C2/$T$1*100</f>
        <v>-0.0896470588235294</v>
      </c>
      <c r="E2" s="28" t="n">
        <f aca="false">D2</f>
        <v>-0.0896470588235294</v>
      </c>
      <c r="F2" s="28" t="n">
        <f aca="false">MAX(0,MAX($E$2:E2))</f>
        <v>0</v>
      </c>
      <c r="G2" s="28" t="n">
        <f aca="false">E2-F2</f>
        <v>-0.0896470588235294</v>
      </c>
      <c r="H2" s="25" t="n">
        <f aca="false">IF(G2&gt;=-0.0000001,A2,A2)</f>
        <v>45810</v>
      </c>
      <c r="I2" s="29" t="n">
        <v>0</v>
      </c>
      <c r="J2" s="30"/>
      <c r="K2" s="27" t="n">
        <f aca="false">IF(B2="Wednesday",0,C2)</f>
        <v>-1524</v>
      </c>
      <c r="L2" s="28" t="n">
        <f aca="false">K2/$T$1*100</f>
        <v>-0.0896470588235294</v>
      </c>
      <c r="M2" s="28" t="n">
        <f aca="false">MAX(0,MAX($L$2:L2))</f>
        <v>0</v>
      </c>
      <c r="N2" s="28" t="n">
        <f aca="false">L2-M2</f>
        <v>-0.0896470588235294</v>
      </c>
      <c r="O2" s="25" t="n">
        <f aca="false">IF(N2&gt;=-0.0000001,A2,A2)</f>
        <v>45810</v>
      </c>
      <c r="P2" s="29" t="n">
        <v>0</v>
      </c>
      <c r="Q2" s="30"/>
      <c r="S2" s="23" t="s">
        <v>108</v>
      </c>
      <c r="T2" s="31" t="n">
        <f aca="false">MAX(A2:A249)</f>
        <v>46174</v>
      </c>
    </row>
    <row r="3" customFormat="false" ht="15" hidden="false" customHeight="false" outlineLevel="0" collapsed="false">
      <c r="A3" s="25" t="n">
        <v>45811</v>
      </c>
      <c r="B3" s="26" t="s">
        <v>80</v>
      </c>
      <c r="C3" s="27" t="n">
        <v>2481</v>
      </c>
      <c r="D3" s="28" t="n">
        <f aca="false">C3/$T$1*100</f>
        <v>0.145941176470588</v>
      </c>
      <c r="E3" s="28" t="n">
        <f aca="false">E2+D3</f>
        <v>0.0562941176470588</v>
      </c>
      <c r="F3" s="28" t="n">
        <f aca="false">MAX(0,MAX($E$2:E3))</f>
        <v>0.0562941176470588</v>
      </c>
      <c r="G3" s="28" t="n">
        <f aca="false">E3-F3</f>
        <v>0</v>
      </c>
      <c r="H3" s="25" t="n">
        <f aca="false">IF(G3&gt;=-0.0000001,A3,H2)</f>
        <v>45811</v>
      </c>
      <c r="I3" s="29" t="n">
        <f aca="false">IF(AND(G3&gt;=-0.0000001,G2&lt;0),1,0)</f>
        <v>1</v>
      </c>
      <c r="J3" s="30" t="n">
        <f aca="false">IF(I3=1,A3-H2,"")</f>
        <v>1</v>
      </c>
      <c r="K3" s="27" t="n">
        <f aca="false">IF(B3="Wednesday",0,C3)</f>
        <v>2481</v>
      </c>
      <c r="L3" s="28" t="n">
        <f aca="false">L2+K3/$T$1*100</f>
        <v>0.0562941176470588</v>
      </c>
      <c r="M3" s="28" t="n">
        <f aca="false">MAX(0,MAX($L$2:L3))</f>
        <v>0.0562941176470588</v>
      </c>
      <c r="N3" s="28" t="n">
        <f aca="false">L3-M3</f>
        <v>0</v>
      </c>
      <c r="O3" s="25" t="n">
        <f aca="false">IF(N3&gt;=-0.0000001,A3,O2)</f>
        <v>45811</v>
      </c>
      <c r="P3" s="29" t="n">
        <f aca="false">IF(AND(N3&gt;=-0.0000001,N2&lt;0),1,0)</f>
        <v>1</v>
      </c>
      <c r="Q3" s="30" t="n">
        <f aca="false">IF(P3=1,A3-O2,"")</f>
        <v>1</v>
      </c>
      <c r="S3" s="23" t="s">
        <v>109</v>
      </c>
      <c r="T3" s="31" t="n">
        <f aca="false">EDATE($T$2,-1)</f>
        <v>46143</v>
      </c>
    </row>
    <row r="4" customFormat="false" ht="15" hidden="false" customHeight="false" outlineLevel="0" collapsed="false">
      <c r="A4" s="25" t="n">
        <v>45812</v>
      </c>
      <c r="B4" s="26" t="s">
        <v>81</v>
      </c>
      <c r="C4" s="27" t="n">
        <v>-1955.25</v>
      </c>
      <c r="D4" s="28" t="n">
        <f aca="false">C4/$T$1*100</f>
        <v>-0.115014705882353</v>
      </c>
      <c r="E4" s="28" t="n">
        <f aca="false">E3+D4</f>
        <v>-0.0587205882352941</v>
      </c>
      <c r="F4" s="28" t="n">
        <f aca="false">MAX(0,MAX($E$2:E4))</f>
        <v>0.0562941176470588</v>
      </c>
      <c r="G4" s="28" t="n">
        <f aca="false">E4-F4</f>
        <v>-0.115014705882353</v>
      </c>
      <c r="H4" s="25" t="n">
        <f aca="false">IF(G4&gt;=-0.0000001,A4,H3)</f>
        <v>45811</v>
      </c>
      <c r="I4" s="29" t="n">
        <f aca="false">IF(AND(G4&gt;=-0.0000001,G3&lt;0),1,0)</f>
        <v>0</v>
      </c>
      <c r="J4" s="30" t="str">
        <f aca="false">IF(I4=1,A4-H3,"")</f>
        <v/>
      </c>
      <c r="K4" s="27" t="n">
        <f aca="false">IF(B4="Wednesday",0,C4)</f>
        <v>0</v>
      </c>
      <c r="L4" s="28" t="n">
        <f aca="false">L3+K4/$T$1*100</f>
        <v>0.0562941176470588</v>
      </c>
      <c r="M4" s="28" t="n">
        <f aca="false">MAX(0,MAX($L$2:L4))</f>
        <v>0.0562941176470588</v>
      </c>
      <c r="N4" s="28" t="n">
        <f aca="false">L4-M4</f>
        <v>0</v>
      </c>
      <c r="O4" s="25" t="n">
        <f aca="false">IF(N4&gt;=-0.0000001,A4,O3)</f>
        <v>45812</v>
      </c>
      <c r="P4" s="29" t="n">
        <f aca="false">IF(AND(N4&gt;=-0.0000001,N3&lt;0),1,0)</f>
        <v>0</v>
      </c>
      <c r="Q4" s="30" t="str">
        <f aca="false">IF(P4=1,A4-O3,"")</f>
        <v/>
      </c>
      <c r="S4" s="23" t="s">
        <v>110</v>
      </c>
      <c r="T4" s="31" t="n">
        <f aca="false">EDATE($T$2,-3)</f>
        <v>46082</v>
      </c>
    </row>
    <row r="5" customFormat="false" ht="15" hidden="false" customHeight="false" outlineLevel="0" collapsed="false">
      <c r="A5" s="25" t="n">
        <v>45813</v>
      </c>
      <c r="B5" s="26" t="s">
        <v>82</v>
      </c>
      <c r="C5" s="27" t="n">
        <v>-4753.5</v>
      </c>
      <c r="D5" s="28" t="n">
        <f aca="false">C5/$T$1*100</f>
        <v>-0.279617647058824</v>
      </c>
      <c r="E5" s="28" t="n">
        <f aca="false">E4+D5</f>
        <v>-0.338338235294118</v>
      </c>
      <c r="F5" s="28" t="n">
        <f aca="false">MAX(0,MAX($E$2:E5))</f>
        <v>0.0562941176470588</v>
      </c>
      <c r="G5" s="28" t="n">
        <f aca="false">E5-F5</f>
        <v>-0.394632352941177</v>
      </c>
      <c r="H5" s="25" t="n">
        <f aca="false">IF(G5&gt;=-0.0000001,A5,H4)</f>
        <v>45811</v>
      </c>
      <c r="I5" s="29" t="n">
        <f aca="false">IF(AND(G5&gt;=-0.0000001,G4&lt;0),1,0)</f>
        <v>0</v>
      </c>
      <c r="J5" s="30" t="str">
        <f aca="false">IF(I5=1,A5-H4,"")</f>
        <v/>
      </c>
      <c r="K5" s="27" t="n">
        <f aca="false">IF(B5="Wednesday",0,C5)</f>
        <v>-4753.5</v>
      </c>
      <c r="L5" s="28" t="n">
        <f aca="false">L4+K5/$T$1*100</f>
        <v>-0.223323529411765</v>
      </c>
      <c r="M5" s="28" t="n">
        <f aca="false">MAX(0,MAX($L$2:L5))</f>
        <v>0.0562941176470588</v>
      </c>
      <c r="N5" s="28" t="n">
        <f aca="false">L5-M5</f>
        <v>-0.279617647058824</v>
      </c>
      <c r="O5" s="25" t="n">
        <f aca="false">IF(N5&gt;=-0.0000001,A5,O4)</f>
        <v>45812</v>
      </c>
      <c r="P5" s="29" t="n">
        <f aca="false">IF(AND(N5&gt;=-0.0000001,N4&lt;0),1,0)</f>
        <v>0</v>
      </c>
      <c r="Q5" s="30" t="str">
        <f aca="false">IF(P5=1,A5-O4,"")</f>
        <v/>
      </c>
      <c r="S5" s="23" t="s">
        <v>111</v>
      </c>
      <c r="T5" s="31" t="n">
        <f aca="false">EDATE($T$2,-6)</f>
        <v>45992</v>
      </c>
    </row>
    <row r="6" customFormat="false" ht="15" hidden="false" customHeight="false" outlineLevel="0" collapsed="false">
      <c r="A6" s="25" t="n">
        <v>45814</v>
      </c>
      <c r="B6" s="26" t="s">
        <v>83</v>
      </c>
      <c r="C6" s="27" t="n">
        <v>-23303.58</v>
      </c>
      <c r="D6" s="28" t="n">
        <f aca="false">C6/$T$1*100</f>
        <v>-1.37079882352941</v>
      </c>
      <c r="E6" s="28" t="n">
        <f aca="false">E5+D6</f>
        <v>-1.70913705882353</v>
      </c>
      <c r="F6" s="28" t="n">
        <f aca="false">MAX(0,MAX($E$2:E6))</f>
        <v>0.0562941176470588</v>
      </c>
      <c r="G6" s="28" t="n">
        <f aca="false">E6-F6</f>
        <v>-1.76543117647059</v>
      </c>
      <c r="H6" s="25" t="n">
        <f aca="false">IF(G6&gt;=-0.0000001,A6,H5)</f>
        <v>45811</v>
      </c>
      <c r="I6" s="29" t="n">
        <f aca="false">IF(AND(G6&gt;=-0.0000001,G5&lt;0),1,0)</f>
        <v>0</v>
      </c>
      <c r="J6" s="30" t="str">
        <f aca="false">IF(I6=1,A6-H5,"")</f>
        <v/>
      </c>
      <c r="K6" s="27" t="n">
        <f aca="false">IF(B6="Wednesday",0,C6)</f>
        <v>-23303.58</v>
      </c>
      <c r="L6" s="28" t="n">
        <f aca="false">L5+K6/$T$1*100</f>
        <v>-1.59412235294118</v>
      </c>
      <c r="M6" s="28" t="n">
        <f aca="false">MAX(0,MAX($L$2:L6))</f>
        <v>0.0562941176470588</v>
      </c>
      <c r="N6" s="28" t="n">
        <f aca="false">L6-M6</f>
        <v>-1.65041647058824</v>
      </c>
      <c r="O6" s="25" t="n">
        <f aca="false">IF(N6&gt;=-0.0000001,A6,O5)</f>
        <v>45812</v>
      </c>
      <c r="P6" s="29" t="n">
        <f aca="false">IF(AND(N6&gt;=-0.0000001,N5&lt;0),1,0)</f>
        <v>0</v>
      </c>
      <c r="Q6" s="30" t="str">
        <f aca="false">IF(P6=1,A6-O5,"")</f>
        <v/>
      </c>
      <c r="S6" s="23" t="s">
        <v>112</v>
      </c>
      <c r="T6" s="31" t="n">
        <f aca="false">EDATE($T$2,-12)</f>
        <v>45809</v>
      </c>
    </row>
    <row r="7" customFormat="false" ht="15" hidden="false" customHeight="false" outlineLevel="0" collapsed="false">
      <c r="A7" s="25" t="n">
        <v>45817</v>
      </c>
      <c r="B7" s="26" t="s">
        <v>79</v>
      </c>
      <c r="C7" s="27" t="n">
        <v>35183.06</v>
      </c>
      <c r="D7" s="28" t="n">
        <f aca="false">C7/$T$1*100</f>
        <v>2.06959176470588</v>
      </c>
      <c r="E7" s="28" t="n">
        <f aca="false">E6+D7</f>
        <v>0.360454705882353</v>
      </c>
      <c r="F7" s="28" t="n">
        <f aca="false">MAX(0,MAX($E$2:E7))</f>
        <v>0.360454705882353</v>
      </c>
      <c r="G7" s="28" t="n">
        <f aca="false">E7-F7</f>
        <v>0</v>
      </c>
      <c r="H7" s="25" t="n">
        <f aca="false">IF(G7&gt;=-0.0000001,A7,H6)</f>
        <v>45817</v>
      </c>
      <c r="I7" s="29" t="n">
        <f aca="false">IF(AND(G7&gt;=-0.0000001,G6&lt;0),1,0)</f>
        <v>1</v>
      </c>
      <c r="J7" s="30" t="n">
        <f aca="false">IF(I7=1,A7-H6,"")</f>
        <v>6</v>
      </c>
      <c r="K7" s="27" t="n">
        <f aca="false">IF(B7="Wednesday",0,C7)</f>
        <v>35183.06</v>
      </c>
      <c r="L7" s="28" t="n">
        <f aca="false">L6+K7/$T$1*100</f>
        <v>0.475469411764706</v>
      </c>
      <c r="M7" s="28" t="n">
        <f aca="false">MAX(0,MAX($L$2:L7))</f>
        <v>0.475469411764706</v>
      </c>
      <c r="N7" s="28" t="n">
        <f aca="false">L7-M7</f>
        <v>0</v>
      </c>
      <c r="O7" s="25" t="n">
        <f aca="false">IF(N7&gt;=-0.0000001,A7,O6)</f>
        <v>45817</v>
      </c>
      <c r="P7" s="29" t="n">
        <f aca="false">IF(AND(N7&gt;=-0.0000001,N6&lt;0),1,0)</f>
        <v>1</v>
      </c>
      <c r="Q7" s="30" t="n">
        <f aca="false">IF(P7=1,A7-O6,"")</f>
        <v>5</v>
      </c>
      <c r="S7" s="23" t="s">
        <v>113</v>
      </c>
      <c r="T7" s="32" t="n">
        <f aca="false">IF(G249&lt;-0.0000001,$T$2-H249,0)</f>
        <v>0</v>
      </c>
    </row>
    <row r="8" customFormat="false" ht="15" hidden="false" customHeight="false" outlineLevel="0" collapsed="false">
      <c r="A8" s="25" t="n">
        <v>45818</v>
      </c>
      <c r="B8" s="26" t="s">
        <v>80</v>
      </c>
      <c r="C8" s="27" t="n">
        <v>4282.5</v>
      </c>
      <c r="D8" s="28" t="n">
        <f aca="false">C8/$T$1*100</f>
        <v>0.251911764705882</v>
      </c>
      <c r="E8" s="28" t="n">
        <f aca="false">E7+D8</f>
        <v>0.612366470588235</v>
      </c>
      <c r="F8" s="28" t="n">
        <f aca="false">MAX(0,MAX($E$2:E8))</f>
        <v>0.612366470588235</v>
      </c>
      <c r="G8" s="28" t="n">
        <f aca="false">E8-F8</f>
        <v>0</v>
      </c>
      <c r="H8" s="25" t="n">
        <f aca="false">IF(G8&gt;=-0.0000001,A8,H7)</f>
        <v>45818</v>
      </c>
      <c r="I8" s="29" t="n">
        <f aca="false">IF(AND(G8&gt;=-0.0000001,G7&lt;0),1,0)</f>
        <v>0</v>
      </c>
      <c r="J8" s="30" t="str">
        <f aca="false">IF(I8=1,A8-H7,"")</f>
        <v/>
      </c>
      <c r="K8" s="27" t="n">
        <f aca="false">IF(B8="Wednesday",0,C8)</f>
        <v>4282.5</v>
      </c>
      <c r="L8" s="28" t="n">
        <f aca="false">L7+K8/$T$1*100</f>
        <v>0.727381176470588</v>
      </c>
      <c r="M8" s="28" t="n">
        <f aca="false">MAX(0,MAX($L$2:L8))</f>
        <v>0.727381176470588</v>
      </c>
      <c r="N8" s="28" t="n">
        <f aca="false">L8-M8</f>
        <v>0</v>
      </c>
      <c r="O8" s="25" t="n">
        <f aca="false">IF(N8&gt;=-0.0000001,A8,O7)</f>
        <v>45818</v>
      </c>
      <c r="P8" s="29" t="n">
        <f aca="false">IF(AND(N8&gt;=-0.0000001,N7&lt;0),1,0)</f>
        <v>0</v>
      </c>
      <c r="Q8" s="30" t="str">
        <f aca="false">IF(P8=1,A8-O7,"")</f>
        <v/>
      </c>
      <c r="S8" s="23" t="s">
        <v>114</v>
      </c>
      <c r="T8" s="32" t="n">
        <f aca="false">IF(N249&lt;-0.0000001,$T$2-O249,0)</f>
        <v>0</v>
      </c>
    </row>
    <row r="9" customFormat="false" ht="15" hidden="false" customHeight="false" outlineLevel="0" collapsed="false">
      <c r="A9" s="25" t="n">
        <v>45819</v>
      </c>
      <c r="B9" s="26" t="s">
        <v>81</v>
      </c>
      <c r="C9" s="27" t="n">
        <v>4730.03</v>
      </c>
      <c r="D9" s="28" t="n">
        <f aca="false">C9/$T$1*100</f>
        <v>0.278237058823529</v>
      </c>
      <c r="E9" s="28" t="n">
        <f aca="false">E8+D9</f>
        <v>0.890603529411765</v>
      </c>
      <c r="F9" s="28" t="n">
        <f aca="false">MAX(0,MAX($E$2:E9))</f>
        <v>0.890603529411765</v>
      </c>
      <c r="G9" s="28" t="n">
        <f aca="false">E9-F9</f>
        <v>0</v>
      </c>
      <c r="H9" s="25" t="n">
        <f aca="false">IF(G9&gt;=-0.0000001,A9,H8)</f>
        <v>45819</v>
      </c>
      <c r="I9" s="29" t="n">
        <f aca="false">IF(AND(G9&gt;=-0.0000001,G8&lt;0),1,0)</f>
        <v>0</v>
      </c>
      <c r="J9" s="30" t="str">
        <f aca="false">IF(I9=1,A9-H8,"")</f>
        <v/>
      </c>
      <c r="K9" s="27" t="n">
        <f aca="false">IF(B9="Wednesday",0,C9)</f>
        <v>0</v>
      </c>
      <c r="L9" s="28" t="n">
        <f aca="false">L8+K9/$T$1*100</f>
        <v>0.727381176470588</v>
      </c>
      <c r="M9" s="28" t="n">
        <f aca="false">MAX(0,MAX($L$2:L9))</f>
        <v>0.727381176470588</v>
      </c>
      <c r="N9" s="28" t="n">
        <f aca="false">L9-M9</f>
        <v>0</v>
      </c>
      <c r="O9" s="25" t="n">
        <f aca="false">IF(N9&gt;=-0.0000001,A9,O8)</f>
        <v>45819</v>
      </c>
      <c r="P9" s="29" t="n">
        <f aca="false">IF(AND(N9&gt;=-0.0000001,N8&lt;0),1,0)</f>
        <v>0</v>
      </c>
      <c r="Q9" s="30" t="str">
        <f aca="false">IF(P9=1,A9-O8,"")</f>
        <v/>
      </c>
      <c r="S9" s="23" t="s">
        <v>115</v>
      </c>
      <c r="T9" s="31" t="n">
        <f aca="false">MIN(A2:A249)</f>
        <v>45810</v>
      </c>
    </row>
    <row r="10" customFormat="false" ht="15" hidden="false" customHeight="false" outlineLevel="0" collapsed="false">
      <c r="A10" s="25" t="n">
        <v>45820</v>
      </c>
      <c r="B10" s="26" t="s">
        <v>82</v>
      </c>
      <c r="C10" s="27" t="n">
        <v>26118.97</v>
      </c>
      <c r="D10" s="28" t="n">
        <f aca="false">C10/$T$1*100</f>
        <v>1.53641</v>
      </c>
      <c r="E10" s="28" t="n">
        <f aca="false">E9+D10</f>
        <v>2.42701352941176</v>
      </c>
      <c r="F10" s="28" t="n">
        <f aca="false">MAX(0,MAX($E$2:E10))</f>
        <v>2.42701352941176</v>
      </c>
      <c r="G10" s="28" t="n">
        <f aca="false">E10-F10</f>
        <v>0</v>
      </c>
      <c r="H10" s="25" t="n">
        <f aca="false">IF(G10&gt;=-0.0000001,A10,H9)</f>
        <v>45820</v>
      </c>
      <c r="I10" s="29" t="n">
        <f aca="false">IF(AND(G10&gt;=-0.0000001,G9&lt;0),1,0)</f>
        <v>0</v>
      </c>
      <c r="J10" s="30" t="str">
        <f aca="false">IF(I10=1,A10-H9,"")</f>
        <v/>
      </c>
      <c r="K10" s="27" t="n">
        <f aca="false">IF(B10="Wednesday",0,C10)</f>
        <v>26118.97</v>
      </c>
      <c r="L10" s="28" t="n">
        <f aca="false">L9+K10/$T$1*100</f>
        <v>2.26379117647059</v>
      </c>
      <c r="M10" s="28" t="n">
        <f aca="false">MAX(0,MAX($L$2:L10))</f>
        <v>2.26379117647059</v>
      </c>
      <c r="N10" s="28" t="n">
        <f aca="false">L10-M10</f>
        <v>0</v>
      </c>
      <c r="O10" s="25" t="n">
        <f aca="false">IF(N10&gt;=-0.0000001,A10,O9)</f>
        <v>45820</v>
      </c>
      <c r="P10" s="29" t="n">
        <f aca="false">IF(AND(N10&gt;=-0.0000001,N9&lt;0),1,0)</f>
        <v>0</v>
      </c>
      <c r="Q10" s="30" t="str">
        <f aca="false">IF(P10=1,A10-O9,"")</f>
        <v/>
      </c>
    </row>
    <row r="11" customFormat="false" ht="15" hidden="false" customHeight="false" outlineLevel="0" collapsed="false">
      <c r="A11" s="25" t="n">
        <v>45821</v>
      </c>
      <c r="B11" s="26" t="s">
        <v>83</v>
      </c>
      <c r="C11" s="27" t="n">
        <v>297</v>
      </c>
      <c r="D11" s="28" t="n">
        <f aca="false">C11/$T$1*100</f>
        <v>0.0174705882352941</v>
      </c>
      <c r="E11" s="28" t="n">
        <f aca="false">E10+D11</f>
        <v>2.44448411764706</v>
      </c>
      <c r="F11" s="28" t="n">
        <f aca="false">MAX(0,MAX($E$2:E11))</f>
        <v>2.44448411764706</v>
      </c>
      <c r="G11" s="28" t="n">
        <f aca="false">E11-F11</f>
        <v>0</v>
      </c>
      <c r="H11" s="25" t="n">
        <f aca="false">IF(G11&gt;=-0.0000001,A11,H10)</f>
        <v>45821</v>
      </c>
      <c r="I11" s="29" t="n">
        <f aca="false">IF(AND(G11&gt;=-0.0000001,G10&lt;0),1,0)</f>
        <v>0</v>
      </c>
      <c r="J11" s="30" t="str">
        <f aca="false">IF(I11=1,A11-H10,"")</f>
        <v/>
      </c>
      <c r="K11" s="27" t="n">
        <f aca="false">IF(B11="Wednesday",0,C11)</f>
        <v>297</v>
      </c>
      <c r="L11" s="28" t="n">
        <f aca="false">L10+K11/$T$1*100</f>
        <v>2.28126176470588</v>
      </c>
      <c r="M11" s="28" t="n">
        <f aca="false">MAX(0,MAX($L$2:L11))</f>
        <v>2.28126176470588</v>
      </c>
      <c r="N11" s="28" t="n">
        <f aca="false">L11-M11</f>
        <v>0</v>
      </c>
      <c r="O11" s="25" t="n">
        <f aca="false">IF(N11&gt;=-0.0000001,A11,O10)</f>
        <v>45821</v>
      </c>
      <c r="P11" s="29" t="n">
        <f aca="false">IF(AND(N11&gt;=-0.0000001,N10&lt;0),1,0)</f>
        <v>0</v>
      </c>
      <c r="Q11" s="30" t="str">
        <f aca="false">IF(P11=1,A11-O10,"")</f>
        <v/>
      </c>
    </row>
    <row r="12" customFormat="false" ht="15" hidden="false" customHeight="false" outlineLevel="0" collapsed="false">
      <c r="A12" s="25" t="n">
        <v>45824</v>
      </c>
      <c r="B12" s="26" t="s">
        <v>79</v>
      </c>
      <c r="C12" s="27" t="n">
        <v>2393.57</v>
      </c>
      <c r="D12" s="28" t="n">
        <f aca="false">C12/$T$1*100</f>
        <v>0.140798235294118</v>
      </c>
      <c r="E12" s="28" t="n">
        <f aca="false">E11+D12</f>
        <v>2.58528235294118</v>
      </c>
      <c r="F12" s="28" t="n">
        <f aca="false">MAX(0,MAX($E$2:E12))</f>
        <v>2.58528235294118</v>
      </c>
      <c r="G12" s="28" t="n">
        <f aca="false">E12-F12</f>
        <v>0</v>
      </c>
      <c r="H12" s="25" t="n">
        <f aca="false">IF(G12&gt;=-0.0000001,A12,H11)</f>
        <v>45824</v>
      </c>
      <c r="I12" s="29" t="n">
        <f aca="false">IF(AND(G12&gt;=-0.0000001,G11&lt;0),1,0)</f>
        <v>0</v>
      </c>
      <c r="J12" s="30" t="str">
        <f aca="false">IF(I12=1,A12-H11,"")</f>
        <v/>
      </c>
      <c r="K12" s="27" t="n">
        <f aca="false">IF(B12="Wednesday",0,C12)</f>
        <v>2393.57</v>
      </c>
      <c r="L12" s="28" t="n">
        <f aca="false">L11+K12/$T$1*100</f>
        <v>2.42206</v>
      </c>
      <c r="M12" s="28" t="n">
        <f aca="false">MAX(0,MAX($L$2:L12))</f>
        <v>2.42206</v>
      </c>
      <c r="N12" s="28" t="n">
        <f aca="false">L12-M12</f>
        <v>0</v>
      </c>
      <c r="O12" s="25" t="n">
        <f aca="false">IF(N12&gt;=-0.0000001,A12,O11)</f>
        <v>45824</v>
      </c>
      <c r="P12" s="29" t="n">
        <f aca="false">IF(AND(N12&gt;=-0.0000001,N11&lt;0),1,0)</f>
        <v>0</v>
      </c>
      <c r="Q12" s="30" t="str">
        <f aca="false">IF(P12=1,A12-O11,"")</f>
        <v/>
      </c>
    </row>
    <row r="13" customFormat="false" ht="15" hidden="false" customHeight="false" outlineLevel="0" collapsed="false">
      <c r="A13" s="25" t="n">
        <v>45825</v>
      </c>
      <c r="B13" s="26" t="s">
        <v>80</v>
      </c>
      <c r="C13" s="27" t="n">
        <v>2180.25</v>
      </c>
      <c r="D13" s="28" t="n">
        <f aca="false">C13/$T$1*100</f>
        <v>0.12825</v>
      </c>
      <c r="E13" s="28" t="n">
        <f aca="false">E12+D13</f>
        <v>2.71353235294118</v>
      </c>
      <c r="F13" s="28" t="n">
        <f aca="false">MAX(0,MAX($E$2:E13))</f>
        <v>2.71353235294118</v>
      </c>
      <c r="G13" s="28" t="n">
        <f aca="false">E13-F13</f>
        <v>0</v>
      </c>
      <c r="H13" s="25" t="n">
        <f aca="false">IF(G13&gt;=-0.0000001,A13,H12)</f>
        <v>45825</v>
      </c>
      <c r="I13" s="29" t="n">
        <f aca="false">IF(AND(G13&gt;=-0.0000001,G12&lt;0),1,0)</f>
        <v>0</v>
      </c>
      <c r="J13" s="30" t="str">
        <f aca="false">IF(I13=1,A13-H12,"")</f>
        <v/>
      </c>
      <c r="K13" s="27" t="n">
        <f aca="false">IF(B13="Wednesday",0,C13)</f>
        <v>2180.25</v>
      </c>
      <c r="L13" s="28" t="n">
        <f aca="false">L12+K13/$T$1*100</f>
        <v>2.55031</v>
      </c>
      <c r="M13" s="28" t="n">
        <f aca="false">MAX(0,MAX($L$2:L13))</f>
        <v>2.55031</v>
      </c>
      <c r="N13" s="28" t="n">
        <f aca="false">L13-M13</f>
        <v>0</v>
      </c>
      <c r="O13" s="25" t="n">
        <f aca="false">IF(N13&gt;=-0.0000001,A13,O12)</f>
        <v>45825</v>
      </c>
      <c r="P13" s="29" t="n">
        <f aca="false">IF(AND(N13&gt;=-0.0000001,N12&lt;0),1,0)</f>
        <v>0</v>
      </c>
      <c r="Q13" s="30" t="str">
        <f aca="false">IF(P13=1,A13-O12,"")</f>
        <v/>
      </c>
    </row>
    <row r="14" customFormat="false" ht="15" hidden="false" customHeight="false" outlineLevel="0" collapsed="false">
      <c r="A14" s="25" t="n">
        <v>45826</v>
      </c>
      <c r="B14" s="26" t="s">
        <v>81</v>
      </c>
      <c r="C14" s="27" t="n">
        <v>-34549.99</v>
      </c>
      <c r="D14" s="28" t="n">
        <f aca="false">C14/$T$1*100</f>
        <v>-2.03235235294118</v>
      </c>
      <c r="E14" s="28" t="n">
        <f aca="false">E13+D14</f>
        <v>0.68118</v>
      </c>
      <c r="F14" s="28" t="n">
        <f aca="false">MAX(0,MAX($E$2:E14))</f>
        <v>2.71353235294118</v>
      </c>
      <c r="G14" s="28" t="n">
        <f aca="false">E14-F14</f>
        <v>-2.03235235294118</v>
      </c>
      <c r="H14" s="25" t="n">
        <f aca="false">IF(G14&gt;=-0.0000001,A14,H13)</f>
        <v>45825</v>
      </c>
      <c r="I14" s="29" t="n">
        <f aca="false">IF(AND(G14&gt;=-0.0000001,G13&lt;0),1,0)</f>
        <v>0</v>
      </c>
      <c r="J14" s="30" t="str">
        <f aca="false">IF(I14=1,A14-H13,"")</f>
        <v/>
      </c>
      <c r="K14" s="27" t="n">
        <f aca="false">IF(B14="Wednesday",0,C14)</f>
        <v>0</v>
      </c>
      <c r="L14" s="28" t="n">
        <f aca="false">L13+K14/$T$1*100</f>
        <v>2.55031</v>
      </c>
      <c r="M14" s="28" t="n">
        <f aca="false">MAX(0,MAX($L$2:L14))</f>
        <v>2.55031</v>
      </c>
      <c r="N14" s="28" t="n">
        <f aca="false">L14-M14</f>
        <v>0</v>
      </c>
      <c r="O14" s="25" t="n">
        <f aca="false">IF(N14&gt;=-0.0000001,A14,O13)</f>
        <v>45826</v>
      </c>
      <c r="P14" s="29" t="n">
        <f aca="false">IF(AND(N14&gt;=-0.0000001,N13&lt;0),1,0)</f>
        <v>0</v>
      </c>
      <c r="Q14" s="30" t="str">
        <f aca="false">IF(P14=1,A14-O13,"")</f>
        <v/>
      </c>
    </row>
    <row r="15" customFormat="false" ht="15" hidden="false" customHeight="false" outlineLevel="0" collapsed="false">
      <c r="A15" s="25" t="n">
        <v>45827</v>
      </c>
      <c r="B15" s="26" t="s">
        <v>82</v>
      </c>
      <c r="C15" s="27" t="n">
        <v>16841.62</v>
      </c>
      <c r="D15" s="28" t="n">
        <f aca="false">C15/$T$1*100</f>
        <v>0.990683529411765</v>
      </c>
      <c r="E15" s="28" t="n">
        <f aca="false">E14+D15</f>
        <v>1.67186352941177</v>
      </c>
      <c r="F15" s="28" t="n">
        <f aca="false">MAX(0,MAX($E$2:E15))</f>
        <v>2.71353235294118</v>
      </c>
      <c r="G15" s="28" t="n">
        <f aca="false">E15-F15</f>
        <v>-1.04166882352941</v>
      </c>
      <c r="H15" s="25" t="n">
        <f aca="false">IF(G15&gt;=-0.0000001,A15,H14)</f>
        <v>45825</v>
      </c>
      <c r="I15" s="29" t="n">
        <f aca="false">IF(AND(G15&gt;=-0.0000001,G14&lt;0),1,0)</f>
        <v>0</v>
      </c>
      <c r="J15" s="30" t="str">
        <f aca="false">IF(I15=1,A15-H14,"")</f>
        <v/>
      </c>
      <c r="K15" s="27" t="n">
        <f aca="false">IF(B15="Wednesday",0,C15)</f>
        <v>16841.62</v>
      </c>
      <c r="L15" s="28" t="n">
        <f aca="false">L14+K15/$T$1*100</f>
        <v>3.54099352941176</v>
      </c>
      <c r="M15" s="28" t="n">
        <f aca="false">MAX(0,MAX($L$2:L15))</f>
        <v>3.54099352941176</v>
      </c>
      <c r="N15" s="28" t="n">
        <f aca="false">L15-M15</f>
        <v>0</v>
      </c>
      <c r="O15" s="25" t="n">
        <f aca="false">IF(N15&gt;=-0.0000001,A15,O14)</f>
        <v>45827</v>
      </c>
      <c r="P15" s="29" t="n">
        <f aca="false">IF(AND(N15&gt;=-0.0000001,N14&lt;0),1,0)</f>
        <v>0</v>
      </c>
      <c r="Q15" s="30" t="str">
        <f aca="false">IF(P15=1,A15-O14,"")</f>
        <v/>
      </c>
    </row>
    <row r="16" customFormat="false" ht="15" hidden="false" customHeight="false" outlineLevel="0" collapsed="false">
      <c r="A16" s="25" t="n">
        <v>45828</v>
      </c>
      <c r="B16" s="26" t="s">
        <v>83</v>
      </c>
      <c r="C16" s="27" t="n">
        <v>-3001.5</v>
      </c>
      <c r="D16" s="28" t="n">
        <f aca="false">C16/$T$1*100</f>
        <v>-0.176558823529412</v>
      </c>
      <c r="E16" s="28" t="n">
        <f aca="false">E15+D16</f>
        <v>1.49530470588235</v>
      </c>
      <c r="F16" s="28" t="n">
        <f aca="false">MAX(0,MAX($E$2:E16))</f>
        <v>2.71353235294118</v>
      </c>
      <c r="G16" s="28" t="n">
        <f aca="false">E16-F16</f>
        <v>-1.21822764705882</v>
      </c>
      <c r="H16" s="25" t="n">
        <f aca="false">IF(G16&gt;=-0.0000001,A16,H15)</f>
        <v>45825</v>
      </c>
      <c r="I16" s="29" t="n">
        <f aca="false">IF(AND(G16&gt;=-0.0000001,G15&lt;0),1,0)</f>
        <v>0</v>
      </c>
      <c r="J16" s="30" t="str">
        <f aca="false">IF(I16=1,A16-H15,"")</f>
        <v/>
      </c>
      <c r="K16" s="27" t="n">
        <f aca="false">IF(B16="Wednesday",0,C16)</f>
        <v>-3001.5</v>
      </c>
      <c r="L16" s="28" t="n">
        <f aca="false">L15+K16/$T$1*100</f>
        <v>3.36443470588235</v>
      </c>
      <c r="M16" s="28" t="n">
        <f aca="false">MAX(0,MAX($L$2:L16))</f>
        <v>3.54099352941176</v>
      </c>
      <c r="N16" s="28" t="n">
        <f aca="false">L16-M16</f>
        <v>-0.176558823529412</v>
      </c>
      <c r="O16" s="25" t="n">
        <f aca="false">IF(N16&gt;=-0.0000001,A16,O15)</f>
        <v>45827</v>
      </c>
      <c r="P16" s="29" t="n">
        <f aca="false">IF(AND(N16&gt;=-0.0000001,N15&lt;0),1,0)</f>
        <v>0</v>
      </c>
      <c r="Q16" s="30" t="str">
        <f aca="false">IF(P16=1,A16-O15,"")</f>
        <v/>
      </c>
    </row>
    <row r="17" customFormat="false" ht="15" hidden="false" customHeight="false" outlineLevel="0" collapsed="false">
      <c r="A17" s="25" t="n">
        <v>45831</v>
      </c>
      <c r="B17" s="26" t="s">
        <v>79</v>
      </c>
      <c r="C17" s="27" t="n">
        <v>9179.92</v>
      </c>
      <c r="D17" s="28" t="n">
        <f aca="false">C17/$T$1*100</f>
        <v>0.539995294117647</v>
      </c>
      <c r="E17" s="28" t="n">
        <f aca="false">E16+D17</f>
        <v>2.0353</v>
      </c>
      <c r="F17" s="28" t="n">
        <f aca="false">MAX(0,MAX($E$2:E17))</f>
        <v>2.71353235294118</v>
      </c>
      <c r="G17" s="28" t="n">
        <f aca="false">E17-F17</f>
        <v>-0.678232352941176</v>
      </c>
      <c r="H17" s="25" t="n">
        <f aca="false">IF(G17&gt;=-0.0000001,A17,H16)</f>
        <v>45825</v>
      </c>
      <c r="I17" s="29" t="n">
        <f aca="false">IF(AND(G17&gt;=-0.0000001,G16&lt;0),1,0)</f>
        <v>0</v>
      </c>
      <c r="J17" s="30" t="str">
        <f aca="false">IF(I17=1,A17-H16,"")</f>
        <v/>
      </c>
      <c r="K17" s="27" t="n">
        <f aca="false">IF(B17="Wednesday",0,C17)</f>
        <v>9179.92</v>
      </c>
      <c r="L17" s="28" t="n">
        <f aca="false">L16+K17/$T$1*100</f>
        <v>3.90443</v>
      </c>
      <c r="M17" s="28" t="n">
        <f aca="false">MAX(0,MAX($L$2:L17))</f>
        <v>3.90443</v>
      </c>
      <c r="N17" s="28" t="n">
        <f aca="false">L17-M17</f>
        <v>0</v>
      </c>
      <c r="O17" s="25" t="n">
        <f aca="false">IF(N17&gt;=-0.0000001,A17,O16)</f>
        <v>45831</v>
      </c>
      <c r="P17" s="29" t="n">
        <f aca="false">IF(AND(N17&gt;=-0.0000001,N16&lt;0),1,0)</f>
        <v>1</v>
      </c>
      <c r="Q17" s="30" t="n">
        <f aca="false">IF(P17=1,A17-O16,"")</f>
        <v>4</v>
      </c>
    </row>
    <row r="18" customFormat="false" ht="15" hidden="false" customHeight="false" outlineLevel="0" collapsed="false">
      <c r="A18" s="25" t="n">
        <v>45832</v>
      </c>
      <c r="B18" s="26" t="s">
        <v>80</v>
      </c>
      <c r="C18" s="27" t="n">
        <v>-19062.85</v>
      </c>
      <c r="D18" s="28" t="n">
        <f aca="false">C18/$T$1*100</f>
        <v>-1.12134411764706</v>
      </c>
      <c r="E18" s="28" t="n">
        <f aca="false">E17+D18</f>
        <v>0.913955882352942</v>
      </c>
      <c r="F18" s="28" t="n">
        <f aca="false">MAX(0,MAX($E$2:E18))</f>
        <v>2.71353235294118</v>
      </c>
      <c r="G18" s="28" t="n">
        <f aca="false">E18-F18</f>
        <v>-1.79957647058823</v>
      </c>
      <c r="H18" s="25" t="n">
        <f aca="false">IF(G18&gt;=-0.0000001,A18,H17)</f>
        <v>45825</v>
      </c>
      <c r="I18" s="29" t="n">
        <f aca="false">IF(AND(G18&gt;=-0.0000001,G17&lt;0),1,0)</f>
        <v>0</v>
      </c>
      <c r="J18" s="30" t="str">
        <f aca="false">IF(I18=1,A18-H17,"")</f>
        <v/>
      </c>
      <c r="K18" s="27" t="n">
        <f aca="false">IF(B18="Wednesday",0,C18)</f>
        <v>-19062.85</v>
      </c>
      <c r="L18" s="28" t="n">
        <f aca="false">L17+K18/$T$1*100</f>
        <v>2.78308588235294</v>
      </c>
      <c r="M18" s="28" t="n">
        <f aca="false">MAX(0,MAX($L$2:L18))</f>
        <v>3.90443</v>
      </c>
      <c r="N18" s="28" t="n">
        <f aca="false">L18-M18</f>
        <v>-1.12134411764706</v>
      </c>
      <c r="O18" s="25" t="n">
        <f aca="false">IF(N18&gt;=-0.0000001,A18,O17)</f>
        <v>45831</v>
      </c>
      <c r="P18" s="29" t="n">
        <f aca="false">IF(AND(N18&gt;=-0.0000001,N17&lt;0),1,0)</f>
        <v>0</v>
      </c>
      <c r="Q18" s="30" t="str">
        <f aca="false">IF(P18=1,A18-O17,"")</f>
        <v/>
      </c>
    </row>
    <row r="19" customFormat="false" ht="15" hidden="false" customHeight="false" outlineLevel="0" collapsed="false">
      <c r="A19" s="25" t="n">
        <v>45833</v>
      </c>
      <c r="B19" s="26" t="s">
        <v>81</v>
      </c>
      <c r="C19" s="27" t="n">
        <v>17029.18</v>
      </c>
      <c r="D19" s="28" t="n">
        <f aca="false">C19/$T$1*100</f>
        <v>1.00171647058824</v>
      </c>
      <c r="E19" s="28" t="n">
        <f aca="false">E18+D19</f>
        <v>1.91567235294118</v>
      </c>
      <c r="F19" s="28" t="n">
        <f aca="false">MAX(0,MAX($E$2:E19))</f>
        <v>2.71353235294118</v>
      </c>
      <c r="G19" s="28" t="n">
        <f aca="false">E19-F19</f>
        <v>-0.79786</v>
      </c>
      <c r="H19" s="25" t="n">
        <f aca="false">IF(G19&gt;=-0.0000001,A19,H18)</f>
        <v>45825</v>
      </c>
      <c r="I19" s="29" t="n">
        <f aca="false">IF(AND(G19&gt;=-0.0000001,G18&lt;0),1,0)</f>
        <v>0</v>
      </c>
      <c r="J19" s="30" t="str">
        <f aca="false">IF(I19=1,A19-H18,"")</f>
        <v/>
      </c>
      <c r="K19" s="27" t="n">
        <f aca="false">IF(B19="Wednesday",0,C19)</f>
        <v>0</v>
      </c>
      <c r="L19" s="28" t="n">
        <f aca="false">L18+K19/$T$1*100</f>
        <v>2.78308588235294</v>
      </c>
      <c r="M19" s="28" t="n">
        <f aca="false">MAX(0,MAX($L$2:L19))</f>
        <v>3.90443</v>
      </c>
      <c r="N19" s="28" t="n">
        <f aca="false">L19-M19</f>
        <v>-1.12134411764706</v>
      </c>
      <c r="O19" s="25" t="n">
        <f aca="false">IF(N19&gt;=-0.0000001,A19,O18)</f>
        <v>45831</v>
      </c>
      <c r="P19" s="29" t="n">
        <f aca="false">IF(AND(N19&gt;=-0.0000001,N18&lt;0),1,0)</f>
        <v>0</v>
      </c>
      <c r="Q19" s="30" t="str">
        <f aca="false">IF(P19=1,A19-O18,"")</f>
        <v/>
      </c>
    </row>
    <row r="20" customFormat="false" ht="15" hidden="false" customHeight="false" outlineLevel="0" collapsed="false">
      <c r="A20" s="25" t="n">
        <v>45834</v>
      </c>
      <c r="B20" s="26" t="s">
        <v>82</v>
      </c>
      <c r="C20" s="27" t="n">
        <v>14928.6</v>
      </c>
      <c r="D20" s="28" t="n">
        <f aca="false">C20/$T$1*100</f>
        <v>0.878152941176471</v>
      </c>
      <c r="E20" s="28" t="n">
        <f aca="false">E19+D20</f>
        <v>2.79382529411765</v>
      </c>
      <c r="F20" s="28" t="n">
        <f aca="false">MAX(0,MAX($E$2:E20))</f>
        <v>2.79382529411765</v>
      </c>
      <c r="G20" s="28" t="n">
        <f aca="false">E20-F20</f>
        <v>0</v>
      </c>
      <c r="H20" s="25" t="n">
        <f aca="false">IF(G20&gt;=-0.0000001,A20,H19)</f>
        <v>45834</v>
      </c>
      <c r="I20" s="29" t="n">
        <f aca="false">IF(AND(G20&gt;=-0.0000001,G19&lt;0),1,0)</f>
        <v>1</v>
      </c>
      <c r="J20" s="30" t="n">
        <f aca="false">IF(I20=1,A20-H19,"")</f>
        <v>9</v>
      </c>
      <c r="K20" s="27" t="n">
        <f aca="false">IF(B20="Wednesday",0,C20)</f>
        <v>14928.6</v>
      </c>
      <c r="L20" s="28" t="n">
        <f aca="false">L19+K20/$T$1*100</f>
        <v>3.66123882352941</v>
      </c>
      <c r="M20" s="28" t="n">
        <f aca="false">MAX(0,MAX($L$2:L20))</f>
        <v>3.90443</v>
      </c>
      <c r="N20" s="28" t="n">
        <f aca="false">L20-M20</f>
        <v>-0.243191176470588</v>
      </c>
      <c r="O20" s="25" t="n">
        <f aca="false">IF(N20&gt;=-0.0000001,A20,O19)</f>
        <v>45831</v>
      </c>
      <c r="P20" s="29" t="n">
        <f aca="false">IF(AND(N20&gt;=-0.0000001,N19&lt;0),1,0)</f>
        <v>0</v>
      </c>
      <c r="Q20" s="30" t="str">
        <f aca="false">IF(P20=1,A20-O19,"")</f>
        <v/>
      </c>
    </row>
    <row r="21" customFormat="false" ht="15" hidden="false" customHeight="false" outlineLevel="0" collapsed="false">
      <c r="A21" s="25" t="n">
        <v>45835</v>
      </c>
      <c r="B21" s="26" t="s">
        <v>83</v>
      </c>
      <c r="C21" s="27" t="n">
        <v>-2763</v>
      </c>
      <c r="D21" s="28" t="n">
        <f aca="false">C21/$T$1*100</f>
        <v>-0.162529411764706</v>
      </c>
      <c r="E21" s="28" t="n">
        <f aca="false">E20+D21</f>
        <v>2.63129588235294</v>
      </c>
      <c r="F21" s="28" t="n">
        <f aca="false">MAX(0,MAX($E$2:E21))</f>
        <v>2.79382529411765</v>
      </c>
      <c r="G21" s="28" t="n">
        <f aca="false">E21-F21</f>
        <v>-0.162529411764706</v>
      </c>
      <c r="H21" s="25" t="n">
        <f aca="false">IF(G21&gt;=-0.0000001,A21,H20)</f>
        <v>45834</v>
      </c>
      <c r="I21" s="29" t="n">
        <f aca="false">IF(AND(G21&gt;=-0.0000001,G20&lt;0),1,0)</f>
        <v>0</v>
      </c>
      <c r="J21" s="30" t="str">
        <f aca="false">IF(I21=1,A21-H20,"")</f>
        <v/>
      </c>
      <c r="K21" s="27" t="n">
        <f aca="false">IF(B21="Wednesday",0,C21)</f>
        <v>-2763</v>
      </c>
      <c r="L21" s="28" t="n">
        <f aca="false">L20+K21/$T$1*100</f>
        <v>3.49870941176471</v>
      </c>
      <c r="M21" s="28" t="n">
        <f aca="false">MAX(0,MAX($L$2:L21))</f>
        <v>3.90443</v>
      </c>
      <c r="N21" s="28" t="n">
        <f aca="false">L21-M21</f>
        <v>-0.405720588235294</v>
      </c>
      <c r="O21" s="25" t="n">
        <f aca="false">IF(N21&gt;=-0.0000001,A21,O20)</f>
        <v>45831</v>
      </c>
      <c r="P21" s="29" t="n">
        <f aca="false">IF(AND(N21&gt;=-0.0000001,N20&lt;0),1,0)</f>
        <v>0</v>
      </c>
      <c r="Q21" s="30" t="str">
        <f aca="false">IF(P21=1,A21-O20,"")</f>
        <v/>
      </c>
    </row>
    <row r="22" customFormat="false" ht="15" hidden="false" customHeight="false" outlineLevel="0" collapsed="false">
      <c r="A22" s="25" t="n">
        <v>45838</v>
      </c>
      <c r="B22" s="26" t="s">
        <v>79</v>
      </c>
      <c r="C22" s="27" t="n">
        <v>-27576.03</v>
      </c>
      <c r="D22" s="28" t="n">
        <f aca="false">C22/$T$1*100</f>
        <v>-1.62211941176471</v>
      </c>
      <c r="E22" s="28" t="n">
        <f aca="false">E21+D22</f>
        <v>1.00917647058824</v>
      </c>
      <c r="F22" s="28" t="n">
        <f aca="false">MAX(0,MAX($E$2:E22))</f>
        <v>2.79382529411765</v>
      </c>
      <c r="G22" s="28" t="n">
        <f aca="false">E22-F22</f>
        <v>-1.78464882352941</v>
      </c>
      <c r="H22" s="25" t="n">
        <f aca="false">IF(G22&gt;=-0.0000001,A22,H21)</f>
        <v>45834</v>
      </c>
      <c r="I22" s="29" t="n">
        <f aca="false">IF(AND(G22&gt;=-0.0000001,G21&lt;0),1,0)</f>
        <v>0</v>
      </c>
      <c r="J22" s="30" t="str">
        <f aca="false">IF(I22=1,A22-H21,"")</f>
        <v/>
      </c>
      <c r="K22" s="27" t="n">
        <f aca="false">IF(B22="Wednesday",0,C22)</f>
        <v>-27576.03</v>
      </c>
      <c r="L22" s="28" t="n">
        <f aca="false">L21+K22/$T$1*100</f>
        <v>1.87659</v>
      </c>
      <c r="M22" s="28" t="n">
        <f aca="false">MAX(0,MAX($L$2:L22))</f>
        <v>3.90443</v>
      </c>
      <c r="N22" s="28" t="n">
        <f aca="false">L22-M22</f>
        <v>-2.02784</v>
      </c>
      <c r="O22" s="25" t="n">
        <f aca="false">IF(N22&gt;=-0.0000001,A22,O21)</f>
        <v>45831</v>
      </c>
      <c r="P22" s="29" t="n">
        <f aca="false">IF(AND(N22&gt;=-0.0000001,N21&lt;0),1,0)</f>
        <v>0</v>
      </c>
      <c r="Q22" s="30" t="str">
        <f aca="false">IF(P22=1,A22-O21,"")</f>
        <v/>
      </c>
    </row>
    <row r="23" customFormat="false" ht="15" hidden="false" customHeight="false" outlineLevel="0" collapsed="false">
      <c r="A23" s="25" t="n">
        <v>45839</v>
      </c>
      <c r="B23" s="26" t="s">
        <v>80</v>
      </c>
      <c r="C23" s="27" t="n">
        <v>-1512</v>
      </c>
      <c r="D23" s="28" t="n">
        <f aca="false">C23/$T$1*100</f>
        <v>-0.0889411764705882</v>
      </c>
      <c r="E23" s="28" t="n">
        <f aca="false">E22+D23</f>
        <v>0.920235294117648</v>
      </c>
      <c r="F23" s="28" t="n">
        <f aca="false">MAX(0,MAX($E$2:E23))</f>
        <v>2.79382529411765</v>
      </c>
      <c r="G23" s="28" t="n">
        <f aca="false">E23-F23</f>
        <v>-1.87359</v>
      </c>
      <c r="H23" s="25" t="n">
        <f aca="false">IF(G23&gt;=-0.0000001,A23,H22)</f>
        <v>45834</v>
      </c>
      <c r="I23" s="29" t="n">
        <f aca="false">IF(AND(G23&gt;=-0.0000001,G22&lt;0),1,0)</f>
        <v>0</v>
      </c>
      <c r="J23" s="30" t="str">
        <f aca="false">IF(I23=1,A23-H22,"")</f>
        <v/>
      </c>
      <c r="K23" s="27" t="n">
        <f aca="false">IF(B23="Wednesday",0,C23)</f>
        <v>-1512</v>
      </c>
      <c r="L23" s="28" t="n">
        <f aca="false">L22+K23/$T$1*100</f>
        <v>1.78764882352941</v>
      </c>
      <c r="M23" s="28" t="n">
        <f aca="false">MAX(0,MAX($L$2:L23))</f>
        <v>3.90443</v>
      </c>
      <c r="N23" s="28" t="n">
        <f aca="false">L23-M23</f>
        <v>-2.11678117647059</v>
      </c>
      <c r="O23" s="25" t="n">
        <f aca="false">IF(N23&gt;=-0.0000001,A23,O22)</f>
        <v>45831</v>
      </c>
      <c r="P23" s="29" t="n">
        <f aca="false">IF(AND(N23&gt;=-0.0000001,N22&lt;0),1,0)</f>
        <v>0</v>
      </c>
      <c r="Q23" s="30" t="str">
        <f aca="false">IF(P23=1,A23-O22,"")</f>
        <v/>
      </c>
    </row>
    <row r="24" customFormat="false" ht="15" hidden="false" customHeight="false" outlineLevel="0" collapsed="false">
      <c r="A24" s="25" t="n">
        <v>45840</v>
      </c>
      <c r="B24" s="26" t="s">
        <v>81</v>
      </c>
      <c r="C24" s="27" t="n">
        <v>25769.79</v>
      </c>
      <c r="D24" s="28" t="n">
        <f aca="false">C24/$T$1*100</f>
        <v>1.51587</v>
      </c>
      <c r="E24" s="28" t="n">
        <f aca="false">E23+D24</f>
        <v>2.43610529411765</v>
      </c>
      <c r="F24" s="28" t="n">
        <f aca="false">MAX(0,MAX($E$2:E24))</f>
        <v>2.79382529411765</v>
      </c>
      <c r="G24" s="28" t="n">
        <f aca="false">E24-F24</f>
        <v>-0.35772</v>
      </c>
      <c r="H24" s="25" t="n">
        <f aca="false">IF(G24&gt;=-0.0000001,A24,H23)</f>
        <v>45834</v>
      </c>
      <c r="I24" s="29" t="n">
        <f aca="false">IF(AND(G24&gt;=-0.0000001,G23&lt;0),1,0)</f>
        <v>0</v>
      </c>
      <c r="J24" s="30" t="str">
        <f aca="false">IF(I24=1,A24-H23,"")</f>
        <v/>
      </c>
      <c r="K24" s="27" t="n">
        <f aca="false">IF(B24="Wednesday",0,C24)</f>
        <v>0</v>
      </c>
      <c r="L24" s="28" t="n">
        <f aca="false">L23+K24/$T$1*100</f>
        <v>1.78764882352941</v>
      </c>
      <c r="M24" s="28" t="n">
        <f aca="false">MAX(0,MAX($L$2:L24))</f>
        <v>3.90443</v>
      </c>
      <c r="N24" s="28" t="n">
        <f aca="false">L24-M24</f>
        <v>-2.11678117647059</v>
      </c>
      <c r="O24" s="25" t="n">
        <f aca="false">IF(N24&gt;=-0.0000001,A24,O23)</f>
        <v>45831</v>
      </c>
      <c r="P24" s="29" t="n">
        <f aca="false">IF(AND(N24&gt;=-0.0000001,N23&lt;0),1,0)</f>
        <v>0</v>
      </c>
      <c r="Q24" s="30" t="str">
        <f aca="false">IF(P24=1,A24-O23,"")</f>
        <v/>
      </c>
    </row>
    <row r="25" customFormat="false" ht="15" hidden="false" customHeight="false" outlineLevel="0" collapsed="false">
      <c r="A25" s="25" t="n">
        <v>45841</v>
      </c>
      <c r="B25" s="26" t="s">
        <v>82</v>
      </c>
      <c r="C25" s="27" t="n">
        <v>18416.05</v>
      </c>
      <c r="D25" s="28" t="n">
        <f aca="false">C25/$T$1*100</f>
        <v>1.08329705882353</v>
      </c>
      <c r="E25" s="28" t="n">
        <f aca="false">E24+D25</f>
        <v>3.51940235294118</v>
      </c>
      <c r="F25" s="28" t="n">
        <f aca="false">MAX(0,MAX($E$2:E25))</f>
        <v>3.51940235294118</v>
      </c>
      <c r="G25" s="28" t="n">
        <f aca="false">E25-F25</f>
        <v>0</v>
      </c>
      <c r="H25" s="25" t="n">
        <f aca="false">IF(G25&gt;=-0.0000001,A25,H24)</f>
        <v>45841</v>
      </c>
      <c r="I25" s="29" t="n">
        <f aca="false">IF(AND(G25&gt;=-0.0000001,G24&lt;0),1,0)</f>
        <v>1</v>
      </c>
      <c r="J25" s="30" t="n">
        <f aca="false">IF(I25=1,A25-H24,"")</f>
        <v>7</v>
      </c>
      <c r="K25" s="27" t="n">
        <f aca="false">IF(B25="Wednesday",0,C25)</f>
        <v>18416.05</v>
      </c>
      <c r="L25" s="28" t="n">
        <f aca="false">L24+K25/$T$1*100</f>
        <v>2.87094588235294</v>
      </c>
      <c r="M25" s="28" t="n">
        <f aca="false">MAX(0,MAX($L$2:L25))</f>
        <v>3.90443</v>
      </c>
      <c r="N25" s="28" t="n">
        <f aca="false">L25-M25</f>
        <v>-1.03348411764706</v>
      </c>
      <c r="O25" s="25" t="n">
        <f aca="false">IF(N25&gt;=-0.0000001,A25,O24)</f>
        <v>45831</v>
      </c>
      <c r="P25" s="29" t="n">
        <f aca="false">IF(AND(N25&gt;=-0.0000001,N24&lt;0),1,0)</f>
        <v>0</v>
      </c>
      <c r="Q25" s="30" t="str">
        <f aca="false">IF(P25=1,A25-O24,"")</f>
        <v/>
      </c>
    </row>
    <row r="26" customFormat="false" ht="15" hidden="false" customHeight="false" outlineLevel="0" collapsed="false">
      <c r="A26" s="25" t="n">
        <v>45842</v>
      </c>
      <c r="B26" s="26" t="s">
        <v>83</v>
      </c>
      <c r="C26" s="27" t="n">
        <v>1512</v>
      </c>
      <c r="D26" s="28" t="n">
        <f aca="false">C26/$T$1*100</f>
        <v>0.0889411764705882</v>
      </c>
      <c r="E26" s="28" t="n">
        <f aca="false">E25+D26</f>
        <v>3.60834352941177</v>
      </c>
      <c r="F26" s="28" t="n">
        <f aca="false">MAX(0,MAX($E$2:E26))</f>
        <v>3.60834352941177</v>
      </c>
      <c r="G26" s="28" t="n">
        <f aca="false">E26-F26</f>
        <v>0</v>
      </c>
      <c r="H26" s="25" t="n">
        <f aca="false">IF(G26&gt;=-0.0000001,A26,H25)</f>
        <v>45842</v>
      </c>
      <c r="I26" s="29" t="n">
        <f aca="false">IF(AND(G26&gt;=-0.0000001,G25&lt;0),1,0)</f>
        <v>0</v>
      </c>
      <c r="J26" s="30" t="str">
        <f aca="false">IF(I26=1,A26-H25,"")</f>
        <v/>
      </c>
      <c r="K26" s="27" t="n">
        <f aca="false">IF(B26="Wednesday",0,C26)</f>
        <v>1512</v>
      </c>
      <c r="L26" s="28" t="n">
        <f aca="false">L25+K26/$T$1*100</f>
        <v>2.95988705882353</v>
      </c>
      <c r="M26" s="28" t="n">
        <f aca="false">MAX(0,MAX($L$2:L26))</f>
        <v>3.90443</v>
      </c>
      <c r="N26" s="28" t="n">
        <f aca="false">L26-M26</f>
        <v>-0.944542941176471</v>
      </c>
      <c r="O26" s="25" t="n">
        <f aca="false">IF(N26&gt;=-0.0000001,A26,O25)</f>
        <v>45831</v>
      </c>
      <c r="P26" s="29" t="n">
        <f aca="false">IF(AND(N26&gt;=-0.0000001,N25&lt;0),1,0)</f>
        <v>0</v>
      </c>
      <c r="Q26" s="30" t="str">
        <f aca="false">IF(P26=1,A26-O25,"")</f>
        <v/>
      </c>
    </row>
    <row r="27" customFormat="false" ht="15" hidden="false" customHeight="false" outlineLevel="0" collapsed="false">
      <c r="A27" s="25" t="n">
        <v>45845</v>
      </c>
      <c r="B27" s="26" t="s">
        <v>79</v>
      </c>
      <c r="C27" s="27" t="n">
        <v>399.51</v>
      </c>
      <c r="D27" s="28" t="n">
        <f aca="false">C27/$T$1*100</f>
        <v>0.0235005882352941</v>
      </c>
      <c r="E27" s="28" t="n">
        <f aca="false">E26+D27</f>
        <v>3.63184411764706</v>
      </c>
      <c r="F27" s="28" t="n">
        <f aca="false">MAX(0,MAX($E$2:E27))</f>
        <v>3.63184411764706</v>
      </c>
      <c r="G27" s="28" t="n">
        <f aca="false">E27-F27</f>
        <v>0</v>
      </c>
      <c r="H27" s="25" t="n">
        <f aca="false">IF(G27&gt;=-0.0000001,A27,H26)</f>
        <v>45845</v>
      </c>
      <c r="I27" s="29" t="n">
        <f aca="false">IF(AND(G27&gt;=-0.0000001,G26&lt;0),1,0)</f>
        <v>0</v>
      </c>
      <c r="J27" s="30" t="str">
        <f aca="false">IF(I27=1,A27-H26,"")</f>
        <v/>
      </c>
      <c r="K27" s="27" t="n">
        <f aca="false">IF(B27="Wednesday",0,C27)</f>
        <v>399.51</v>
      </c>
      <c r="L27" s="28" t="n">
        <f aca="false">L26+K27/$T$1*100</f>
        <v>2.98338764705882</v>
      </c>
      <c r="M27" s="28" t="n">
        <f aca="false">MAX(0,MAX($L$2:L27))</f>
        <v>3.90443</v>
      </c>
      <c r="N27" s="28" t="n">
        <f aca="false">L27-M27</f>
        <v>-0.921042352941177</v>
      </c>
      <c r="O27" s="25" t="n">
        <f aca="false">IF(N27&gt;=-0.0000001,A27,O26)</f>
        <v>45831</v>
      </c>
      <c r="P27" s="29" t="n">
        <f aca="false">IF(AND(N27&gt;=-0.0000001,N26&lt;0),1,0)</f>
        <v>0</v>
      </c>
      <c r="Q27" s="30" t="str">
        <f aca="false">IF(P27=1,A27-O26,"")</f>
        <v/>
      </c>
    </row>
    <row r="28" customFormat="false" ht="15" hidden="false" customHeight="false" outlineLevel="0" collapsed="false">
      <c r="A28" s="25" t="n">
        <v>45846</v>
      </c>
      <c r="B28" s="26" t="s">
        <v>80</v>
      </c>
      <c r="C28" s="27" t="n">
        <v>-10638.98</v>
      </c>
      <c r="D28" s="28" t="n">
        <f aca="false">C28/$T$1*100</f>
        <v>-0.625822352941177</v>
      </c>
      <c r="E28" s="28" t="n">
        <f aca="false">E27+D28</f>
        <v>3.00602176470588</v>
      </c>
      <c r="F28" s="28" t="n">
        <f aca="false">MAX(0,MAX($E$2:E28))</f>
        <v>3.63184411764706</v>
      </c>
      <c r="G28" s="28" t="n">
        <f aca="false">E28-F28</f>
        <v>-0.625822352941177</v>
      </c>
      <c r="H28" s="25" t="n">
        <f aca="false">IF(G28&gt;=-0.0000001,A28,H27)</f>
        <v>45845</v>
      </c>
      <c r="I28" s="29" t="n">
        <f aca="false">IF(AND(G28&gt;=-0.0000001,G27&lt;0),1,0)</f>
        <v>0</v>
      </c>
      <c r="J28" s="30" t="str">
        <f aca="false">IF(I28=1,A28-H27,"")</f>
        <v/>
      </c>
      <c r="K28" s="27" t="n">
        <f aca="false">IF(B28="Wednesday",0,C28)</f>
        <v>-10638.98</v>
      </c>
      <c r="L28" s="28" t="n">
        <f aca="false">L27+K28/$T$1*100</f>
        <v>2.35756529411765</v>
      </c>
      <c r="M28" s="28" t="n">
        <f aca="false">MAX(0,MAX($L$2:L28))</f>
        <v>3.90443</v>
      </c>
      <c r="N28" s="28" t="n">
        <f aca="false">L28-M28</f>
        <v>-1.54686470588235</v>
      </c>
      <c r="O28" s="25" t="n">
        <f aca="false">IF(N28&gt;=-0.0000001,A28,O27)</f>
        <v>45831</v>
      </c>
      <c r="P28" s="29" t="n">
        <f aca="false">IF(AND(N28&gt;=-0.0000001,N27&lt;0),1,0)</f>
        <v>0</v>
      </c>
      <c r="Q28" s="30" t="str">
        <f aca="false">IF(P28=1,A28-O27,"")</f>
        <v/>
      </c>
    </row>
    <row r="29" customFormat="false" ht="15" hidden="false" customHeight="false" outlineLevel="0" collapsed="false">
      <c r="A29" s="25" t="n">
        <v>45847</v>
      </c>
      <c r="B29" s="26" t="s">
        <v>81</v>
      </c>
      <c r="C29" s="27" t="n">
        <v>-32752.53</v>
      </c>
      <c r="D29" s="28" t="n">
        <f aca="false">C29/$T$1*100</f>
        <v>-1.92661941176471</v>
      </c>
      <c r="E29" s="28" t="n">
        <f aca="false">E28+D29</f>
        <v>1.07940235294118</v>
      </c>
      <c r="F29" s="28" t="n">
        <f aca="false">MAX(0,MAX($E$2:E29))</f>
        <v>3.63184411764706</v>
      </c>
      <c r="G29" s="28" t="n">
        <f aca="false">E29-F29</f>
        <v>-2.55244176470588</v>
      </c>
      <c r="H29" s="25" t="n">
        <f aca="false">IF(G29&gt;=-0.0000001,A29,H28)</f>
        <v>45845</v>
      </c>
      <c r="I29" s="29" t="n">
        <f aca="false">IF(AND(G29&gt;=-0.0000001,G28&lt;0),1,0)</f>
        <v>0</v>
      </c>
      <c r="J29" s="30" t="str">
        <f aca="false">IF(I29=1,A29-H28,"")</f>
        <v/>
      </c>
      <c r="K29" s="27" t="n">
        <f aca="false">IF(B29="Wednesday",0,C29)</f>
        <v>0</v>
      </c>
      <c r="L29" s="28" t="n">
        <f aca="false">L28+K29/$T$1*100</f>
        <v>2.35756529411765</v>
      </c>
      <c r="M29" s="28" t="n">
        <f aca="false">MAX(0,MAX($L$2:L29))</f>
        <v>3.90443</v>
      </c>
      <c r="N29" s="28" t="n">
        <f aca="false">L29-M29</f>
        <v>-1.54686470588235</v>
      </c>
      <c r="O29" s="25" t="n">
        <f aca="false">IF(N29&gt;=-0.0000001,A29,O28)</f>
        <v>45831</v>
      </c>
      <c r="P29" s="29" t="n">
        <f aca="false">IF(AND(N29&gt;=-0.0000001,N28&lt;0),1,0)</f>
        <v>0</v>
      </c>
      <c r="Q29" s="30" t="str">
        <f aca="false">IF(P29=1,A29-O28,"")</f>
        <v/>
      </c>
    </row>
    <row r="30" customFormat="false" ht="15" hidden="false" customHeight="false" outlineLevel="0" collapsed="false">
      <c r="A30" s="25" t="n">
        <v>45848</v>
      </c>
      <c r="B30" s="26" t="s">
        <v>82</v>
      </c>
      <c r="C30" s="27" t="n">
        <v>15384.95</v>
      </c>
      <c r="D30" s="28" t="n">
        <f aca="false">C30/$T$1*100</f>
        <v>0.904997058823529</v>
      </c>
      <c r="E30" s="28" t="n">
        <f aca="false">E29+D30</f>
        <v>1.98439941176471</v>
      </c>
      <c r="F30" s="28" t="n">
        <f aca="false">MAX(0,MAX($E$2:E30))</f>
        <v>3.63184411764706</v>
      </c>
      <c r="G30" s="28" t="n">
        <f aca="false">E30-F30</f>
        <v>-1.64744470588235</v>
      </c>
      <c r="H30" s="25" t="n">
        <f aca="false">IF(G30&gt;=-0.0000001,A30,H29)</f>
        <v>45845</v>
      </c>
      <c r="I30" s="29" t="n">
        <f aca="false">IF(AND(G30&gt;=-0.0000001,G29&lt;0),1,0)</f>
        <v>0</v>
      </c>
      <c r="J30" s="30" t="str">
        <f aca="false">IF(I30=1,A30-H29,"")</f>
        <v/>
      </c>
      <c r="K30" s="27" t="n">
        <f aca="false">IF(B30="Wednesday",0,C30)</f>
        <v>15384.95</v>
      </c>
      <c r="L30" s="28" t="n">
        <f aca="false">L29+K30/$T$1*100</f>
        <v>3.26256235294118</v>
      </c>
      <c r="M30" s="28" t="n">
        <f aca="false">MAX(0,MAX($L$2:L30))</f>
        <v>3.90443</v>
      </c>
      <c r="N30" s="28" t="n">
        <f aca="false">L30-M30</f>
        <v>-0.641867647058824</v>
      </c>
      <c r="O30" s="25" t="n">
        <f aca="false">IF(N30&gt;=-0.0000001,A30,O29)</f>
        <v>45831</v>
      </c>
      <c r="P30" s="29" t="n">
        <f aca="false">IF(AND(N30&gt;=-0.0000001,N29&lt;0),1,0)</f>
        <v>0</v>
      </c>
      <c r="Q30" s="30" t="str">
        <f aca="false">IF(P30=1,A30-O29,"")</f>
        <v/>
      </c>
    </row>
    <row r="31" customFormat="false" ht="15" hidden="false" customHeight="false" outlineLevel="0" collapsed="false">
      <c r="A31" s="25" t="n">
        <v>45849</v>
      </c>
      <c r="B31" s="26" t="s">
        <v>83</v>
      </c>
      <c r="C31" s="27" t="n">
        <v>-3635.25</v>
      </c>
      <c r="D31" s="28" t="n">
        <f aca="false">C31/$T$1*100</f>
        <v>-0.213838235294118</v>
      </c>
      <c r="E31" s="28" t="n">
        <f aca="false">E30+D31</f>
        <v>1.77056117647059</v>
      </c>
      <c r="F31" s="28" t="n">
        <f aca="false">MAX(0,MAX($E$2:E31))</f>
        <v>3.63184411764706</v>
      </c>
      <c r="G31" s="28" t="n">
        <f aca="false">E31-F31</f>
        <v>-1.86128294117647</v>
      </c>
      <c r="H31" s="25" t="n">
        <f aca="false">IF(G31&gt;=-0.0000001,A31,H30)</f>
        <v>45845</v>
      </c>
      <c r="I31" s="29" t="n">
        <f aca="false">IF(AND(G31&gt;=-0.0000001,G30&lt;0),1,0)</f>
        <v>0</v>
      </c>
      <c r="J31" s="30" t="str">
        <f aca="false">IF(I31=1,A31-H30,"")</f>
        <v/>
      </c>
      <c r="K31" s="27" t="n">
        <f aca="false">IF(B31="Wednesday",0,C31)</f>
        <v>-3635.25</v>
      </c>
      <c r="L31" s="28" t="n">
        <f aca="false">L30+K31/$T$1*100</f>
        <v>3.04872411764706</v>
      </c>
      <c r="M31" s="28" t="n">
        <f aca="false">MAX(0,MAX($L$2:L31))</f>
        <v>3.90443</v>
      </c>
      <c r="N31" s="28" t="n">
        <f aca="false">L31-M31</f>
        <v>-0.855705882352941</v>
      </c>
      <c r="O31" s="25" t="n">
        <f aca="false">IF(N31&gt;=-0.0000001,A31,O30)</f>
        <v>45831</v>
      </c>
      <c r="P31" s="29" t="n">
        <f aca="false">IF(AND(N31&gt;=-0.0000001,N30&lt;0),1,0)</f>
        <v>0</v>
      </c>
      <c r="Q31" s="30" t="str">
        <f aca="false">IF(P31=1,A31-O30,"")</f>
        <v/>
      </c>
    </row>
    <row r="32" customFormat="false" ht="15" hidden="false" customHeight="false" outlineLevel="0" collapsed="false">
      <c r="A32" s="25" t="n">
        <v>45852</v>
      </c>
      <c r="B32" s="26" t="s">
        <v>79</v>
      </c>
      <c r="C32" s="27" t="n">
        <v>23622.08</v>
      </c>
      <c r="D32" s="28" t="n">
        <f aca="false">C32/$T$1*100</f>
        <v>1.38953411764706</v>
      </c>
      <c r="E32" s="28" t="n">
        <f aca="false">E31+D32</f>
        <v>3.16009529411765</v>
      </c>
      <c r="F32" s="28" t="n">
        <f aca="false">MAX(0,MAX($E$2:E32))</f>
        <v>3.63184411764706</v>
      </c>
      <c r="G32" s="28" t="n">
        <f aca="false">E32-F32</f>
        <v>-0.471748823529412</v>
      </c>
      <c r="H32" s="25" t="n">
        <f aca="false">IF(G32&gt;=-0.0000001,A32,H31)</f>
        <v>45845</v>
      </c>
      <c r="I32" s="29" t="n">
        <f aca="false">IF(AND(G32&gt;=-0.0000001,G31&lt;0),1,0)</f>
        <v>0</v>
      </c>
      <c r="J32" s="30" t="str">
        <f aca="false">IF(I32=1,A32-H31,"")</f>
        <v/>
      </c>
      <c r="K32" s="27" t="n">
        <f aca="false">IF(B32="Wednesday",0,C32)</f>
        <v>23622.08</v>
      </c>
      <c r="L32" s="28" t="n">
        <f aca="false">L31+K32/$T$1*100</f>
        <v>4.43825823529412</v>
      </c>
      <c r="M32" s="28" t="n">
        <f aca="false">MAX(0,MAX($L$2:L32))</f>
        <v>4.43825823529412</v>
      </c>
      <c r="N32" s="28" t="n">
        <f aca="false">L32-M32</f>
        <v>0</v>
      </c>
      <c r="O32" s="25" t="n">
        <f aca="false">IF(N32&gt;=-0.0000001,A32,O31)</f>
        <v>45852</v>
      </c>
      <c r="P32" s="29" t="n">
        <f aca="false">IF(AND(N32&gt;=-0.0000001,N31&lt;0),1,0)</f>
        <v>1</v>
      </c>
      <c r="Q32" s="30" t="n">
        <f aca="false">IF(P32=1,A32-O31,"")</f>
        <v>21</v>
      </c>
    </row>
    <row r="33" customFormat="false" ht="15" hidden="false" customHeight="false" outlineLevel="0" collapsed="false">
      <c r="A33" s="25" t="n">
        <v>45853</v>
      </c>
      <c r="B33" s="26" t="s">
        <v>80</v>
      </c>
      <c r="C33" s="27" t="n">
        <v>-30408.45</v>
      </c>
      <c r="D33" s="28" t="n">
        <f aca="false">C33/$T$1*100</f>
        <v>-1.78873235294118</v>
      </c>
      <c r="E33" s="28" t="n">
        <f aca="false">E32+D33</f>
        <v>1.37136294117647</v>
      </c>
      <c r="F33" s="28" t="n">
        <f aca="false">MAX(0,MAX($E$2:E33))</f>
        <v>3.63184411764706</v>
      </c>
      <c r="G33" s="28" t="n">
        <f aca="false">E33-F33</f>
        <v>-2.26048117647059</v>
      </c>
      <c r="H33" s="25" t="n">
        <f aca="false">IF(G33&gt;=-0.0000001,A33,H32)</f>
        <v>45845</v>
      </c>
      <c r="I33" s="29" t="n">
        <f aca="false">IF(AND(G33&gt;=-0.0000001,G32&lt;0),1,0)</f>
        <v>0</v>
      </c>
      <c r="J33" s="30" t="str">
        <f aca="false">IF(I33=1,A33-H32,"")</f>
        <v/>
      </c>
      <c r="K33" s="27" t="n">
        <f aca="false">IF(B33="Wednesday",0,C33)</f>
        <v>-30408.45</v>
      </c>
      <c r="L33" s="28" t="n">
        <f aca="false">L32+K33/$T$1*100</f>
        <v>2.64952588235294</v>
      </c>
      <c r="M33" s="28" t="n">
        <f aca="false">MAX(0,MAX($L$2:L33))</f>
        <v>4.43825823529412</v>
      </c>
      <c r="N33" s="28" t="n">
        <f aca="false">L33-M33</f>
        <v>-1.78873235294118</v>
      </c>
      <c r="O33" s="25" t="n">
        <f aca="false">IF(N33&gt;=-0.0000001,A33,O32)</f>
        <v>45852</v>
      </c>
      <c r="P33" s="29" t="n">
        <f aca="false">IF(AND(N33&gt;=-0.0000001,N32&lt;0),1,0)</f>
        <v>0</v>
      </c>
      <c r="Q33" s="30" t="str">
        <f aca="false">IF(P33=1,A33-O32,"")</f>
        <v/>
      </c>
    </row>
    <row r="34" customFormat="false" ht="15" hidden="false" customHeight="false" outlineLevel="0" collapsed="false">
      <c r="A34" s="25" t="n">
        <v>45854</v>
      </c>
      <c r="B34" s="26" t="s">
        <v>81</v>
      </c>
      <c r="C34" s="27" t="n">
        <v>26133.36</v>
      </c>
      <c r="D34" s="28" t="n">
        <f aca="false">C34/$T$1*100</f>
        <v>1.53725647058824</v>
      </c>
      <c r="E34" s="28" t="n">
        <f aca="false">E33+D34</f>
        <v>2.90861941176471</v>
      </c>
      <c r="F34" s="28" t="n">
        <f aca="false">MAX(0,MAX($E$2:E34))</f>
        <v>3.63184411764706</v>
      </c>
      <c r="G34" s="28" t="n">
        <f aca="false">E34-F34</f>
        <v>-0.723224705882354</v>
      </c>
      <c r="H34" s="25" t="n">
        <f aca="false">IF(G34&gt;=-0.0000001,A34,H33)</f>
        <v>45845</v>
      </c>
      <c r="I34" s="29" t="n">
        <f aca="false">IF(AND(G34&gt;=-0.0000001,G33&lt;0),1,0)</f>
        <v>0</v>
      </c>
      <c r="J34" s="30" t="str">
        <f aca="false">IF(I34=1,A34-H33,"")</f>
        <v/>
      </c>
      <c r="K34" s="27" t="n">
        <f aca="false">IF(B34="Wednesday",0,C34)</f>
        <v>0</v>
      </c>
      <c r="L34" s="28" t="n">
        <f aca="false">L33+K34/$T$1*100</f>
        <v>2.64952588235294</v>
      </c>
      <c r="M34" s="28" t="n">
        <f aca="false">MAX(0,MAX($L$2:L34))</f>
        <v>4.43825823529412</v>
      </c>
      <c r="N34" s="28" t="n">
        <f aca="false">L34-M34</f>
        <v>-1.78873235294118</v>
      </c>
      <c r="O34" s="25" t="n">
        <f aca="false">IF(N34&gt;=-0.0000001,A34,O33)</f>
        <v>45852</v>
      </c>
      <c r="P34" s="29" t="n">
        <f aca="false">IF(AND(N34&gt;=-0.0000001,N33&lt;0),1,0)</f>
        <v>0</v>
      </c>
      <c r="Q34" s="30" t="str">
        <f aca="false">IF(P34=1,A34-O33,"")</f>
        <v/>
      </c>
    </row>
    <row r="35" customFormat="false" ht="15" hidden="false" customHeight="false" outlineLevel="0" collapsed="false">
      <c r="A35" s="25" t="n">
        <v>45855</v>
      </c>
      <c r="B35" s="26" t="s">
        <v>82</v>
      </c>
      <c r="C35" s="27" t="n">
        <v>-14708.18</v>
      </c>
      <c r="D35" s="28" t="n">
        <f aca="false">C35/$T$1*100</f>
        <v>-0.865187058823529</v>
      </c>
      <c r="E35" s="28" t="n">
        <f aca="false">E34+D35</f>
        <v>2.04343235294118</v>
      </c>
      <c r="F35" s="28" t="n">
        <f aca="false">MAX(0,MAX($E$2:E35))</f>
        <v>3.63184411764706</v>
      </c>
      <c r="G35" s="28" t="n">
        <f aca="false">E35-F35</f>
        <v>-1.58841176470588</v>
      </c>
      <c r="H35" s="25" t="n">
        <f aca="false">IF(G35&gt;=-0.0000001,A35,H34)</f>
        <v>45845</v>
      </c>
      <c r="I35" s="29" t="n">
        <f aca="false">IF(AND(G35&gt;=-0.0000001,G34&lt;0),1,0)</f>
        <v>0</v>
      </c>
      <c r="J35" s="30" t="str">
        <f aca="false">IF(I35=1,A35-H34,"")</f>
        <v/>
      </c>
      <c r="K35" s="27" t="n">
        <f aca="false">IF(B35="Wednesday",0,C35)</f>
        <v>-14708.18</v>
      </c>
      <c r="L35" s="28" t="n">
        <f aca="false">L34+K35/$T$1*100</f>
        <v>1.78433882352941</v>
      </c>
      <c r="M35" s="28" t="n">
        <f aca="false">MAX(0,MAX($L$2:L35))</f>
        <v>4.43825823529412</v>
      </c>
      <c r="N35" s="28" t="n">
        <f aca="false">L35-M35</f>
        <v>-2.65391941176471</v>
      </c>
      <c r="O35" s="25" t="n">
        <f aca="false">IF(N35&gt;=-0.0000001,A35,O34)</f>
        <v>45852</v>
      </c>
      <c r="P35" s="29" t="n">
        <f aca="false">IF(AND(N35&gt;=-0.0000001,N34&lt;0),1,0)</f>
        <v>0</v>
      </c>
      <c r="Q35" s="30" t="str">
        <f aca="false">IF(P35=1,A35-O34,"")</f>
        <v/>
      </c>
    </row>
    <row r="36" customFormat="false" ht="15" hidden="false" customHeight="false" outlineLevel="0" collapsed="false">
      <c r="A36" s="25" t="n">
        <v>45859</v>
      </c>
      <c r="B36" s="26" t="s">
        <v>79</v>
      </c>
      <c r="C36" s="27" t="n">
        <v>14754.48</v>
      </c>
      <c r="D36" s="28" t="n">
        <f aca="false">C36/$T$1*100</f>
        <v>0.867910588235294</v>
      </c>
      <c r="E36" s="28" t="n">
        <f aca="false">E35+D36</f>
        <v>2.91134294117647</v>
      </c>
      <c r="F36" s="28" t="n">
        <f aca="false">MAX(0,MAX($E$2:E36))</f>
        <v>3.63184411764706</v>
      </c>
      <c r="G36" s="28" t="n">
        <f aca="false">E36-F36</f>
        <v>-0.720501176470589</v>
      </c>
      <c r="H36" s="25" t="n">
        <f aca="false">IF(G36&gt;=-0.0000001,A36,H35)</f>
        <v>45845</v>
      </c>
      <c r="I36" s="29" t="n">
        <f aca="false">IF(AND(G36&gt;=-0.0000001,G35&lt;0),1,0)</f>
        <v>0</v>
      </c>
      <c r="J36" s="30" t="str">
        <f aca="false">IF(I36=1,A36-H35,"")</f>
        <v/>
      </c>
      <c r="K36" s="27" t="n">
        <f aca="false">IF(B36="Wednesday",0,C36)</f>
        <v>14754.48</v>
      </c>
      <c r="L36" s="28" t="n">
        <f aca="false">L35+K36/$T$1*100</f>
        <v>2.65224941176471</v>
      </c>
      <c r="M36" s="28" t="n">
        <f aca="false">MAX(0,MAX($L$2:L36))</f>
        <v>4.43825823529412</v>
      </c>
      <c r="N36" s="28" t="n">
        <f aca="false">L36-M36</f>
        <v>-1.78600882352941</v>
      </c>
      <c r="O36" s="25" t="n">
        <f aca="false">IF(N36&gt;=-0.0000001,A36,O35)</f>
        <v>45852</v>
      </c>
      <c r="P36" s="29" t="n">
        <f aca="false">IF(AND(N36&gt;=-0.0000001,N35&lt;0),1,0)</f>
        <v>0</v>
      </c>
      <c r="Q36" s="30" t="str">
        <f aca="false">IF(P36=1,A36-O35,"")</f>
        <v/>
      </c>
    </row>
    <row r="37" customFormat="false" ht="15" hidden="false" customHeight="false" outlineLevel="0" collapsed="false">
      <c r="A37" s="25" t="n">
        <v>45860</v>
      </c>
      <c r="B37" s="26" t="s">
        <v>80</v>
      </c>
      <c r="C37" s="27" t="n">
        <v>-14085</v>
      </c>
      <c r="D37" s="28" t="n">
        <f aca="false">C37/$T$1*100</f>
        <v>-0.828529411764706</v>
      </c>
      <c r="E37" s="28" t="n">
        <f aca="false">E36+D37</f>
        <v>2.08281352941176</v>
      </c>
      <c r="F37" s="28" t="n">
        <f aca="false">MAX(0,MAX($E$2:E37))</f>
        <v>3.63184411764706</v>
      </c>
      <c r="G37" s="28" t="n">
        <f aca="false">E37-F37</f>
        <v>-1.54903058823529</v>
      </c>
      <c r="H37" s="25" t="n">
        <f aca="false">IF(G37&gt;=-0.0000001,A37,H36)</f>
        <v>45845</v>
      </c>
      <c r="I37" s="29" t="n">
        <f aca="false">IF(AND(G37&gt;=-0.0000001,G36&lt;0),1,0)</f>
        <v>0</v>
      </c>
      <c r="J37" s="30" t="str">
        <f aca="false">IF(I37=1,A37-H36,"")</f>
        <v/>
      </c>
      <c r="K37" s="27" t="n">
        <f aca="false">IF(B37="Wednesday",0,C37)</f>
        <v>-14085</v>
      </c>
      <c r="L37" s="28" t="n">
        <f aca="false">L36+K37/$T$1*100</f>
        <v>1.82372</v>
      </c>
      <c r="M37" s="28" t="n">
        <f aca="false">MAX(0,MAX($L$2:L37))</f>
        <v>4.43825823529412</v>
      </c>
      <c r="N37" s="28" t="n">
        <f aca="false">L37-M37</f>
        <v>-2.61453823529412</v>
      </c>
      <c r="O37" s="25" t="n">
        <f aca="false">IF(N37&gt;=-0.0000001,A37,O36)</f>
        <v>45852</v>
      </c>
      <c r="P37" s="29" t="n">
        <f aca="false">IF(AND(N37&gt;=-0.0000001,N36&lt;0),1,0)</f>
        <v>0</v>
      </c>
      <c r="Q37" s="30" t="str">
        <f aca="false">IF(P37=1,A37-O36,"")</f>
        <v/>
      </c>
    </row>
    <row r="38" customFormat="false" ht="15" hidden="false" customHeight="false" outlineLevel="0" collapsed="false">
      <c r="A38" s="25" t="n">
        <v>45861</v>
      </c>
      <c r="B38" s="26" t="s">
        <v>81</v>
      </c>
      <c r="C38" s="27" t="n">
        <v>-26684.52</v>
      </c>
      <c r="D38" s="28" t="n">
        <f aca="false">C38/$T$1*100</f>
        <v>-1.56967764705882</v>
      </c>
      <c r="E38" s="28" t="n">
        <f aca="false">E37+D38</f>
        <v>0.513135882352941</v>
      </c>
      <c r="F38" s="28" t="n">
        <f aca="false">MAX(0,MAX($E$2:E38))</f>
        <v>3.63184411764706</v>
      </c>
      <c r="G38" s="28" t="n">
        <f aca="false">E38-F38</f>
        <v>-3.11870823529412</v>
      </c>
      <c r="H38" s="25" t="n">
        <f aca="false">IF(G38&gt;=-0.0000001,A38,H37)</f>
        <v>45845</v>
      </c>
      <c r="I38" s="29" t="n">
        <f aca="false">IF(AND(G38&gt;=-0.0000001,G37&lt;0),1,0)</f>
        <v>0</v>
      </c>
      <c r="J38" s="30" t="str">
        <f aca="false">IF(I38=1,A38-H37,"")</f>
        <v/>
      </c>
      <c r="K38" s="27" t="n">
        <f aca="false">IF(B38="Wednesday",0,C38)</f>
        <v>0</v>
      </c>
      <c r="L38" s="28" t="n">
        <f aca="false">L37+K38/$T$1*100</f>
        <v>1.82372</v>
      </c>
      <c r="M38" s="28" t="n">
        <f aca="false">MAX(0,MAX($L$2:L38))</f>
        <v>4.43825823529412</v>
      </c>
      <c r="N38" s="28" t="n">
        <f aca="false">L38-M38</f>
        <v>-2.61453823529412</v>
      </c>
      <c r="O38" s="25" t="n">
        <f aca="false">IF(N38&gt;=-0.0000001,A38,O37)</f>
        <v>45852</v>
      </c>
      <c r="P38" s="29" t="n">
        <f aca="false">IF(AND(N38&gt;=-0.0000001,N37&lt;0),1,0)</f>
        <v>0</v>
      </c>
      <c r="Q38" s="30" t="str">
        <f aca="false">IF(P38=1,A38-O37,"")</f>
        <v/>
      </c>
    </row>
    <row r="39" customFormat="false" ht="15" hidden="false" customHeight="false" outlineLevel="0" collapsed="false">
      <c r="A39" s="25" t="n">
        <v>45862</v>
      </c>
      <c r="B39" s="26" t="s">
        <v>82</v>
      </c>
      <c r="C39" s="27" t="n">
        <v>16547.84</v>
      </c>
      <c r="D39" s="28" t="n">
        <f aca="false">C39/$T$1*100</f>
        <v>0.973402352941176</v>
      </c>
      <c r="E39" s="28" t="n">
        <f aca="false">E38+D39</f>
        <v>1.48653823529412</v>
      </c>
      <c r="F39" s="28" t="n">
        <f aca="false">MAX(0,MAX($E$2:E39))</f>
        <v>3.63184411764706</v>
      </c>
      <c r="G39" s="28" t="n">
        <f aca="false">E39-F39</f>
        <v>-2.14530588235294</v>
      </c>
      <c r="H39" s="25" t="n">
        <f aca="false">IF(G39&gt;=-0.0000001,A39,H38)</f>
        <v>45845</v>
      </c>
      <c r="I39" s="29" t="n">
        <f aca="false">IF(AND(G39&gt;=-0.0000001,G38&lt;0),1,0)</f>
        <v>0</v>
      </c>
      <c r="J39" s="30" t="str">
        <f aca="false">IF(I39=1,A39-H38,"")</f>
        <v/>
      </c>
      <c r="K39" s="27" t="n">
        <f aca="false">IF(B39="Wednesday",0,C39)</f>
        <v>16547.84</v>
      </c>
      <c r="L39" s="28" t="n">
        <f aca="false">L38+K39/$T$1*100</f>
        <v>2.79712235294118</v>
      </c>
      <c r="M39" s="28" t="n">
        <f aca="false">MAX(0,MAX($L$2:L39))</f>
        <v>4.43825823529412</v>
      </c>
      <c r="N39" s="28" t="n">
        <f aca="false">L39-M39</f>
        <v>-1.64113588235294</v>
      </c>
      <c r="O39" s="25" t="n">
        <f aca="false">IF(N39&gt;=-0.0000001,A39,O38)</f>
        <v>45852</v>
      </c>
      <c r="P39" s="29" t="n">
        <f aca="false">IF(AND(N39&gt;=-0.0000001,N38&lt;0),1,0)</f>
        <v>0</v>
      </c>
      <c r="Q39" s="30" t="str">
        <f aca="false">IF(P39=1,A39-O38,"")</f>
        <v/>
      </c>
    </row>
    <row r="40" customFormat="false" ht="15" hidden="false" customHeight="false" outlineLevel="0" collapsed="false">
      <c r="A40" s="25" t="n">
        <v>45863</v>
      </c>
      <c r="B40" s="26" t="s">
        <v>83</v>
      </c>
      <c r="C40" s="27" t="n">
        <v>13084.5</v>
      </c>
      <c r="D40" s="28" t="n">
        <f aca="false">C40/$T$1*100</f>
        <v>0.769676470588235</v>
      </c>
      <c r="E40" s="28" t="n">
        <f aca="false">E39+D40</f>
        <v>2.25621470588235</v>
      </c>
      <c r="F40" s="28" t="n">
        <f aca="false">MAX(0,MAX($E$2:E40))</f>
        <v>3.63184411764706</v>
      </c>
      <c r="G40" s="28" t="n">
        <f aca="false">E40-F40</f>
        <v>-1.37562941176471</v>
      </c>
      <c r="H40" s="25" t="n">
        <f aca="false">IF(G40&gt;=-0.0000001,A40,H39)</f>
        <v>45845</v>
      </c>
      <c r="I40" s="29" t="n">
        <f aca="false">IF(AND(G40&gt;=-0.0000001,G39&lt;0),1,0)</f>
        <v>0</v>
      </c>
      <c r="J40" s="30" t="str">
        <f aca="false">IF(I40=1,A40-H39,"")</f>
        <v/>
      </c>
      <c r="K40" s="27" t="n">
        <f aca="false">IF(B40="Wednesday",0,C40)</f>
        <v>13084.5</v>
      </c>
      <c r="L40" s="28" t="n">
        <f aca="false">L39+K40/$T$1*100</f>
        <v>3.56679882352941</v>
      </c>
      <c r="M40" s="28" t="n">
        <f aca="false">MAX(0,MAX($L$2:L40))</f>
        <v>4.43825823529412</v>
      </c>
      <c r="N40" s="28" t="n">
        <f aca="false">L40-M40</f>
        <v>-0.871459411764706</v>
      </c>
      <c r="O40" s="25" t="n">
        <f aca="false">IF(N40&gt;=-0.0000001,A40,O39)</f>
        <v>45852</v>
      </c>
      <c r="P40" s="29" t="n">
        <f aca="false">IF(AND(N40&gt;=-0.0000001,N39&lt;0),1,0)</f>
        <v>0</v>
      </c>
      <c r="Q40" s="30" t="str">
        <f aca="false">IF(P40=1,A40-O39,"")</f>
        <v/>
      </c>
    </row>
    <row r="41" customFormat="false" ht="15" hidden="false" customHeight="false" outlineLevel="0" collapsed="false">
      <c r="A41" s="25" t="n">
        <v>45866</v>
      </c>
      <c r="B41" s="26" t="s">
        <v>79</v>
      </c>
      <c r="C41" s="27" t="n">
        <v>90059.52</v>
      </c>
      <c r="D41" s="28" t="n">
        <f aca="false">C41/$T$1*100</f>
        <v>5.29761882352941</v>
      </c>
      <c r="E41" s="28" t="n">
        <f aca="false">E40+D41</f>
        <v>7.55383352941176</v>
      </c>
      <c r="F41" s="28" t="n">
        <f aca="false">MAX(0,MAX($E$2:E41))</f>
        <v>7.55383352941176</v>
      </c>
      <c r="G41" s="28" t="n">
        <f aca="false">E41-F41</f>
        <v>0</v>
      </c>
      <c r="H41" s="25" t="n">
        <f aca="false">IF(G41&gt;=-0.0000001,A41,H40)</f>
        <v>45866</v>
      </c>
      <c r="I41" s="29" t="n">
        <f aca="false">IF(AND(G41&gt;=-0.0000001,G40&lt;0),1,0)</f>
        <v>1</v>
      </c>
      <c r="J41" s="30" t="n">
        <f aca="false">IF(I41=1,A41-H40,"")</f>
        <v>21</v>
      </c>
      <c r="K41" s="27" t="n">
        <f aca="false">IF(B41="Wednesday",0,C41)</f>
        <v>90059.52</v>
      </c>
      <c r="L41" s="28" t="n">
        <f aca="false">L40+K41/$T$1*100</f>
        <v>8.86441764705882</v>
      </c>
      <c r="M41" s="28" t="n">
        <f aca="false">MAX(0,MAX($L$2:L41))</f>
        <v>8.86441764705882</v>
      </c>
      <c r="N41" s="28" t="n">
        <f aca="false">L41-M41</f>
        <v>0</v>
      </c>
      <c r="O41" s="25" t="n">
        <f aca="false">IF(N41&gt;=-0.0000001,A41,O40)</f>
        <v>45866</v>
      </c>
      <c r="P41" s="29" t="n">
        <f aca="false">IF(AND(N41&gt;=-0.0000001,N40&lt;0),1,0)</f>
        <v>1</v>
      </c>
      <c r="Q41" s="30" t="n">
        <f aca="false">IF(P41=1,A41-O40,"")</f>
        <v>14</v>
      </c>
    </row>
    <row r="42" customFormat="false" ht="15" hidden="false" customHeight="false" outlineLevel="0" collapsed="false">
      <c r="A42" s="25" t="n">
        <v>45867</v>
      </c>
      <c r="B42" s="26" t="s">
        <v>80</v>
      </c>
      <c r="C42" s="27" t="n">
        <v>-25251</v>
      </c>
      <c r="D42" s="28" t="n">
        <f aca="false">C42/$T$1*100</f>
        <v>-1.48535294117647</v>
      </c>
      <c r="E42" s="28" t="n">
        <f aca="false">E41+D42</f>
        <v>6.06848058823529</v>
      </c>
      <c r="F42" s="28" t="n">
        <f aca="false">MAX(0,MAX($E$2:E42))</f>
        <v>7.55383352941176</v>
      </c>
      <c r="G42" s="28" t="n">
        <f aca="false">E42-F42</f>
        <v>-1.48535294117647</v>
      </c>
      <c r="H42" s="25" t="n">
        <f aca="false">IF(G42&gt;=-0.0000001,A42,H41)</f>
        <v>45866</v>
      </c>
      <c r="I42" s="29" t="n">
        <f aca="false">IF(AND(G42&gt;=-0.0000001,G41&lt;0),1,0)</f>
        <v>0</v>
      </c>
      <c r="J42" s="30" t="str">
        <f aca="false">IF(I42=1,A42-H41,"")</f>
        <v/>
      </c>
      <c r="K42" s="27" t="n">
        <f aca="false">IF(B42="Wednesday",0,C42)</f>
        <v>-25251</v>
      </c>
      <c r="L42" s="28" t="n">
        <f aca="false">L41+K42/$T$1*100</f>
        <v>7.37906470588235</v>
      </c>
      <c r="M42" s="28" t="n">
        <f aca="false">MAX(0,MAX($L$2:L42))</f>
        <v>8.86441764705882</v>
      </c>
      <c r="N42" s="28" t="n">
        <f aca="false">L42-M42</f>
        <v>-1.48535294117647</v>
      </c>
      <c r="O42" s="25" t="n">
        <f aca="false">IF(N42&gt;=-0.0000001,A42,O41)</f>
        <v>45866</v>
      </c>
      <c r="P42" s="29" t="n">
        <f aca="false">IF(AND(N42&gt;=-0.0000001,N41&lt;0),1,0)</f>
        <v>0</v>
      </c>
      <c r="Q42" s="30" t="str">
        <f aca="false">IF(P42=1,A42-O41,"")</f>
        <v/>
      </c>
    </row>
    <row r="43" customFormat="false" ht="15" hidden="false" customHeight="false" outlineLevel="0" collapsed="false">
      <c r="A43" s="25" t="n">
        <v>45868</v>
      </c>
      <c r="B43" s="26" t="s">
        <v>81</v>
      </c>
      <c r="C43" s="27" t="n">
        <v>12179.27</v>
      </c>
      <c r="D43" s="28" t="n">
        <f aca="false">C43/$T$1*100</f>
        <v>0.716427647058824</v>
      </c>
      <c r="E43" s="28" t="n">
        <f aca="false">E42+D43</f>
        <v>6.78490823529412</v>
      </c>
      <c r="F43" s="28" t="n">
        <f aca="false">MAX(0,MAX($E$2:E43))</f>
        <v>7.55383352941176</v>
      </c>
      <c r="G43" s="28" t="n">
        <f aca="false">E43-F43</f>
        <v>-0.768925294117647</v>
      </c>
      <c r="H43" s="25" t="n">
        <f aca="false">IF(G43&gt;=-0.0000001,A43,H42)</f>
        <v>45866</v>
      </c>
      <c r="I43" s="29" t="n">
        <f aca="false">IF(AND(G43&gt;=-0.0000001,G42&lt;0),1,0)</f>
        <v>0</v>
      </c>
      <c r="J43" s="30" t="str">
        <f aca="false">IF(I43=1,A43-H42,"")</f>
        <v/>
      </c>
      <c r="K43" s="27" t="n">
        <f aca="false">IF(B43="Wednesday",0,C43)</f>
        <v>0</v>
      </c>
      <c r="L43" s="28" t="n">
        <f aca="false">L42+K43/$T$1*100</f>
        <v>7.37906470588235</v>
      </c>
      <c r="M43" s="28" t="n">
        <f aca="false">MAX(0,MAX($L$2:L43))</f>
        <v>8.86441764705882</v>
      </c>
      <c r="N43" s="28" t="n">
        <f aca="false">L43-M43</f>
        <v>-1.48535294117647</v>
      </c>
      <c r="O43" s="25" t="n">
        <f aca="false">IF(N43&gt;=-0.0000001,A43,O42)</f>
        <v>45866</v>
      </c>
      <c r="P43" s="29" t="n">
        <f aca="false">IF(AND(N43&gt;=-0.0000001,N42&lt;0),1,0)</f>
        <v>0</v>
      </c>
      <c r="Q43" s="30" t="str">
        <f aca="false">IF(P43=1,A43-O42,"")</f>
        <v/>
      </c>
    </row>
    <row r="44" customFormat="false" ht="15" hidden="false" customHeight="false" outlineLevel="0" collapsed="false">
      <c r="A44" s="25" t="n">
        <v>45869</v>
      </c>
      <c r="B44" s="26" t="s">
        <v>82</v>
      </c>
      <c r="C44" s="27" t="n">
        <v>-55812.95</v>
      </c>
      <c r="D44" s="28" t="n">
        <f aca="false">C44/$T$1*100</f>
        <v>-3.28311470588235</v>
      </c>
      <c r="E44" s="28" t="n">
        <f aca="false">E43+D44</f>
        <v>3.50179352941176</v>
      </c>
      <c r="F44" s="28" t="n">
        <f aca="false">MAX(0,MAX($E$2:E44))</f>
        <v>7.55383352941176</v>
      </c>
      <c r="G44" s="28" t="n">
        <f aca="false">E44-F44</f>
        <v>-4.05204</v>
      </c>
      <c r="H44" s="25" t="n">
        <f aca="false">IF(G44&gt;=-0.0000001,A44,H43)</f>
        <v>45866</v>
      </c>
      <c r="I44" s="29" t="n">
        <f aca="false">IF(AND(G44&gt;=-0.0000001,G43&lt;0),1,0)</f>
        <v>0</v>
      </c>
      <c r="J44" s="30" t="str">
        <f aca="false">IF(I44=1,A44-H43,"")</f>
        <v/>
      </c>
      <c r="K44" s="27" t="n">
        <f aca="false">IF(B44="Wednesday",0,C44)</f>
        <v>-55812.95</v>
      </c>
      <c r="L44" s="28" t="n">
        <f aca="false">L43+K44/$T$1*100</f>
        <v>4.09595</v>
      </c>
      <c r="M44" s="28" t="n">
        <f aca="false">MAX(0,MAX($L$2:L44))</f>
        <v>8.86441764705882</v>
      </c>
      <c r="N44" s="28" t="n">
        <f aca="false">L44-M44</f>
        <v>-4.76846764705882</v>
      </c>
      <c r="O44" s="25" t="n">
        <f aca="false">IF(N44&gt;=-0.0000001,A44,O43)</f>
        <v>45866</v>
      </c>
      <c r="P44" s="29" t="n">
        <f aca="false">IF(AND(N44&gt;=-0.0000001,N43&lt;0),1,0)</f>
        <v>0</v>
      </c>
      <c r="Q44" s="30" t="str">
        <f aca="false">IF(P44=1,A44-O43,"")</f>
        <v/>
      </c>
    </row>
    <row r="45" customFormat="false" ht="15" hidden="false" customHeight="false" outlineLevel="0" collapsed="false">
      <c r="A45" s="25" t="n">
        <v>45870</v>
      </c>
      <c r="B45" s="26" t="s">
        <v>83</v>
      </c>
      <c r="C45" s="27" t="n">
        <v>-17198.65</v>
      </c>
      <c r="D45" s="28" t="n">
        <f aca="false">C45/$T$1*100</f>
        <v>-1.01168529411765</v>
      </c>
      <c r="E45" s="28" t="n">
        <f aca="false">E44+D45</f>
        <v>2.49010823529412</v>
      </c>
      <c r="F45" s="28" t="n">
        <f aca="false">MAX(0,MAX($E$2:E45))</f>
        <v>7.55383352941176</v>
      </c>
      <c r="G45" s="28" t="n">
        <f aca="false">E45-F45</f>
        <v>-5.06372529411765</v>
      </c>
      <c r="H45" s="25" t="n">
        <f aca="false">IF(G45&gt;=-0.0000001,A45,H44)</f>
        <v>45866</v>
      </c>
      <c r="I45" s="29" t="n">
        <f aca="false">IF(AND(G45&gt;=-0.0000001,G44&lt;0),1,0)</f>
        <v>0</v>
      </c>
      <c r="J45" s="30" t="str">
        <f aca="false">IF(I45=1,A45-H44,"")</f>
        <v/>
      </c>
      <c r="K45" s="27" t="n">
        <f aca="false">IF(B45="Wednesday",0,C45)</f>
        <v>-17198.65</v>
      </c>
      <c r="L45" s="28" t="n">
        <f aca="false">L44+K45/$T$1*100</f>
        <v>3.08426470588235</v>
      </c>
      <c r="M45" s="28" t="n">
        <f aca="false">MAX(0,MAX($L$2:L45))</f>
        <v>8.86441764705882</v>
      </c>
      <c r="N45" s="28" t="n">
        <f aca="false">L45-M45</f>
        <v>-5.78015294117647</v>
      </c>
      <c r="O45" s="25" t="n">
        <f aca="false">IF(N45&gt;=-0.0000001,A45,O44)</f>
        <v>45866</v>
      </c>
      <c r="P45" s="29" t="n">
        <f aca="false">IF(AND(N45&gt;=-0.0000001,N44&lt;0),1,0)</f>
        <v>0</v>
      </c>
      <c r="Q45" s="30" t="str">
        <f aca="false">IF(P45=1,A45-O44,"")</f>
        <v/>
      </c>
    </row>
    <row r="46" customFormat="false" ht="15" hidden="false" customHeight="false" outlineLevel="0" collapsed="false">
      <c r="A46" s="25" t="n">
        <v>45873</v>
      </c>
      <c r="B46" s="26" t="s">
        <v>79</v>
      </c>
      <c r="C46" s="27" t="n">
        <v>34076.8</v>
      </c>
      <c r="D46" s="28" t="n">
        <f aca="false">C46/$T$1*100</f>
        <v>2.00451764705882</v>
      </c>
      <c r="E46" s="28" t="n">
        <f aca="false">E45+D46</f>
        <v>4.49462588235294</v>
      </c>
      <c r="F46" s="28" t="n">
        <f aca="false">MAX(0,MAX($E$2:E46))</f>
        <v>7.55383352941176</v>
      </c>
      <c r="G46" s="28" t="n">
        <f aca="false">E46-F46</f>
        <v>-3.05920764705882</v>
      </c>
      <c r="H46" s="25" t="n">
        <f aca="false">IF(G46&gt;=-0.0000001,A46,H45)</f>
        <v>45866</v>
      </c>
      <c r="I46" s="29" t="n">
        <f aca="false">IF(AND(G46&gt;=-0.0000001,G45&lt;0),1,0)</f>
        <v>0</v>
      </c>
      <c r="J46" s="30" t="str">
        <f aca="false">IF(I46=1,A46-H45,"")</f>
        <v/>
      </c>
      <c r="K46" s="27" t="n">
        <f aca="false">IF(B46="Wednesday",0,C46)</f>
        <v>34076.8</v>
      </c>
      <c r="L46" s="28" t="n">
        <f aca="false">L45+K46/$T$1*100</f>
        <v>5.08878235294118</v>
      </c>
      <c r="M46" s="28" t="n">
        <f aca="false">MAX(0,MAX($L$2:L46))</f>
        <v>8.86441764705882</v>
      </c>
      <c r="N46" s="28" t="n">
        <f aca="false">L46-M46</f>
        <v>-3.77563529411765</v>
      </c>
      <c r="O46" s="25" t="n">
        <f aca="false">IF(N46&gt;=-0.0000001,A46,O45)</f>
        <v>45866</v>
      </c>
      <c r="P46" s="29" t="n">
        <f aca="false">IF(AND(N46&gt;=-0.0000001,N45&lt;0),1,0)</f>
        <v>0</v>
      </c>
      <c r="Q46" s="30" t="str">
        <f aca="false">IF(P46=1,A46-O45,"")</f>
        <v/>
      </c>
    </row>
    <row r="47" customFormat="false" ht="15" hidden="false" customHeight="false" outlineLevel="0" collapsed="false">
      <c r="A47" s="25" t="n">
        <v>45874</v>
      </c>
      <c r="B47" s="26" t="s">
        <v>80</v>
      </c>
      <c r="C47" s="27" t="n">
        <v>-2025</v>
      </c>
      <c r="D47" s="28" t="n">
        <f aca="false">C47/$T$1*100</f>
        <v>-0.119117647058824</v>
      </c>
      <c r="E47" s="28" t="n">
        <f aca="false">E46+D47</f>
        <v>4.37550823529412</v>
      </c>
      <c r="F47" s="28" t="n">
        <f aca="false">MAX(0,MAX($E$2:E47))</f>
        <v>7.55383352941176</v>
      </c>
      <c r="G47" s="28" t="n">
        <f aca="false">E47-F47</f>
        <v>-3.17832529411765</v>
      </c>
      <c r="H47" s="25" t="n">
        <f aca="false">IF(G47&gt;=-0.0000001,A47,H46)</f>
        <v>45866</v>
      </c>
      <c r="I47" s="29" t="n">
        <f aca="false">IF(AND(G47&gt;=-0.0000001,G46&lt;0),1,0)</f>
        <v>0</v>
      </c>
      <c r="J47" s="30" t="str">
        <f aca="false">IF(I47=1,A47-H46,"")</f>
        <v/>
      </c>
      <c r="K47" s="27" t="n">
        <f aca="false">IF(B47="Wednesday",0,C47)</f>
        <v>-2025</v>
      </c>
      <c r="L47" s="28" t="n">
        <f aca="false">L46+K47/$T$1*100</f>
        <v>4.96966470588235</v>
      </c>
      <c r="M47" s="28" t="n">
        <f aca="false">MAX(0,MAX($L$2:L47))</f>
        <v>8.86441764705882</v>
      </c>
      <c r="N47" s="28" t="n">
        <f aca="false">L47-M47</f>
        <v>-3.89475294117647</v>
      </c>
      <c r="O47" s="25" t="n">
        <f aca="false">IF(N47&gt;=-0.0000001,A47,O46)</f>
        <v>45866</v>
      </c>
      <c r="P47" s="29" t="n">
        <f aca="false">IF(AND(N47&gt;=-0.0000001,N46&lt;0),1,0)</f>
        <v>0</v>
      </c>
      <c r="Q47" s="30" t="str">
        <f aca="false">IF(P47=1,A47-O46,"")</f>
        <v/>
      </c>
    </row>
    <row r="48" customFormat="false" ht="15" hidden="false" customHeight="false" outlineLevel="0" collapsed="false">
      <c r="A48" s="25" t="n">
        <v>45875</v>
      </c>
      <c r="B48" s="26" t="s">
        <v>81</v>
      </c>
      <c r="C48" s="27" t="n">
        <v>50833.12</v>
      </c>
      <c r="D48" s="28" t="n">
        <f aca="false">C48/$T$1*100</f>
        <v>2.99018352941176</v>
      </c>
      <c r="E48" s="28" t="n">
        <f aca="false">E47+D48</f>
        <v>7.36569176470588</v>
      </c>
      <c r="F48" s="28" t="n">
        <f aca="false">MAX(0,MAX($E$2:E48))</f>
        <v>7.55383352941176</v>
      </c>
      <c r="G48" s="28" t="n">
        <f aca="false">E48-F48</f>
        <v>-0.188141764705882</v>
      </c>
      <c r="H48" s="25" t="n">
        <f aca="false">IF(G48&gt;=-0.0000001,A48,H47)</f>
        <v>45866</v>
      </c>
      <c r="I48" s="29" t="n">
        <f aca="false">IF(AND(G48&gt;=-0.0000001,G47&lt;0),1,0)</f>
        <v>0</v>
      </c>
      <c r="J48" s="30" t="str">
        <f aca="false">IF(I48=1,A48-H47,"")</f>
        <v/>
      </c>
      <c r="K48" s="27" t="n">
        <f aca="false">IF(B48="Wednesday",0,C48)</f>
        <v>0</v>
      </c>
      <c r="L48" s="28" t="n">
        <f aca="false">L47+K48/$T$1*100</f>
        <v>4.96966470588235</v>
      </c>
      <c r="M48" s="28" t="n">
        <f aca="false">MAX(0,MAX($L$2:L48))</f>
        <v>8.86441764705882</v>
      </c>
      <c r="N48" s="28" t="n">
        <f aca="false">L48-M48</f>
        <v>-3.89475294117647</v>
      </c>
      <c r="O48" s="25" t="n">
        <f aca="false">IF(N48&gt;=-0.0000001,A48,O47)</f>
        <v>45866</v>
      </c>
      <c r="P48" s="29" t="n">
        <f aca="false">IF(AND(N48&gt;=-0.0000001,N47&lt;0),1,0)</f>
        <v>0</v>
      </c>
      <c r="Q48" s="30" t="str">
        <f aca="false">IF(P48=1,A48-O47,"")</f>
        <v/>
      </c>
    </row>
    <row r="49" customFormat="false" ht="15" hidden="false" customHeight="false" outlineLevel="0" collapsed="false">
      <c r="A49" s="25" t="n">
        <v>45876</v>
      </c>
      <c r="B49" s="26" t="s">
        <v>82</v>
      </c>
      <c r="C49" s="27" t="n">
        <v>30694.77</v>
      </c>
      <c r="D49" s="28" t="n">
        <f aca="false">C49/$T$1*100</f>
        <v>1.80557470588235</v>
      </c>
      <c r="E49" s="28" t="n">
        <f aca="false">E48+D49</f>
        <v>9.17126647058824</v>
      </c>
      <c r="F49" s="28" t="n">
        <f aca="false">MAX(0,MAX($E$2:E49))</f>
        <v>9.17126647058824</v>
      </c>
      <c r="G49" s="28" t="n">
        <f aca="false">E49-F49</f>
        <v>0</v>
      </c>
      <c r="H49" s="25" t="n">
        <f aca="false">IF(G49&gt;=-0.0000001,A49,H48)</f>
        <v>45876</v>
      </c>
      <c r="I49" s="29" t="n">
        <f aca="false">IF(AND(G49&gt;=-0.0000001,G48&lt;0),1,0)</f>
        <v>1</v>
      </c>
      <c r="J49" s="30" t="n">
        <f aca="false">IF(I49=1,A49-H48,"")</f>
        <v>10</v>
      </c>
      <c r="K49" s="27" t="n">
        <f aca="false">IF(B49="Wednesday",0,C49)</f>
        <v>30694.77</v>
      </c>
      <c r="L49" s="28" t="n">
        <f aca="false">L48+K49/$T$1*100</f>
        <v>6.77523941176471</v>
      </c>
      <c r="M49" s="28" t="n">
        <f aca="false">MAX(0,MAX($L$2:L49))</f>
        <v>8.86441764705882</v>
      </c>
      <c r="N49" s="28" t="n">
        <f aca="false">L49-M49</f>
        <v>-2.08917823529412</v>
      </c>
      <c r="O49" s="25" t="n">
        <f aca="false">IF(N49&gt;=-0.0000001,A49,O48)</f>
        <v>45866</v>
      </c>
      <c r="P49" s="29" t="n">
        <f aca="false">IF(AND(N49&gt;=-0.0000001,N48&lt;0),1,0)</f>
        <v>0</v>
      </c>
      <c r="Q49" s="30" t="str">
        <f aca="false">IF(P49=1,A49-O48,"")</f>
        <v/>
      </c>
    </row>
    <row r="50" customFormat="false" ht="15" hidden="false" customHeight="false" outlineLevel="0" collapsed="false">
      <c r="A50" s="25" t="n">
        <v>45877</v>
      </c>
      <c r="B50" s="26" t="s">
        <v>83</v>
      </c>
      <c r="C50" s="27" t="n">
        <v>-13617</v>
      </c>
      <c r="D50" s="28" t="n">
        <f aca="false">C50/$T$1*100</f>
        <v>-0.801</v>
      </c>
      <c r="E50" s="28" t="n">
        <f aca="false">E49+D50</f>
        <v>8.37026647058824</v>
      </c>
      <c r="F50" s="28" t="n">
        <f aca="false">MAX(0,MAX($E$2:E50))</f>
        <v>9.17126647058824</v>
      </c>
      <c r="G50" s="28" t="n">
        <f aca="false">E50-F50</f>
        <v>-0.801</v>
      </c>
      <c r="H50" s="25" t="n">
        <f aca="false">IF(G50&gt;=-0.0000001,A50,H49)</f>
        <v>45876</v>
      </c>
      <c r="I50" s="29" t="n">
        <f aca="false">IF(AND(G50&gt;=-0.0000001,G49&lt;0),1,0)</f>
        <v>0</v>
      </c>
      <c r="J50" s="30" t="str">
        <f aca="false">IF(I50=1,A50-H49,"")</f>
        <v/>
      </c>
      <c r="K50" s="27" t="n">
        <f aca="false">IF(B50="Wednesday",0,C50)</f>
        <v>-13617</v>
      </c>
      <c r="L50" s="28" t="n">
        <f aca="false">L49+K50/$T$1*100</f>
        <v>5.97423941176471</v>
      </c>
      <c r="M50" s="28" t="n">
        <f aca="false">MAX(0,MAX($L$2:L50))</f>
        <v>8.86441764705882</v>
      </c>
      <c r="N50" s="28" t="n">
        <f aca="false">L50-M50</f>
        <v>-2.89017823529412</v>
      </c>
      <c r="O50" s="25" t="n">
        <f aca="false">IF(N50&gt;=-0.0000001,A50,O49)</f>
        <v>45866</v>
      </c>
      <c r="P50" s="29" t="n">
        <f aca="false">IF(AND(N50&gt;=-0.0000001,N49&lt;0),1,0)</f>
        <v>0</v>
      </c>
      <c r="Q50" s="30" t="str">
        <f aca="false">IF(P50=1,A50-O49,"")</f>
        <v/>
      </c>
    </row>
    <row r="51" customFormat="false" ht="15" hidden="false" customHeight="false" outlineLevel="0" collapsed="false">
      <c r="A51" s="25" t="n">
        <v>45880</v>
      </c>
      <c r="B51" s="26" t="s">
        <v>79</v>
      </c>
      <c r="C51" s="27" t="n">
        <v>-19098.89</v>
      </c>
      <c r="D51" s="28" t="n">
        <f aca="false">C51/$T$1*100</f>
        <v>-1.12346411764706</v>
      </c>
      <c r="E51" s="28" t="n">
        <f aca="false">E50+D51</f>
        <v>7.24680235294118</v>
      </c>
      <c r="F51" s="28" t="n">
        <f aca="false">MAX(0,MAX($E$2:E51))</f>
        <v>9.17126647058824</v>
      </c>
      <c r="G51" s="28" t="n">
        <f aca="false">E51-F51</f>
        <v>-1.92446411764706</v>
      </c>
      <c r="H51" s="25" t="n">
        <f aca="false">IF(G51&gt;=-0.0000001,A51,H50)</f>
        <v>45876</v>
      </c>
      <c r="I51" s="29" t="n">
        <f aca="false">IF(AND(G51&gt;=-0.0000001,G50&lt;0),1,0)</f>
        <v>0</v>
      </c>
      <c r="J51" s="30" t="str">
        <f aca="false">IF(I51=1,A51-H50,"")</f>
        <v/>
      </c>
      <c r="K51" s="27" t="n">
        <f aca="false">IF(B51="Wednesday",0,C51)</f>
        <v>-19098.89</v>
      </c>
      <c r="L51" s="28" t="n">
        <f aca="false">L50+K51/$T$1*100</f>
        <v>4.85077529411765</v>
      </c>
      <c r="M51" s="28" t="n">
        <f aca="false">MAX(0,MAX($L$2:L51))</f>
        <v>8.86441764705882</v>
      </c>
      <c r="N51" s="28" t="n">
        <f aca="false">L51-M51</f>
        <v>-4.01364235294118</v>
      </c>
      <c r="O51" s="25" t="n">
        <f aca="false">IF(N51&gt;=-0.0000001,A51,O50)</f>
        <v>45866</v>
      </c>
      <c r="P51" s="29" t="n">
        <f aca="false">IF(AND(N51&gt;=-0.0000001,N50&lt;0),1,0)</f>
        <v>0</v>
      </c>
      <c r="Q51" s="30" t="str">
        <f aca="false">IF(P51=1,A51-O50,"")</f>
        <v/>
      </c>
    </row>
    <row r="52" customFormat="false" ht="15" hidden="false" customHeight="false" outlineLevel="0" collapsed="false">
      <c r="A52" s="25" t="n">
        <v>45881</v>
      </c>
      <c r="B52" s="26" t="s">
        <v>80</v>
      </c>
      <c r="C52" s="27" t="n">
        <v>-17486.92</v>
      </c>
      <c r="D52" s="28" t="n">
        <f aca="false">C52/$T$1*100</f>
        <v>-1.02864235294118</v>
      </c>
      <c r="E52" s="28" t="n">
        <f aca="false">E51+D52</f>
        <v>6.21816</v>
      </c>
      <c r="F52" s="28" t="n">
        <f aca="false">MAX(0,MAX($E$2:E52))</f>
        <v>9.17126647058824</v>
      </c>
      <c r="G52" s="28" t="n">
        <f aca="false">E52-F52</f>
        <v>-2.95310647058824</v>
      </c>
      <c r="H52" s="25" t="n">
        <f aca="false">IF(G52&gt;=-0.0000001,A52,H51)</f>
        <v>45876</v>
      </c>
      <c r="I52" s="29" t="n">
        <f aca="false">IF(AND(G52&gt;=-0.0000001,G51&lt;0),1,0)</f>
        <v>0</v>
      </c>
      <c r="J52" s="30" t="str">
        <f aca="false">IF(I52=1,A52-H51,"")</f>
        <v/>
      </c>
      <c r="K52" s="27" t="n">
        <f aca="false">IF(B52="Wednesday",0,C52)</f>
        <v>-17486.92</v>
      </c>
      <c r="L52" s="28" t="n">
        <f aca="false">L51+K52/$T$1*100</f>
        <v>3.82213294117647</v>
      </c>
      <c r="M52" s="28" t="n">
        <f aca="false">MAX(0,MAX($L$2:L52))</f>
        <v>8.86441764705882</v>
      </c>
      <c r="N52" s="28" t="n">
        <f aca="false">L52-M52</f>
        <v>-5.04228470588235</v>
      </c>
      <c r="O52" s="25" t="n">
        <f aca="false">IF(N52&gt;=-0.0000001,A52,O51)</f>
        <v>45866</v>
      </c>
      <c r="P52" s="29" t="n">
        <f aca="false">IF(AND(N52&gt;=-0.0000001,N51&lt;0),1,0)</f>
        <v>0</v>
      </c>
      <c r="Q52" s="30" t="str">
        <f aca="false">IF(P52=1,A52-O51,"")</f>
        <v/>
      </c>
    </row>
    <row r="53" customFormat="false" ht="15" hidden="false" customHeight="false" outlineLevel="0" collapsed="false">
      <c r="A53" s="25" t="n">
        <v>45882</v>
      </c>
      <c r="B53" s="26" t="s">
        <v>81</v>
      </c>
      <c r="C53" s="27" t="n">
        <v>24055.4</v>
      </c>
      <c r="D53" s="28" t="n">
        <f aca="false">C53/$T$1*100</f>
        <v>1.41502352941176</v>
      </c>
      <c r="E53" s="28" t="n">
        <f aca="false">E52+D53</f>
        <v>7.63318352941177</v>
      </c>
      <c r="F53" s="28" t="n">
        <f aca="false">MAX(0,MAX($E$2:E53))</f>
        <v>9.17126647058824</v>
      </c>
      <c r="G53" s="28" t="n">
        <f aca="false">E53-F53</f>
        <v>-1.53808294117647</v>
      </c>
      <c r="H53" s="25" t="n">
        <f aca="false">IF(G53&gt;=-0.0000001,A53,H52)</f>
        <v>45876</v>
      </c>
      <c r="I53" s="29" t="n">
        <f aca="false">IF(AND(G53&gt;=-0.0000001,G52&lt;0),1,0)</f>
        <v>0</v>
      </c>
      <c r="J53" s="30" t="str">
        <f aca="false">IF(I53=1,A53-H52,"")</f>
        <v/>
      </c>
      <c r="K53" s="27" t="n">
        <f aca="false">IF(B53="Wednesday",0,C53)</f>
        <v>0</v>
      </c>
      <c r="L53" s="28" t="n">
        <f aca="false">L52+K53/$T$1*100</f>
        <v>3.82213294117647</v>
      </c>
      <c r="M53" s="28" t="n">
        <f aca="false">MAX(0,MAX($L$2:L53))</f>
        <v>8.86441764705882</v>
      </c>
      <c r="N53" s="28" t="n">
        <f aca="false">L53-M53</f>
        <v>-5.04228470588235</v>
      </c>
      <c r="O53" s="25" t="n">
        <f aca="false">IF(N53&gt;=-0.0000001,A53,O52)</f>
        <v>45866</v>
      </c>
      <c r="P53" s="29" t="n">
        <f aca="false">IF(AND(N53&gt;=-0.0000001,N52&lt;0),1,0)</f>
        <v>0</v>
      </c>
      <c r="Q53" s="30" t="str">
        <f aca="false">IF(P53=1,A53-O52,"")</f>
        <v/>
      </c>
    </row>
    <row r="54" customFormat="false" ht="15" hidden="false" customHeight="false" outlineLevel="0" collapsed="false">
      <c r="A54" s="25" t="n">
        <v>45883</v>
      </c>
      <c r="B54" s="26" t="s">
        <v>82</v>
      </c>
      <c r="C54" s="27" t="n">
        <v>11206.88</v>
      </c>
      <c r="D54" s="28" t="n">
        <f aca="false">C54/$T$1*100</f>
        <v>0.659228235294118</v>
      </c>
      <c r="E54" s="28" t="n">
        <f aca="false">E53+D54</f>
        <v>8.29241176470588</v>
      </c>
      <c r="F54" s="28" t="n">
        <f aca="false">MAX(0,MAX($E$2:E54))</f>
        <v>9.17126647058824</v>
      </c>
      <c r="G54" s="28" t="n">
        <f aca="false">E54-F54</f>
        <v>-0.878854705882352</v>
      </c>
      <c r="H54" s="25" t="n">
        <f aca="false">IF(G54&gt;=-0.0000001,A54,H53)</f>
        <v>45876</v>
      </c>
      <c r="I54" s="29" t="n">
        <f aca="false">IF(AND(G54&gt;=-0.0000001,G53&lt;0),1,0)</f>
        <v>0</v>
      </c>
      <c r="J54" s="30" t="str">
        <f aca="false">IF(I54=1,A54-H53,"")</f>
        <v/>
      </c>
      <c r="K54" s="27" t="n">
        <f aca="false">IF(B54="Wednesday",0,C54)</f>
        <v>11206.88</v>
      </c>
      <c r="L54" s="28" t="n">
        <f aca="false">L53+K54/$T$1*100</f>
        <v>4.48136117647059</v>
      </c>
      <c r="M54" s="28" t="n">
        <f aca="false">MAX(0,MAX($L$2:L54))</f>
        <v>8.86441764705882</v>
      </c>
      <c r="N54" s="28" t="n">
        <f aca="false">L54-M54</f>
        <v>-4.38305647058824</v>
      </c>
      <c r="O54" s="25" t="n">
        <f aca="false">IF(N54&gt;=-0.0000001,A54,O53)</f>
        <v>45866</v>
      </c>
      <c r="P54" s="29" t="n">
        <f aca="false">IF(AND(N54&gt;=-0.0000001,N53&lt;0),1,0)</f>
        <v>0</v>
      </c>
      <c r="Q54" s="30" t="str">
        <f aca="false">IF(P54=1,A54-O53,"")</f>
        <v/>
      </c>
    </row>
    <row r="55" customFormat="false" ht="15" hidden="false" customHeight="false" outlineLevel="0" collapsed="false">
      <c r="A55" s="25" t="n">
        <v>45884</v>
      </c>
      <c r="B55" s="26" t="s">
        <v>83</v>
      </c>
      <c r="C55" s="27" t="n">
        <v>13590</v>
      </c>
      <c r="D55" s="28" t="n">
        <f aca="false">C55/$T$1*100</f>
        <v>0.799411764705882</v>
      </c>
      <c r="E55" s="28" t="n">
        <f aca="false">E54+D55</f>
        <v>9.09182352941177</v>
      </c>
      <c r="F55" s="28" t="n">
        <f aca="false">MAX(0,MAX($E$2:E55))</f>
        <v>9.17126647058824</v>
      </c>
      <c r="G55" s="28" t="n">
        <f aca="false">E55-F55</f>
        <v>-0.0794429411764703</v>
      </c>
      <c r="H55" s="25" t="n">
        <f aca="false">IF(G55&gt;=-0.0000001,A55,H54)</f>
        <v>45876</v>
      </c>
      <c r="I55" s="29" t="n">
        <f aca="false">IF(AND(G55&gt;=-0.0000001,G54&lt;0),1,0)</f>
        <v>0</v>
      </c>
      <c r="J55" s="30" t="str">
        <f aca="false">IF(I55=1,A55-H54,"")</f>
        <v/>
      </c>
      <c r="K55" s="27" t="n">
        <f aca="false">IF(B55="Wednesday",0,C55)</f>
        <v>13590</v>
      </c>
      <c r="L55" s="28" t="n">
        <f aca="false">L54+K55/$T$1*100</f>
        <v>5.28077294117647</v>
      </c>
      <c r="M55" s="28" t="n">
        <f aca="false">MAX(0,MAX($L$2:L55))</f>
        <v>8.86441764705882</v>
      </c>
      <c r="N55" s="28" t="n">
        <f aca="false">L55-M55</f>
        <v>-3.58364470588235</v>
      </c>
      <c r="O55" s="25" t="n">
        <f aca="false">IF(N55&gt;=-0.0000001,A55,O54)</f>
        <v>45866</v>
      </c>
      <c r="P55" s="29" t="n">
        <f aca="false">IF(AND(N55&gt;=-0.0000001,N54&lt;0),1,0)</f>
        <v>0</v>
      </c>
      <c r="Q55" s="30" t="str">
        <f aca="false">IF(P55=1,A55-O54,"")</f>
        <v/>
      </c>
    </row>
    <row r="56" customFormat="false" ht="15" hidden="false" customHeight="false" outlineLevel="0" collapsed="false">
      <c r="A56" s="25" t="n">
        <v>45887</v>
      </c>
      <c r="B56" s="26" t="s">
        <v>79</v>
      </c>
      <c r="C56" s="27" t="n">
        <v>-29174.6</v>
      </c>
      <c r="D56" s="28" t="n">
        <f aca="false">C56/$T$1*100</f>
        <v>-1.71615294117647</v>
      </c>
      <c r="E56" s="28" t="n">
        <f aca="false">E55+D56</f>
        <v>7.3756705882353</v>
      </c>
      <c r="F56" s="28" t="n">
        <f aca="false">MAX(0,MAX($E$2:E56))</f>
        <v>9.17126647058824</v>
      </c>
      <c r="G56" s="28" t="n">
        <f aca="false">E56-F56</f>
        <v>-1.79559588235294</v>
      </c>
      <c r="H56" s="25" t="n">
        <f aca="false">IF(G56&gt;=-0.0000001,A56,H55)</f>
        <v>45876</v>
      </c>
      <c r="I56" s="29" t="n">
        <f aca="false">IF(AND(G56&gt;=-0.0000001,G55&lt;0),1,0)</f>
        <v>0</v>
      </c>
      <c r="J56" s="30" t="str">
        <f aca="false">IF(I56=1,A56-H55,"")</f>
        <v/>
      </c>
      <c r="K56" s="27" t="n">
        <f aca="false">IF(B56="Wednesday",0,C56)</f>
        <v>-29174.6</v>
      </c>
      <c r="L56" s="28" t="n">
        <f aca="false">L55+K56/$T$1*100</f>
        <v>3.56462</v>
      </c>
      <c r="M56" s="28" t="n">
        <f aca="false">MAX(0,MAX($L$2:L56))</f>
        <v>8.86441764705882</v>
      </c>
      <c r="N56" s="28" t="n">
        <f aca="false">L56-M56</f>
        <v>-5.29979764705882</v>
      </c>
      <c r="O56" s="25" t="n">
        <f aca="false">IF(N56&gt;=-0.0000001,A56,O55)</f>
        <v>45866</v>
      </c>
      <c r="P56" s="29" t="n">
        <f aca="false">IF(AND(N56&gt;=-0.0000001,N55&lt;0),1,0)</f>
        <v>0</v>
      </c>
      <c r="Q56" s="30" t="str">
        <f aca="false">IF(P56=1,A56-O55,"")</f>
        <v/>
      </c>
    </row>
    <row r="57" customFormat="false" ht="15" hidden="false" customHeight="false" outlineLevel="0" collapsed="false">
      <c r="A57" s="25" t="n">
        <v>45888</v>
      </c>
      <c r="B57" s="26" t="s">
        <v>80</v>
      </c>
      <c r="C57" s="27" t="n">
        <v>47607.11</v>
      </c>
      <c r="D57" s="28" t="n">
        <f aca="false">C57/$T$1*100</f>
        <v>2.80041823529412</v>
      </c>
      <c r="E57" s="28" t="n">
        <f aca="false">E56+D57</f>
        <v>10.1760888235294</v>
      </c>
      <c r="F57" s="28" t="n">
        <f aca="false">MAX(0,MAX($E$2:E57))</f>
        <v>10.1760888235294</v>
      </c>
      <c r="G57" s="28" t="n">
        <f aca="false">E57-F57</f>
        <v>0</v>
      </c>
      <c r="H57" s="25" t="n">
        <f aca="false">IF(G57&gt;=-0.0000001,A57,H56)</f>
        <v>45888</v>
      </c>
      <c r="I57" s="29" t="n">
        <f aca="false">IF(AND(G57&gt;=-0.0000001,G56&lt;0),1,0)</f>
        <v>1</v>
      </c>
      <c r="J57" s="30" t="n">
        <f aca="false">IF(I57=1,A57-H56,"")</f>
        <v>12</v>
      </c>
      <c r="K57" s="27" t="n">
        <f aca="false">IF(B57="Wednesday",0,C57)</f>
        <v>47607.11</v>
      </c>
      <c r="L57" s="28" t="n">
        <f aca="false">L56+K57/$T$1*100</f>
        <v>6.36503823529412</v>
      </c>
      <c r="M57" s="28" t="n">
        <f aca="false">MAX(0,MAX($L$2:L57))</f>
        <v>8.86441764705882</v>
      </c>
      <c r="N57" s="28" t="n">
        <f aca="false">L57-M57</f>
        <v>-2.49937941176471</v>
      </c>
      <c r="O57" s="25" t="n">
        <f aca="false">IF(N57&gt;=-0.0000001,A57,O56)</f>
        <v>45866</v>
      </c>
      <c r="P57" s="29" t="n">
        <f aca="false">IF(AND(N57&gt;=-0.0000001,N56&lt;0),1,0)</f>
        <v>0</v>
      </c>
      <c r="Q57" s="30" t="str">
        <f aca="false">IF(P57=1,A57-O56,"")</f>
        <v/>
      </c>
    </row>
    <row r="58" customFormat="false" ht="15" hidden="false" customHeight="false" outlineLevel="0" collapsed="false">
      <c r="A58" s="25" t="n">
        <v>45889</v>
      </c>
      <c r="B58" s="26" t="s">
        <v>81</v>
      </c>
      <c r="C58" s="27" t="n">
        <v>15124.11</v>
      </c>
      <c r="D58" s="28" t="n">
        <f aca="false">C58/$T$1*100</f>
        <v>0.889653529411765</v>
      </c>
      <c r="E58" s="28" t="n">
        <f aca="false">E57+D58</f>
        <v>11.0657423529412</v>
      </c>
      <c r="F58" s="28" t="n">
        <f aca="false">MAX(0,MAX($E$2:E58))</f>
        <v>11.0657423529412</v>
      </c>
      <c r="G58" s="28" t="n">
        <f aca="false">E58-F58</f>
        <v>0</v>
      </c>
      <c r="H58" s="25" t="n">
        <f aca="false">IF(G58&gt;=-0.0000001,A58,H57)</f>
        <v>45889</v>
      </c>
      <c r="I58" s="29" t="n">
        <f aca="false">IF(AND(G58&gt;=-0.0000001,G57&lt;0),1,0)</f>
        <v>0</v>
      </c>
      <c r="J58" s="30" t="str">
        <f aca="false">IF(I58=1,A58-H57,"")</f>
        <v/>
      </c>
      <c r="K58" s="27" t="n">
        <f aca="false">IF(B58="Wednesday",0,C58)</f>
        <v>0</v>
      </c>
      <c r="L58" s="28" t="n">
        <f aca="false">L57+K58/$T$1*100</f>
        <v>6.36503823529412</v>
      </c>
      <c r="M58" s="28" t="n">
        <f aca="false">MAX(0,MAX($L$2:L58))</f>
        <v>8.86441764705882</v>
      </c>
      <c r="N58" s="28" t="n">
        <f aca="false">L58-M58</f>
        <v>-2.49937941176471</v>
      </c>
      <c r="O58" s="25" t="n">
        <f aca="false">IF(N58&gt;=-0.0000001,A58,O57)</f>
        <v>45866</v>
      </c>
      <c r="P58" s="29" t="n">
        <f aca="false">IF(AND(N58&gt;=-0.0000001,N57&lt;0),1,0)</f>
        <v>0</v>
      </c>
      <c r="Q58" s="30" t="str">
        <f aca="false">IF(P58=1,A58-O57,"")</f>
        <v/>
      </c>
    </row>
    <row r="59" customFormat="false" ht="15" hidden="false" customHeight="false" outlineLevel="0" collapsed="false">
      <c r="A59" s="25" t="n">
        <v>45890</v>
      </c>
      <c r="B59" s="26" t="s">
        <v>82</v>
      </c>
      <c r="C59" s="27" t="n">
        <v>20311.64</v>
      </c>
      <c r="D59" s="28" t="n">
        <f aca="false">C59/$T$1*100</f>
        <v>1.19480235294118</v>
      </c>
      <c r="E59" s="28" t="n">
        <f aca="false">E58+D59</f>
        <v>12.2605447058824</v>
      </c>
      <c r="F59" s="28" t="n">
        <f aca="false">MAX(0,MAX($E$2:E59))</f>
        <v>12.2605447058824</v>
      </c>
      <c r="G59" s="28" t="n">
        <f aca="false">E59-F59</f>
        <v>0</v>
      </c>
      <c r="H59" s="25" t="n">
        <f aca="false">IF(G59&gt;=-0.0000001,A59,H58)</f>
        <v>45890</v>
      </c>
      <c r="I59" s="29" t="n">
        <f aca="false">IF(AND(G59&gt;=-0.0000001,G58&lt;0),1,0)</f>
        <v>0</v>
      </c>
      <c r="J59" s="30" t="str">
        <f aca="false">IF(I59=1,A59-H58,"")</f>
        <v/>
      </c>
      <c r="K59" s="27" t="n">
        <f aca="false">IF(B59="Wednesday",0,C59)</f>
        <v>20311.64</v>
      </c>
      <c r="L59" s="28" t="n">
        <f aca="false">L58+K59/$T$1*100</f>
        <v>7.55984058823529</v>
      </c>
      <c r="M59" s="28" t="n">
        <f aca="false">MAX(0,MAX($L$2:L59))</f>
        <v>8.86441764705882</v>
      </c>
      <c r="N59" s="28" t="n">
        <f aca="false">L59-M59</f>
        <v>-1.30457705882353</v>
      </c>
      <c r="O59" s="25" t="n">
        <f aca="false">IF(N59&gt;=-0.0000001,A59,O58)</f>
        <v>45866</v>
      </c>
      <c r="P59" s="29" t="n">
        <f aca="false">IF(AND(N59&gt;=-0.0000001,N58&lt;0),1,0)</f>
        <v>0</v>
      </c>
      <c r="Q59" s="30" t="str">
        <f aca="false">IF(P59=1,A59-O58,"")</f>
        <v/>
      </c>
    </row>
    <row r="60" customFormat="false" ht="15" hidden="false" customHeight="false" outlineLevel="0" collapsed="false">
      <c r="A60" s="25" t="n">
        <v>45891</v>
      </c>
      <c r="B60" s="26" t="s">
        <v>83</v>
      </c>
      <c r="C60" s="27" t="n">
        <v>8972.25</v>
      </c>
      <c r="D60" s="28" t="n">
        <f aca="false">C60/$T$1*100</f>
        <v>0.527779411764706</v>
      </c>
      <c r="E60" s="28" t="n">
        <f aca="false">E59+D60</f>
        <v>12.7883241176471</v>
      </c>
      <c r="F60" s="28" t="n">
        <f aca="false">MAX(0,MAX($E$2:E60))</f>
        <v>12.7883241176471</v>
      </c>
      <c r="G60" s="28" t="n">
        <f aca="false">E60-F60</f>
        <v>0</v>
      </c>
      <c r="H60" s="25" t="n">
        <f aca="false">IF(G60&gt;=-0.0000001,A60,H59)</f>
        <v>45891</v>
      </c>
      <c r="I60" s="29" t="n">
        <f aca="false">IF(AND(G60&gt;=-0.0000001,G59&lt;0),1,0)</f>
        <v>0</v>
      </c>
      <c r="J60" s="30" t="str">
        <f aca="false">IF(I60=1,A60-H59,"")</f>
        <v/>
      </c>
      <c r="K60" s="27" t="n">
        <f aca="false">IF(B60="Wednesday",0,C60)</f>
        <v>8972.25</v>
      </c>
      <c r="L60" s="28" t="n">
        <f aca="false">L59+K60/$T$1*100</f>
        <v>8.08762</v>
      </c>
      <c r="M60" s="28" t="n">
        <f aca="false">MAX(0,MAX($L$2:L60))</f>
        <v>8.86441764705882</v>
      </c>
      <c r="N60" s="28" t="n">
        <f aca="false">L60-M60</f>
        <v>-0.776797647058823</v>
      </c>
      <c r="O60" s="25" t="n">
        <f aca="false">IF(N60&gt;=-0.0000001,A60,O59)</f>
        <v>45866</v>
      </c>
      <c r="P60" s="29" t="n">
        <f aca="false">IF(AND(N60&gt;=-0.0000001,N59&lt;0),1,0)</f>
        <v>0</v>
      </c>
      <c r="Q60" s="30" t="str">
        <f aca="false">IF(P60=1,A60-O59,"")</f>
        <v/>
      </c>
    </row>
    <row r="61" customFormat="false" ht="15" hidden="false" customHeight="false" outlineLevel="0" collapsed="false">
      <c r="A61" s="25" t="n">
        <v>45894</v>
      </c>
      <c r="B61" s="26" t="s">
        <v>79</v>
      </c>
      <c r="C61" s="27" t="n">
        <v>2600.4</v>
      </c>
      <c r="D61" s="28" t="n">
        <f aca="false">C61/$T$1*100</f>
        <v>0.152964705882353</v>
      </c>
      <c r="E61" s="28" t="n">
        <f aca="false">E60+D61</f>
        <v>12.9412888235294</v>
      </c>
      <c r="F61" s="28" t="n">
        <f aca="false">MAX(0,MAX($E$2:E61))</f>
        <v>12.9412888235294</v>
      </c>
      <c r="G61" s="28" t="n">
        <f aca="false">E61-F61</f>
        <v>0</v>
      </c>
      <c r="H61" s="25" t="n">
        <f aca="false">IF(G61&gt;=-0.0000001,A61,H60)</f>
        <v>45894</v>
      </c>
      <c r="I61" s="29" t="n">
        <f aca="false">IF(AND(G61&gt;=-0.0000001,G60&lt;0),1,0)</f>
        <v>0</v>
      </c>
      <c r="J61" s="30" t="str">
        <f aca="false">IF(I61=1,A61-H60,"")</f>
        <v/>
      </c>
      <c r="K61" s="27" t="n">
        <f aca="false">IF(B61="Wednesday",0,C61)</f>
        <v>2600.4</v>
      </c>
      <c r="L61" s="28" t="n">
        <f aca="false">L60+K61/$T$1*100</f>
        <v>8.24058470588235</v>
      </c>
      <c r="M61" s="28" t="n">
        <f aca="false">MAX(0,MAX($L$2:L61))</f>
        <v>8.86441764705882</v>
      </c>
      <c r="N61" s="28" t="n">
        <f aca="false">L61-M61</f>
        <v>-0.62383294117647</v>
      </c>
      <c r="O61" s="25" t="n">
        <f aca="false">IF(N61&gt;=-0.0000001,A61,O60)</f>
        <v>45866</v>
      </c>
      <c r="P61" s="29" t="n">
        <f aca="false">IF(AND(N61&gt;=-0.0000001,N60&lt;0),1,0)</f>
        <v>0</v>
      </c>
      <c r="Q61" s="30" t="str">
        <f aca="false">IF(P61=1,A61-O60,"")</f>
        <v/>
      </c>
    </row>
    <row r="62" customFormat="false" ht="15" hidden="false" customHeight="false" outlineLevel="0" collapsed="false">
      <c r="A62" s="25" t="n">
        <v>45895</v>
      </c>
      <c r="B62" s="26" t="s">
        <v>80</v>
      </c>
      <c r="C62" s="27" t="n">
        <v>-14397.21</v>
      </c>
      <c r="D62" s="28" t="n">
        <f aca="false">C62/$T$1*100</f>
        <v>-0.846894705882353</v>
      </c>
      <c r="E62" s="28" t="n">
        <f aca="false">E61+D62</f>
        <v>12.0943941176471</v>
      </c>
      <c r="F62" s="28" t="n">
        <f aca="false">MAX(0,MAX($E$2:E62))</f>
        <v>12.9412888235294</v>
      </c>
      <c r="G62" s="28" t="n">
        <f aca="false">E62-F62</f>
        <v>-0.846894705882352</v>
      </c>
      <c r="H62" s="25" t="n">
        <f aca="false">IF(G62&gt;=-0.0000001,A62,H61)</f>
        <v>45894</v>
      </c>
      <c r="I62" s="29" t="n">
        <f aca="false">IF(AND(G62&gt;=-0.0000001,G61&lt;0),1,0)</f>
        <v>0</v>
      </c>
      <c r="J62" s="30" t="str">
        <f aca="false">IF(I62=1,A62-H61,"")</f>
        <v/>
      </c>
      <c r="K62" s="27" t="n">
        <f aca="false">IF(B62="Wednesday",0,C62)</f>
        <v>-14397.21</v>
      </c>
      <c r="L62" s="28" t="n">
        <f aca="false">L61+K62/$T$1*100</f>
        <v>7.39369</v>
      </c>
      <c r="M62" s="28" t="n">
        <f aca="false">MAX(0,MAX($L$2:L62))</f>
        <v>8.86441764705882</v>
      </c>
      <c r="N62" s="28" t="n">
        <f aca="false">L62-M62</f>
        <v>-1.47072764705882</v>
      </c>
      <c r="O62" s="25" t="n">
        <f aca="false">IF(N62&gt;=-0.0000001,A62,O61)</f>
        <v>45866</v>
      </c>
      <c r="P62" s="29" t="n">
        <f aca="false">IF(AND(N62&gt;=-0.0000001,N61&lt;0),1,0)</f>
        <v>0</v>
      </c>
      <c r="Q62" s="30" t="str">
        <f aca="false">IF(P62=1,A62-O61,"")</f>
        <v/>
      </c>
    </row>
    <row r="63" customFormat="false" ht="15" hidden="false" customHeight="false" outlineLevel="0" collapsed="false">
      <c r="A63" s="25" t="n">
        <v>45896</v>
      </c>
      <c r="B63" s="26" t="s">
        <v>81</v>
      </c>
      <c r="C63" s="27" t="n">
        <v>11550</v>
      </c>
      <c r="D63" s="28" t="n">
        <f aca="false">C63/$T$1*100</f>
        <v>0.679411764705882</v>
      </c>
      <c r="E63" s="28" t="n">
        <f aca="false">E62+D63</f>
        <v>12.7738058823529</v>
      </c>
      <c r="F63" s="28" t="n">
        <f aca="false">MAX(0,MAX($E$2:E63))</f>
        <v>12.9412888235294</v>
      </c>
      <c r="G63" s="28" t="n">
        <f aca="false">E63-F63</f>
        <v>-0.16748294117647</v>
      </c>
      <c r="H63" s="25" t="n">
        <f aca="false">IF(G63&gt;=-0.0000001,A63,H62)</f>
        <v>45894</v>
      </c>
      <c r="I63" s="29" t="n">
        <f aca="false">IF(AND(G63&gt;=-0.0000001,G62&lt;0),1,0)</f>
        <v>0</v>
      </c>
      <c r="J63" s="30" t="str">
        <f aca="false">IF(I63=1,A63-H62,"")</f>
        <v/>
      </c>
      <c r="K63" s="27" t="n">
        <f aca="false">IF(B63="Wednesday",0,C63)</f>
        <v>0</v>
      </c>
      <c r="L63" s="28" t="n">
        <f aca="false">L62+K63/$T$1*100</f>
        <v>7.39369</v>
      </c>
      <c r="M63" s="28" t="n">
        <f aca="false">MAX(0,MAX($L$2:L63))</f>
        <v>8.86441764705882</v>
      </c>
      <c r="N63" s="28" t="n">
        <f aca="false">L63-M63</f>
        <v>-1.47072764705882</v>
      </c>
      <c r="O63" s="25" t="n">
        <f aca="false">IF(N63&gt;=-0.0000001,A63,O62)</f>
        <v>45866</v>
      </c>
      <c r="P63" s="29" t="n">
        <f aca="false">IF(AND(N63&gt;=-0.0000001,N62&lt;0),1,0)</f>
        <v>0</v>
      </c>
      <c r="Q63" s="30" t="str">
        <f aca="false">IF(P63=1,A63-O62,"")</f>
        <v/>
      </c>
    </row>
    <row r="64" customFormat="false" ht="15" hidden="false" customHeight="false" outlineLevel="0" collapsed="false">
      <c r="A64" s="25" t="n">
        <v>45897</v>
      </c>
      <c r="B64" s="26" t="s">
        <v>82</v>
      </c>
      <c r="C64" s="27" t="n">
        <v>59196.41</v>
      </c>
      <c r="D64" s="28" t="n">
        <f aca="false">C64/$T$1*100</f>
        <v>3.48214176470588</v>
      </c>
      <c r="E64" s="28" t="n">
        <f aca="false">E63+D64</f>
        <v>16.2559476470588</v>
      </c>
      <c r="F64" s="28" t="n">
        <f aca="false">MAX(0,MAX($E$2:E64))</f>
        <v>16.2559476470588</v>
      </c>
      <c r="G64" s="28" t="n">
        <f aca="false">E64-F64</f>
        <v>0</v>
      </c>
      <c r="H64" s="25" t="n">
        <f aca="false">IF(G64&gt;=-0.0000001,A64,H63)</f>
        <v>45897</v>
      </c>
      <c r="I64" s="29" t="n">
        <f aca="false">IF(AND(G64&gt;=-0.0000001,G63&lt;0),1,0)</f>
        <v>1</v>
      </c>
      <c r="J64" s="30" t="n">
        <f aca="false">IF(I64=1,A64-H63,"")</f>
        <v>3</v>
      </c>
      <c r="K64" s="27" t="n">
        <f aca="false">IF(B64="Wednesday",0,C64)</f>
        <v>59196.41</v>
      </c>
      <c r="L64" s="28" t="n">
        <f aca="false">L63+K64/$T$1*100</f>
        <v>10.8758317647059</v>
      </c>
      <c r="M64" s="28" t="n">
        <f aca="false">MAX(0,MAX($L$2:L64))</f>
        <v>10.8758317647059</v>
      </c>
      <c r="N64" s="28" t="n">
        <f aca="false">L64-M64</f>
        <v>0</v>
      </c>
      <c r="O64" s="25" t="n">
        <f aca="false">IF(N64&gt;=-0.0000001,A64,O63)</f>
        <v>45897</v>
      </c>
      <c r="P64" s="29" t="n">
        <f aca="false">IF(AND(N64&gt;=-0.0000001,N63&lt;0),1,0)</f>
        <v>1</v>
      </c>
      <c r="Q64" s="30" t="n">
        <f aca="false">IF(P64=1,A64-O63,"")</f>
        <v>31</v>
      </c>
    </row>
    <row r="65" customFormat="false" ht="15" hidden="false" customHeight="false" outlineLevel="0" collapsed="false">
      <c r="A65" s="25" t="n">
        <v>45898</v>
      </c>
      <c r="B65" s="26" t="s">
        <v>83</v>
      </c>
      <c r="C65" s="27" t="n">
        <v>-11817.42</v>
      </c>
      <c r="D65" s="28" t="n">
        <f aca="false">C65/$T$1*100</f>
        <v>-0.695142352941176</v>
      </c>
      <c r="E65" s="28" t="n">
        <f aca="false">E64+D65</f>
        <v>15.5608052941177</v>
      </c>
      <c r="F65" s="28" t="n">
        <f aca="false">MAX(0,MAX($E$2:E65))</f>
        <v>16.2559476470588</v>
      </c>
      <c r="G65" s="28" t="n">
        <f aca="false">E65-F65</f>
        <v>-0.695142352941176</v>
      </c>
      <c r="H65" s="25" t="n">
        <f aca="false">IF(G65&gt;=-0.0000001,A65,H64)</f>
        <v>45897</v>
      </c>
      <c r="I65" s="29" t="n">
        <f aca="false">IF(AND(G65&gt;=-0.0000001,G64&lt;0),1,0)</f>
        <v>0</v>
      </c>
      <c r="J65" s="30" t="str">
        <f aca="false">IF(I65=1,A65-H64,"")</f>
        <v/>
      </c>
      <c r="K65" s="27" t="n">
        <f aca="false">IF(B65="Wednesday",0,C65)</f>
        <v>-11817.42</v>
      </c>
      <c r="L65" s="28" t="n">
        <f aca="false">L64+K65/$T$1*100</f>
        <v>10.1806894117647</v>
      </c>
      <c r="M65" s="28" t="n">
        <f aca="false">MAX(0,MAX($L$2:L65))</f>
        <v>10.8758317647059</v>
      </c>
      <c r="N65" s="28" t="n">
        <f aca="false">L65-M65</f>
        <v>-0.695142352941176</v>
      </c>
      <c r="O65" s="25" t="n">
        <f aca="false">IF(N65&gt;=-0.0000001,A65,O64)</f>
        <v>45897</v>
      </c>
      <c r="P65" s="29" t="n">
        <f aca="false">IF(AND(N65&gt;=-0.0000001,N64&lt;0),1,0)</f>
        <v>0</v>
      </c>
      <c r="Q65" s="30" t="str">
        <f aca="false">IF(P65=1,A65-O64,"")</f>
        <v/>
      </c>
    </row>
    <row r="66" customFormat="false" ht="15" hidden="false" customHeight="false" outlineLevel="0" collapsed="false">
      <c r="A66" s="25" t="n">
        <v>45901</v>
      </c>
      <c r="B66" s="26" t="s">
        <v>79</v>
      </c>
      <c r="C66" s="27" t="n">
        <v>6534.65</v>
      </c>
      <c r="D66" s="28" t="n">
        <f aca="false">C66/$T$1*100</f>
        <v>0.384391176470588</v>
      </c>
      <c r="E66" s="28" t="n">
        <f aca="false">E65+D66</f>
        <v>15.9451964705882</v>
      </c>
      <c r="F66" s="28" t="n">
        <f aca="false">MAX(0,MAX($E$2:E66))</f>
        <v>16.2559476470588</v>
      </c>
      <c r="G66" s="28" t="n">
        <f aca="false">E66-F66</f>
        <v>-0.310751176470587</v>
      </c>
      <c r="H66" s="25" t="n">
        <f aca="false">IF(G66&gt;=-0.0000001,A66,H65)</f>
        <v>45897</v>
      </c>
      <c r="I66" s="29" t="n">
        <f aca="false">IF(AND(G66&gt;=-0.0000001,G65&lt;0),1,0)</f>
        <v>0</v>
      </c>
      <c r="J66" s="30" t="str">
        <f aca="false">IF(I66=1,A66-H65,"")</f>
        <v/>
      </c>
      <c r="K66" s="27" t="n">
        <f aca="false">IF(B66="Wednesday",0,C66)</f>
        <v>6534.65</v>
      </c>
      <c r="L66" s="28" t="n">
        <f aca="false">L65+K66/$T$1*100</f>
        <v>10.5650805882353</v>
      </c>
      <c r="M66" s="28" t="n">
        <f aca="false">MAX(0,MAX($L$2:L66))</f>
        <v>10.8758317647059</v>
      </c>
      <c r="N66" s="28" t="n">
        <f aca="false">L66-M66</f>
        <v>-0.310751176470587</v>
      </c>
      <c r="O66" s="25" t="n">
        <f aca="false">IF(N66&gt;=-0.0000001,A66,O65)</f>
        <v>45897</v>
      </c>
      <c r="P66" s="29" t="n">
        <f aca="false">IF(AND(N66&gt;=-0.0000001,N65&lt;0),1,0)</f>
        <v>0</v>
      </c>
      <c r="Q66" s="30" t="str">
        <f aca="false">IF(P66=1,A66-O65,"")</f>
        <v/>
      </c>
    </row>
    <row r="67" customFormat="false" ht="15" hidden="false" customHeight="false" outlineLevel="0" collapsed="false">
      <c r="A67" s="25" t="n">
        <v>45902</v>
      </c>
      <c r="B67" s="26" t="s">
        <v>80</v>
      </c>
      <c r="C67" s="27" t="n">
        <v>47031.01</v>
      </c>
      <c r="D67" s="28" t="n">
        <f aca="false">C67/$T$1*100</f>
        <v>2.76653</v>
      </c>
      <c r="E67" s="28" t="n">
        <f aca="false">E66+D67</f>
        <v>18.7117264705882</v>
      </c>
      <c r="F67" s="28" t="n">
        <f aca="false">MAX(0,MAX($E$2:E67))</f>
        <v>18.7117264705882</v>
      </c>
      <c r="G67" s="28" t="n">
        <f aca="false">E67-F67</f>
        <v>0</v>
      </c>
      <c r="H67" s="25" t="n">
        <f aca="false">IF(G67&gt;=-0.0000001,A67,H66)</f>
        <v>45902</v>
      </c>
      <c r="I67" s="29" t="n">
        <f aca="false">IF(AND(G67&gt;=-0.0000001,G66&lt;0),1,0)</f>
        <v>1</v>
      </c>
      <c r="J67" s="30" t="n">
        <f aca="false">IF(I67=1,A67-H66,"")</f>
        <v>5</v>
      </c>
      <c r="K67" s="27" t="n">
        <f aca="false">IF(B67="Wednesday",0,C67)</f>
        <v>47031.01</v>
      </c>
      <c r="L67" s="28" t="n">
        <f aca="false">L66+K67/$T$1*100</f>
        <v>13.3316105882353</v>
      </c>
      <c r="M67" s="28" t="n">
        <f aca="false">MAX(0,MAX($L$2:L67))</f>
        <v>13.3316105882353</v>
      </c>
      <c r="N67" s="28" t="n">
        <f aca="false">L67-M67</f>
        <v>0</v>
      </c>
      <c r="O67" s="25" t="n">
        <f aca="false">IF(N67&gt;=-0.0000001,A67,O66)</f>
        <v>45902</v>
      </c>
      <c r="P67" s="29" t="n">
        <f aca="false">IF(AND(N67&gt;=-0.0000001,N66&lt;0),1,0)</f>
        <v>1</v>
      </c>
      <c r="Q67" s="30" t="n">
        <f aca="false">IF(P67=1,A67-O66,"")</f>
        <v>5</v>
      </c>
    </row>
    <row r="68" customFormat="false" ht="15" hidden="false" customHeight="false" outlineLevel="0" collapsed="false">
      <c r="A68" s="25" t="n">
        <v>45903</v>
      </c>
      <c r="B68" s="26" t="s">
        <v>81</v>
      </c>
      <c r="C68" s="27" t="n">
        <v>-24359.62</v>
      </c>
      <c r="D68" s="28" t="n">
        <f aca="false">C68/$T$1*100</f>
        <v>-1.43291882352941</v>
      </c>
      <c r="E68" s="28" t="n">
        <f aca="false">E67+D68</f>
        <v>17.2788076470588</v>
      </c>
      <c r="F68" s="28" t="n">
        <f aca="false">MAX(0,MAX($E$2:E68))</f>
        <v>18.7117264705882</v>
      </c>
      <c r="G68" s="28" t="n">
        <f aca="false">E68-F68</f>
        <v>-1.43291882352941</v>
      </c>
      <c r="H68" s="25" t="n">
        <f aca="false">IF(G68&gt;=-0.0000001,A68,H67)</f>
        <v>45902</v>
      </c>
      <c r="I68" s="29" t="n">
        <f aca="false">IF(AND(G68&gt;=-0.0000001,G67&lt;0),1,0)</f>
        <v>0</v>
      </c>
      <c r="J68" s="30" t="str">
        <f aca="false">IF(I68=1,A68-H67,"")</f>
        <v/>
      </c>
      <c r="K68" s="27" t="n">
        <f aca="false">IF(B68="Wednesday",0,C68)</f>
        <v>0</v>
      </c>
      <c r="L68" s="28" t="n">
        <f aca="false">L67+K68/$T$1*100</f>
        <v>13.3316105882353</v>
      </c>
      <c r="M68" s="28" t="n">
        <f aca="false">MAX(0,MAX($L$2:L68))</f>
        <v>13.3316105882353</v>
      </c>
      <c r="N68" s="28" t="n">
        <f aca="false">L68-M68</f>
        <v>0</v>
      </c>
      <c r="O68" s="25" t="n">
        <f aca="false">IF(N68&gt;=-0.0000001,A68,O67)</f>
        <v>45903</v>
      </c>
      <c r="P68" s="29" t="n">
        <f aca="false">IF(AND(N68&gt;=-0.0000001,N67&lt;0),1,0)</f>
        <v>0</v>
      </c>
      <c r="Q68" s="30" t="str">
        <f aca="false">IF(P68=1,A68-O67,"")</f>
        <v/>
      </c>
    </row>
    <row r="69" customFormat="false" ht="15" hidden="false" customHeight="false" outlineLevel="0" collapsed="false">
      <c r="A69" s="25" t="n">
        <v>45904</v>
      </c>
      <c r="B69" s="26" t="s">
        <v>82</v>
      </c>
      <c r="C69" s="27" t="n">
        <v>19587.88</v>
      </c>
      <c r="D69" s="28" t="n">
        <f aca="false">C69/$T$1*100</f>
        <v>1.15222823529412</v>
      </c>
      <c r="E69" s="28" t="n">
        <f aca="false">E68+D69</f>
        <v>18.4310358823529</v>
      </c>
      <c r="F69" s="28" t="n">
        <f aca="false">MAX(0,MAX($E$2:E69))</f>
        <v>18.7117264705882</v>
      </c>
      <c r="G69" s="28" t="n">
        <f aca="false">E69-F69</f>
        <v>-0.280690588235295</v>
      </c>
      <c r="H69" s="25" t="n">
        <f aca="false">IF(G69&gt;=-0.0000001,A69,H68)</f>
        <v>45902</v>
      </c>
      <c r="I69" s="29" t="n">
        <f aca="false">IF(AND(G69&gt;=-0.0000001,G68&lt;0),1,0)</f>
        <v>0</v>
      </c>
      <c r="J69" s="30" t="str">
        <f aca="false">IF(I69=1,A69-H68,"")</f>
        <v/>
      </c>
      <c r="K69" s="27" t="n">
        <f aca="false">IF(B69="Wednesday",0,C69)</f>
        <v>19587.88</v>
      </c>
      <c r="L69" s="28" t="n">
        <f aca="false">L68+K69/$T$1*100</f>
        <v>14.4838388235294</v>
      </c>
      <c r="M69" s="28" t="n">
        <f aca="false">MAX(0,MAX($L$2:L69))</f>
        <v>14.4838388235294</v>
      </c>
      <c r="N69" s="28" t="n">
        <f aca="false">L69-M69</f>
        <v>0</v>
      </c>
      <c r="O69" s="25" t="n">
        <f aca="false">IF(N69&gt;=-0.0000001,A69,O68)</f>
        <v>45904</v>
      </c>
      <c r="P69" s="29" t="n">
        <f aca="false">IF(AND(N69&gt;=-0.0000001,N68&lt;0),1,0)</f>
        <v>0</v>
      </c>
      <c r="Q69" s="30" t="str">
        <f aca="false">IF(P69=1,A69-O68,"")</f>
        <v/>
      </c>
    </row>
    <row r="70" customFormat="false" ht="15" hidden="false" customHeight="false" outlineLevel="0" collapsed="false">
      <c r="A70" s="25" t="n">
        <v>45905</v>
      </c>
      <c r="B70" s="26" t="s">
        <v>83</v>
      </c>
      <c r="C70" s="27" t="n">
        <v>21752.13</v>
      </c>
      <c r="D70" s="28" t="n">
        <f aca="false">C70/$T$1*100</f>
        <v>1.27953705882353</v>
      </c>
      <c r="E70" s="28" t="n">
        <f aca="false">E69+D70</f>
        <v>19.7105729411765</v>
      </c>
      <c r="F70" s="28" t="n">
        <f aca="false">MAX(0,MAX($E$2:E70))</f>
        <v>19.7105729411765</v>
      </c>
      <c r="G70" s="28" t="n">
        <f aca="false">E70-F70</f>
        <v>0</v>
      </c>
      <c r="H70" s="25" t="n">
        <f aca="false">IF(G70&gt;=-0.0000001,A70,H69)</f>
        <v>45905</v>
      </c>
      <c r="I70" s="29" t="n">
        <f aca="false">IF(AND(G70&gt;=-0.0000001,G69&lt;0),1,0)</f>
        <v>1</v>
      </c>
      <c r="J70" s="30" t="n">
        <f aca="false">IF(I70=1,A70-H69,"")</f>
        <v>3</v>
      </c>
      <c r="K70" s="27" t="n">
        <f aca="false">IF(B70="Wednesday",0,C70)</f>
        <v>21752.13</v>
      </c>
      <c r="L70" s="28" t="n">
        <f aca="false">L69+K70/$T$1*100</f>
        <v>15.7633758823529</v>
      </c>
      <c r="M70" s="28" t="n">
        <f aca="false">MAX(0,MAX($L$2:L70))</f>
        <v>15.7633758823529</v>
      </c>
      <c r="N70" s="28" t="n">
        <f aca="false">L70-M70</f>
        <v>0</v>
      </c>
      <c r="O70" s="25" t="n">
        <f aca="false">IF(N70&gt;=-0.0000001,A70,O69)</f>
        <v>45905</v>
      </c>
      <c r="P70" s="29" t="n">
        <f aca="false">IF(AND(N70&gt;=-0.0000001,N69&lt;0),1,0)</f>
        <v>0</v>
      </c>
      <c r="Q70" s="30" t="str">
        <f aca="false">IF(P70=1,A70-O69,"")</f>
        <v/>
      </c>
    </row>
    <row r="71" customFormat="false" ht="15" hidden="false" customHeight="false" outlineLevel="0" collapsed="false">
      <c r="A71" s="25" t="n">
        <v>45908</v>
      </c>
      <c r="B71" s="26" t="s">
        <v>79</v>
      </c>
      <c r="C71" s="27" t="n">
        <v>-16521.43</v>
      </c>
      <c r="D71" s="28" t="n">
        <f aca="false">C71/$T$1*100</f>
        <v>-0.971848823529412</v>
      </c>
      <c r="E71" s="28" t="n">
        <f aca="false">E70+D71</f>
        <v>18.7387241176471</v>
      </c>
      <c r="F71" s="28" t="n">
        <f aca="false">MAX(0,MAX($E$2:E71))</f>
        <v>19.7105729411765</v>
      </c>
      <c r="G71" s="28" t="n">
        <f aca="false">E71-F71</f>
        <v>-0.971848823529413</v>
      </c>
      <c r="H71" s="25" t="n">
        <f aca="false">IF(G71&gt;=-0.0000001,A71,H70)</f>
        <v>45905</v>
      </c>
      <c r="I71" s="29" t="n">
        <f aca="false">IF(AND(G71&gt;=-0.0000001,G70&lt;0),1,0)</f>
        <v>0</v>
      </c>
      <c r="J71" s="30" t="str">
        <f aca="false">IF(I71=1,A71-H70,"")</f>
        <v/>
      </c>
      <c r="K71" s="27" t="n">
        <f aca="false">IF(B71="Wednesday",0,C71)</f>
        <v>-16521.43</v>
      </c>
      <c r="L71" s="28" t="n">
        <f aca="false">L70+K71/$T$1*100</f>
        <v>14.7915270588235</v>
      </c>
      <c r="M71" s="28" t="n">
        <f aca="false">MAX(0,MAX($L$2:L71))</f>
        <v>15.7633758823529</v>
      </c>
      <c r="N71" s="28" t="n">
        <f aca="false">L71-M71</f>
        <v>-0.971848823529411</v>
      </c>
      <c r="O71" s="25" t="n">
        <f aca="false">IF(N71&gt;=-0.0000001,A71,O70)</f>
        <v>45905</v>
      </c>
      <c r="P71" s="29" t="n">
        <f aca="false">IF(AND(N71&gt;=-0.0000001,N70&lt;0),1,0)</f>
        <v>0</v>
      </c>
      <c r="Q71" s="30" t="str">
        <f aca="false">IF(P71=1,A71-O70,"")</f>
        <v/>
      </c>
    </row>
    <row r="72" customFormat="false" ht="15" hidden="false" customHeight="false" outlineLevel="0" collapsed="false">
      <c r="A72" s="25" t="n">
        <v>45909</v>
      </c>
      <c r="B72" s="26" t="s">
        <v>80</v>
      </c>
      <c r="C72" s="27" t="n">
        <v>14068.42</v>
      </c>
      <c r="D72" s="28" t="n">
        <f aca="false">C72/$T$1*100</f>
        <v>0.827554117647059</v>
      </c>
      <c r="E72" s="28" t="n">
        <f aca="false">E71+D72</f>
        <v>19.5662782352941</v>
      </c>
      <c r="F72" s="28" t="n">
        <f aca="false">MAX(0,MAX($E$2:E72))</f>
        <v>19.7105729411765</v>
      </c>
      <c r="G72" s="28" t="n">
        <f aca="false">E72-F72</f>
        <v>-0.144294705882356</v>
      </c>
      <c r="H72" s="25" t="n">
        <f aca="false">IF(G72&gt;=-0.0000001,A72,H71)</f>
        <v>45905</v>
      </c>
      <c r="I72" s="29" t="n">
        <f aca="false">IF(AND(G72&gt;=-0.0000001,G71&lt;0),1,0)</f>
        <v>0</v>
      </c>
      <c r="J72" s="30" t="str">
        <f aca="false">IF(I72=1,A72-H71,"")</f>
        <v/>
      </c>
      <c r="K72" s="27" t="n">
        <f aca="false">IF(B72="Wednesday",0,C72)</f>
        <v>14068.42</v>
      </c>
      <c r="L72" s="28" t="n">
        <f aca="false">L71+K72/$T$1*100</f>
        <v>15.6190811764706</v>
      </c>
      <c r="M72" s="28" t="n">
        <f aca="false">MAX(0,MAX($L$2:L72))</f>
        <v>15.7633758823529</v>
      </c>
      <c r="N72" s="28" t="n">
        <f aca="false">L72-M72</f>
        <v>-0.144294705882352</v>
      </c>
      <c r="O72" s="25" t="n">
        <f aca="false">IF(N72&gt;=-0.0000001,A72,O71)</f>
        <v>45905</v>
      </c>
      <c r="P72" s="29" t="n">
        <f aca="false">IF(AND(N72&gt;=-0.0000001,N71&lt;0),1,0)</f>
        <v>0</v>
      </c>
      <c r="Q72" s="30" t="str">
        <f aca="false">IF(P72=1,A72-O71,"")</f>
        <v/>
      </c>
    </row>
    <row r="73" customFormat="false" ht="15" hidden="false" customHeight="false" outlineLevel="0" collapsed="false">
      <c r="A73" s="25" t="n">
        <v>45910</v>
      </c>
      <c r="B73" s="26" t="s">
        <v>81</v>
      </c>
      <c r="C73" s="27" t="n">
        <v>-668.25</v>
      </c>
      <c r="D73" s="28" t="n">
        <f aca="false">C73/$T$1*100</f>
        <v>-0.0393088235294118</v>
      </c>
      <c r="E73" s="28" t="n">
        <f aca="false">E72+D73</f>
        <v>19.5269694117647</v>
      </c>
      <c r="F73" s="28" t="n">
        <f aca="false">MAX(0,MAX($E$2:E73))</f>
        <v>19.7105729411765</v>
      </c>
      <c r="G73" s="28" t="n">
        <f aca="false">E73-F73</f>
        <v>-0.183603529411766</v>
      </c>
      <c r="H73" s="25" t="n">
        <f aca="false">IF(G73&gt;=-0.0000001,A73,H72)</f>
        <v>45905</v>
      </c>
      <c r="I73" s="29" t="n">
        <f aca="false">IF(AND(G73&gt;=-0.0000001,G72&lt;0),1,0)</f>
        <v>0</v>
      </c>
      <c r="J73" s="30" t="str">
        <f aca="false">IF(I73=1,A73-H72,"")</f>
        <v/>
      </c>
      <c r="K73" s="27" t="n">
        <f aca="false">IF(B73="Wednesday",0,C73)</f>
        <v>0</v>
      </c>
      <c r="L73" s="28" t="n">
        <f aca="false">L72+K73/$T$1*100</f>
        <v>15.6190811764706</v>
      </c>
      <c r="M73" s="28" t="n">
        <f aca="false">MAX(0,MAX($L$2:L73))</f>
        <v>15.7633758823529</v>
      </c>
      <c r="N73" s="28" t="n">
        <f aca="false">L73-M73</f>
        <v>-0.144294705882352</v>
      </c>
      <c r="O73" s="25" t="n">
        <f aca="false">IF(N73&gt;=-0.0000001,A73,O72)</f>
        <v>45905</v>
      </c>
      <c r="P73" s="29" t="n">
        <f aca="false">IF(AND(N73&gt;=-0.0000001,N72&lt;0),1,0)</f>
        <v>0</v>
      </c>
      <c r="Q73" s="30" t="str">
        <f aca="false">IF(P73=1,A73-O72,"")</f>
        <v/>
      </c>
    </row>
    <row r="74" customFormat="false" ht="15" hidden="false" customHeight="false" outlineLevel="0" collapsed="false">
      <c r="A74" s="25" t="n">
        <v>45911</v>
      </c>
      <c r="B74" s="26" t="s">
        <v>82</v>
      </c>
      <c r="C74" s="27" t="n">
        <v>-3569.89</v>
      </c>
      <c r="D74" s="28" t="n">
        <f aca="false">C74/$T$1*100</f>
        <v>-0.209993529411765</v>
      </c>
      <c r="E74" s="28" t="n">
        <f aca="false">E73+D74</f>
        <v>19.3169758823529</v>
      </c>
      <c r="F74" s="28" t="n">
        <f aca="false">MAX(0,MAX($E$2:E74))</f>
        <v>19.7105729411765</v>
      </c>
      <c r="G74" s="28" t="n">
        <f aca="false">E74-F74</f>
        <v>-0.393597058823531</v>
      </c>
      <c r="H74" s="25" t="n">
        <f aca="false">IF(G74&gt;=-0.0000001,A74,H73)</f>
        <v>45905</v>
      </c>
      <c r="I74" s="29" t="n">
        <f aca="false">IF(AND(G74&gt;=-0.0000001,G73&lt;0),1,0)</f>
        <v>0</v>
      </c>
      <c r="J74" s="30" t="str">
        <f aca="false">IF(I74=1,A74-H73,"")</f>
        <v/>
      </c>
      <c r="K74" s="27" t="n">
        <f aca="false">IF(B74="Wednesday",0,C74)</f>
        <v>-3569.89</v>
      </c>
      <c r="L74" s="28" t="n">
        <f aca="false">L73+K74/$T$1*100</f>
        <v>15.4090876470588</v>
      </c>
      <c r="M74" s="28" t="n">
        <f aca="false">MAX(0,MAX($L$2:L74))</f>
        <v>15.7633758823529</v>
      </c>
      <c r="N74" s="28" t="n">
        <f aca="false">L74-M74</f>
        <v>-0.354288235294117</v>
      </c>
      <c r="O74" s="25" t="n">
        <f aca="false">IF(N74&gt;=-0.0000001,A74,O73)</f>
        <v>45905</v>
      </c>
      <c r="P74" s="29" t="n">
        <f aca="false">IF(AND(N74&gt;=-0.0000001,N73&lt;0),1,0)</f>
        <v>0</v>
      </c>
      <c r="Q74" s="30" t="str">
        <f aca="false">IF(P74=1,A74-O73,"")</f>
        <v/>
      </c>
    </row>
    <row r="75" customFormat="false" ht="15" hidden="false" customHeight="false" outlineLevel="0" collapsed="false">
      <c r="A75" s="25" t="n">
        <v>45912</v>
      </c>
      <c r="B75" s="26" t="s">
        <v>83</v>
      </c>
      <c r="C75" s="27" t="n">
        <v>11121.7</v>
      </c>
      <c r="D75" s="28" t="n">
        <f aca="false">C75/$T$1*100</f>
        <v>0.654217647058824</v>
      </c>
      <c r="E75" s="28" t="n">
        <f aca="false">E74+D75</f>
        <v>19.9711935294118</v>
      </c>
      <c r="F75" s="28" t="n">
        <f aca="false">MAX(0,MAX($E$2:E75))</f>
        <v>19.9711935294118</v>
      </c>
      <c r="G75" s="28" t="n">
        <f aca="false">E75-F75</f>
        <v>0</v>
      </c>
      <c r="H75" s="25" t="n">
        <f aca="false">IF(G75&gt;=-0.0000001,A75,H74)</f>
        <v>45912</v>
      </c>
      <c r="I75" s="29" t="n">
        <f aca="false">IF(AND(G75&gt;=-0.0000001,G74&lt;0),1,0)</f>
        <v>1</v>
      </c>
      <c r="J75" s="30" t="n">
        <f aca="false">IF(I75=1,A75-H74,"")</f>
        <v>7</v>
      </c>
      <c r="K75" s="27" t="n">
        <f aca="false">IF(B75="Wednesday",0,C75)</f>
        <v>11121.7</v>
      </c>
      <c r="L75" s="28" t="n">
        <f aca="false">L74+K75/$T$1*100</f>
        <v>16.0633052941177</v>
      </c>
      <c r="M75" s="28" t="n">
        <f aca="false">MAX(0,MAX($L$2:L75))</f>
        <v>16.0633052941177</v>
      </c>
      <c r="N75" s="28" t="n">
        <f aca="false">L75-M75</f>
        <v>0</v>
      </c>
      <c r="O75" s="25" t="n">
        <f aca="false">IF(N75&gt;=-0.0000001,A75,O74)</f>
        <v>45912</v>
      </c>
      <c r="P75" s="29" t="n">
        <f aca="false">IF(AND(N75&gt;=-0.0000001,N74&lt;0),1,0)</f>
        <v>1</v>
      </c>
      <c r="Q75" s="30" t="n">
        <f aca="false">IF(P75=1,A75-O74,"")</f>
        <v>7</v>
      </c>
    </row>
    <row r="76" customFormat="false" ht="15" hidden="false" customHeight="false" outlineLevel="0" collapsed="false">
      <c r="A76" s="25" t="n">
        <v>45915</v>
      </c>
      <c r="B76" s="26" t="s">
        <v>79</v>
      </c>
      <c r="C76" s="27" t="n">
        <v>23387.75</v>
      </c>
      <c r="D76" s="28" t="n">
        <f aca="false">C76/$T$1*100</f>
        <v>1.37575</v>
      </c>
      <c r="E76" s="28" t="n">
        <f aca="false">E75+D76</f>
        <v>21.3469435294118</v>
      </c>
      <c r="F76" s="28" t="n">
        <f aca="false">MAX(0,MAX($E$2:E76))</f>
        <v>21.3469435294118</v>
      </c>
      <c r="G76" s="28" t="n">
        <f aca="false">E76-F76</f>
        <v>0</v>
      </c>
      <c r="H76" s="25" t="n">
        <f aca="false">IF(G76&gt;=-0.0000001,A76,H75)</f>
        <v>45915</v>
      </c>
      <c r="I76" s="29" t="n">
        <f aca="false">IF(AND(G76&gt;=-0.0000001,G75&lt;0),1,0)</f>
        <v>0</v>
      </c>
      <c r="J76" s="30" t="str">
        <f aca="false">IF(I76=1,A76-H75,"")</f>
        <v/>
      </c>
      <c r="K76" s="27" t="n">
        <f aca="false">IF(B76="Wednesday",0,C76)</f>
        <v>23387.75</v>
      </c>
      <c r="L76" s="28" t="n">
        <f aca="false">L75+K76/$T$1*100</f>
        <v>17.4390552941177</v>
      </c>
      <c r="M76" s="28" t="n">
        <f aca="false">MAX(0,MAX($L$2:L76))</f>
        <v>17.4390552941177</v>
      </c>
      <c r="N76" s="28" t="n">
        <f aca="false">L76-M76</f>
        <v>0</v>
      </c>
      <c r="O76" s="25" t="n">
        <f aca="false">IF(N76&gt;=-0.0000001,A76,O75)</f>
        <v>45915</v>
      </c>
      <c r="P76" s="29" t="n">
        <f aca="false">IF(AND(N76&gt;=-0.0000001,N75&lt;0),1,0)</f>
        <v>0</v>
      </c>
      <c r="Q76" s="30" t="str">
        <f aca="false">IF(P76=1,A76-O75,"")</f>
        <v/>
      </c>
    </row>
    <row r="77" customFormat="false" ht="15" hidden="false" customHeight="false" outlineLevel="0" collapsed="false">
      <c r="A77" s="25" t="n">
        <v>45916</v>
      </c>
      <c r="B77" s="26" t="s">
        <v>80</v>
      </c>
      <c r="C77" s="27" t="n">
        <v>-5841.2</v>
      </c>
      <c r="D77" s="28" t="n">
        <f aca="false">C77/$T$1*100</f>
        <v>-0.3436</v>
      </c>
      <c r="E77" s="28" t="n">
        <f aca="false">E76+D77</f>
        <v>21.0033435294118</v>
      </c>
      <c r="F77" s="28" t="n">
        <f aca="false">MAX(0,MAX($E$2:E77))</f>
        <v>21.3469435294118</v>
      </c>
      <c r="G77" s="28" t="n">
        <f aca="false">E77-F77</f>
        <v>-0.343599999999999</v>
      </c>
      <c r="H77" s="25" t="n">
        <f aca="false">IF(G77&gt;=-0.0000001,A77,H76)</f>
        <v>45915</v>
      </c>
      <c r="I77" s="29" t="n">
        <f aca="false">IF(AND(G77&gt;=-0.0000001,G76&lt;0),1,0)</f>
        <v>0</v>
      </c>
      <c r="J77" s="30" t="str">
        <f aca="false">IF(I77=1,A77-H76,"")</f>
        <v/>
      </c>
      <c r="K77" s="27" t="n">
        <f aca="false">IF(B77="Wednesday",0,C77)</f>
        <v>-5841.2</v>
      </c>
      <c r="L77" s="28" t="n">
        <f aca="false">L76+K77/$T$1*100</f>
        <v>17.0954552941177</v>
      </c>
      <c r="M77" s="28" t="n">
        <f aca="false">MAX(0,MAX($L$2:L77))</f>
        <v>17.4390552941177</v>
      </c>
      <c r="N77" s="28" t="n">
        <f aca="false">L77-M77</f>
        <v>-0.343599999999999</v>
      </c>
      <c r="O77" s="25" t="n">
        <f aca="false">IF(N77&gt;=-0.0000001,A77,O76)</f>
        <v>45915</v>
      </c>
      <c r="P77" s="29" t="n">
        <f aca="false">IF(AND(N77&gt;=-0.0000001,N76&lt;0),1,0)</f>
        <v>0</v>
      </c>
      <c r="Q77" s="30" t="str">
        <f aca="false">IF(P77=1,A77-O76,"")</f>
        <v/>
      </c>
    </row>
    <row r="78" customFormat="false" ht="15" hidden="false" customHeight="false" outlineLevel="0" collapsed="false">
      <c r="A78" s="25" t="n">
        <v>45917</v>
      </c>
      <c r="B78" s="26" t="s">
        <v>81</v>
      </c>
      <c r="C78" s="27" t="n">
        <v>-3507</v>
      </c>
      <c r="D78" s="28" t="n">
        <f aca="false">C78/$T$1*100</f>
        <v>-0.206294117647059</v>
      </c>
      <c r="E78" s="28" t="n">
        <f aca="false">E77+D78</f>
        <v>20.7970494117647</v>
      </c>
      <c r="F78" s="28" t="n">
        <f aca="false">MAX(0,MAX($E$2:E78))</f>
        <v>21.3469435294118</v>
      </c>
      <c r="G78" s="28" t="n">
        <f aca="false">E78-F78</f>
        <v>-0.549894117647057</v>
      </c>
      <c r="H78" s="25" t="n">
        <f aca="false">IF(G78&gt;=-0.0000001,A78,H77)</f>
        <v>45915</v>
      </c>
      <c r="I78" s="29" t="n">
        <f aca="false">IF(AND(G78&gt;=-0.0000001,G77&lt;0),1,0)</f>
        <v>0</v>
      </c>
      <c r="J78" s="30" t="str">
        <f aca="false">IF(I78=1,A78-H77,"")</f>
        <v/>
      </c>
      <c r="K78" s="27" t="n">
        <f aca="false">IF(B78="Wednesday",0,C78)</f>
        <v>0</v>
      </c>
      <c r="L78" s="28" t="n">
        <f aca="false">L77+K78/$T$1*100</f>
        <v>17.0954552941177</v>
      </c>
      <c r="M78" s="28" t="n">
        <f aca="false">MAX(0,MAX($L$2:L78))</f>
        <v>17.4390552941177</v>
      </c>
      <c r="N78" s="28" t="n">
        <f aca="false">L78-M78</f>
        <v>-0.343599999999999</v>
      </c>
      <c r="O78" s="25" t="n">
        <f aca="false">IF(N78&gt;=-0.0000001,A78,O77)</f>
        <v>45915</v>
      </c>
      <c r="P78" s="29" t="n">
        <f aca="false">IF(AND(N78&gt;=-0.0000001,N77&lt;0),1,0)</f>
        <v>0</v>
      </c>
      <c r="Q78" s="30" t="str">
        <f aca="false">IF(P78=1,A78-O77,"")</f>
        <v/>
      </c>
    </row>
    <row r="79" customFormat="false" ht="15" hidden="false" customHeight="false" outlineLevel="0" collapsed="false">
      <c r="A79" s="25" t="n">
        <v>45918</v>
      </c>
      <c r="B79" s="26" t="s">
        <v>82</v>
      </c>
      <c r="C79" s="27" t="n">
        <v>-46533.81</v>
      </c>
      <c r="D79" s="28" t="n">
        <f aca="false">C79/$T$1*100</f>
        <v>-2.73728294117647</v>
      </c>
      <c r="E79" s="28" t="n">
        <f aca="false">E78+D79</f>
        <v>18.0597664705882</v>
      </c>
      <c r="F79" s="28" t="n">
        <f aca="false">MAX(0,MAX($E$2:E79))</f>
        <v>21.3469435294118</v>
      </c>
      <c r="G79" s="28" t="n">
        <f aca="false">E79-F79</f>
        <v>-3.28717705882353</v>
      </c>
      <c r="H79" s="25" t="n">
        <f aca="false">IF(G79&gt;=-0.0000001,A79,H78)</f>
        <v>45915</v>
      </c>
      <c r="I79" s="29" t="n">
        <f aca="false">IF(AND(G79&gt;=-0.0000001,G78&lt;0),1,0)</f>
        <v>0</v>
      </c>
      <c r="J79" s="30" t="str">
        <f aca="false">IF(I79=1,A79-H78,"")</f>
        <v/>
      </c>
      <c r="K79" s="27" t="n">
        <f aca="false">IF(B79="Wednesday",0,C79)</f>
        <v>-46533.81</v>
      </c>
      <c r="L79" s="28" t="n">
        <f aca="false">L78+K79/$T$1*100</f>
        <v>14.3581723529412</v>
      </c>
      <c r="M79" s="28" t="n">
        <f aca="false">MAX(0,MAX($L$2:L79))</f>
        <v>17.4390552941177</v>
      </c>
      <c r="N79" s="28" t="n">
        <f aca="false">L79-M79</f>
        <v>-3.08088294117647</v>
      </c>
      <c r="O79" s="25" t="n">
        <f aca="false">IF(N79&gt;=-0.0000001,A79,O78)</f>
        <v>45915</v>
      </c>
      <c r="P79" s="29" t="n">
        <f aca="false">IF(AND(N79&gt;=-0.0000001,N78&lt;0),1,0)</f>
        <v>0</v>
      </c>
      <c r="Q79" s="30" t="str">
        <f aca="false">IF(P79=1,A79-O78,"")</f>
        <v/>
      </c>
    </row>
    <row r="80" customFormat="false" ht="15" hidden="false" customHeight="false" outlineLevel="0" collapsed="false">
      <c r="A80" s="25" t="n">
        <v>45919</v>
      </c>
      <c r="B80" s="26" t="s">
        <v>83</v>
      </c>
      <c r="C80" s="27" t="n">
        <v>31482.6</v>
      </c>
      <c r="D80" s="28" t="n">
        <f aca="false">C80/$T$1*100</f>
        <v>1.85191764705882</v>
      </c>
      <c r="E80" s="28" t="n">
        <f aca="false">E79+D80</f>
        <v>19.9116841176471</v>
      </c>
      <c r="F80" s="28" t="n">
        <f aca="false">MAX(0,MAX($E$2:E80))</f>
        <v>21.3469435294118</v>
      </c>
      <c r="G80" s="28" t="n">
        <f aca="false">E80-F80</f>
        <v>-1.4352594117647</v>
      </c>
      <c r="H80" s="25" t="n">
        <f aca="false">IF(G80&gt;=-0.0000001,A80,H79)</f>
        <v>45915</v>
      </c>
      <c r="I80" s="29" t="n">
        <f aca="false">IF(AND(G80&gt;=-0.0000001,G79&lt;0),1,0)</f>
        <v>0</v>
      </c>
      <c r="J80" s="30" t="str">
        <f aca="false">IF(I80=1,A80-H79,"")</f>
        <v/>
      </c>
      <c r="K80" s="27" t="n">
        <f aca="false">IF(B80="Wednesday",0,C80)</f>
        <v>31482.6</v>
      </c>
      <c r="L80" s="28" t="n">
        <f aca="false">L79+K80/$T$1*100</f>
        <v>16.21009</v>
      </c>
      <c r="M80" s="28" t="n">
        <f aca="false">MAX(0,MAX($L$2:L80))</f>
        <v>17.4390552941177</v>
      </c>
      <c r="N80" s="28" t="n">
        <f aca="false">L80-M80</f>
        <v>-1.22896529411765</v>
      </c>
      <c r="O80" s="25" t="n">
        <f aca="false">IF(N80&gt;=-0.0000001,A80,O79)</f>
        <v>45915</v>
      </c>
      <c r="P80" s="29" t="n">
        <f aca="false">IF(AND(N80&gt;=-0.0000001,N79&lt;0),1,0)</f>
        <v>0</v>
      </c>
      <c r="Q80" s="30" t="str">
        <f aca="false">IF(P80=1,A80-O79,"")</f>
        <v/>
      </c>
    </row>
    <row r="81" customFormat="false" ht="15" hidden="false" customHeight="false" outlineLevel="0" collapsed="false">
      <c r="A81" s="25" t="n">
        <v>45922</v>
      </c>
      <c r="B81" s="26" t="s">
        <v>79</v>
      </c>
      <c r="C81" s="27" t="n">
        <v>40605.53</v>
      </c>
      <c r="D81" s="28" t="n">
        <f aca="false">C81/$T$1*100</f>
        <v>2.38856058823529</v>
      </c>
      <c r="E81" s="28" t="n">
        <f aca="false">E80+D81</f>
        <v>22.3002447058824</v>
      </c>
      <c r="F81" s="28" t="n">
        <f aca="false">MAX(0,MAX($E$2:E81))</f>
        <v>22.3002447058824</v>
      </c>
      <c r="G81" s="28" t="n">
        <f aca="false">E81-F81</f>
        <v>0</v>
      </c>
      <c r="H81" s="25" t="n">
        <f aca="false">IF(G81&gt;=-0.0000001,A81,H80)</f>
        <v>45922</v>
      </c>
      <c r="I81" s="29" t="n">
        <f aca="false">IF(AND(G81&gt;=-0.0000001,G80&lt;0),1,0)</f>
        <v>1</v>
      </c>
      <c r="J81" s="30" t="n">
        <f aca="false">IF(I81=1,A81-H80,"")</f>
        <v>7</v>
      </c>
      <c r="K81" s="27" t="n">
        <f aca="false">IF(B81="Wednesday",0,C81)</f>
        <v>40605.53</v>
      </c>
      <c r="L81" s="28" t="n">
        <f aca="false">L80+K81/$T$1*100</f>
        <v>18.5986505882353</v>
      </c>
      <c r="M81" s="28" t="n">
        <f aca="false">MAX(0,MAX($L$2:L81))</f>
        <v>18.5986505882353</v>
      </c>
      <c r="N81" s="28" t="n">
        <f aca="false">L81-M81</f>
        <v>0</v>
      </c>
      <c r="O81" s="25" t="n">
        <f aca="false">IF(N81&gt;=-0.0000001,A81,O80)</f>
        <v>45922</v>
      </c>
      <c r="P81" s="29" t="n">
        <f aca="false">IF(AND(N81&gt;=-0.0000001,N80&lt;0),1,0)</f>
        <v>1</v>
      </c>
      <c r="Q81" s="30" t="n">
        <f aca="false">IF(P81=1,A81-O80,"")</f>
        <v>7</v>
      </c>
    </row>
    <row r="82" customFormat="false" ht="15" hidden="false" customHeight="false" outlineLevel="0" collapsed="false">
      <c r="A82" s="25" t="n">
        <v>45923</v>
      </c>
      <c r="B82" s="26" t="s">
        <v>80</v>
      </c>
      <c r="C82" s="27" t="n">
        <v>48746.88</v>
      </c>
      <c r="D82" s="28" t="n">
        <f aca="false">C82/$T$1*100</f>
        <v>2.86746352941176</v>
      </c>
      <c r="E82" s="28" t="n">
        <f aca="false">E81+D82</f>
        <v>25.1677082352941</v>
      </c>
      <c r="F82" s="28" t="n">
        <f aca="false">MAX(0,MAX($E$2:E82))</f>
        <v>25.1677082352941</v>
      </c>
      <c r="G82" s="28" t="n">
        <f aca="false">E82-F82</f>
        <v>0</v>
      </c>
      <c r="H82" s="25" t="n">
        <f aca="false">IF(G82&gt;=-0.0000001,A82,H81)</f>
        <v>45923</v>
      </c>
      <c r="I82" s="29" t="n">
        <f aca="false">IF(AND(G82&gt;=-0.0000001,G81&lt;0),1,0)</f>
        <v>0</v>
      </c>
      <c r="J82" s="30" t="str">
        <f aca="false">IF(I82=1,A82-H81,"")</f>
        <v/>
      </c>
      <c r="K82" s="27" t="n">
        <f aca="false">IF(B82="Wednesday",0,C82)</f>
        <v>48746.88</v>
      </c>
      <c r="L82" s="28" t="n">
        <f aca="false">L81+K82/$T$1*100</f>
        <v>21.4661141176471</v>
      </c>
      <c r="M82" s="28" t="n">
        <f aca="false">MAX(0,MAX($L$2:L82))</f>
        <v>21.4661141176471</v>
      </c>
      <c r="N82" s="28" t="n">
        <f aca="false">L82-M82</f>
        <v>0</v>
      </c>
      <c r="O82" s="25" t="n">
        <f aca="false">IF(N82&gt;=-0.0000001,A82,O81)</f>
        <v>45923</v>
      </c>
      <c r="P82" s="29" t="n">
        <f aca="false">IF(AND(N82&gt;=-0.0000001,N81&lt;0),1,0)</f>
        <v>0</v>
      </c>
      <c r="Q82" s="30" t="str">
        <f aca="false">IF(P82=1,A82-O81,"")</f>
        <v/>
      </c>
    </row>
    <row r="83" customFormat="false" ht="15" hidden="false" customHeight="false" outlineLevel="0" collapsed="false">
      <c r="A83" s="25" t="n">
        <v>45924</v>
      </c>
      <c r="B83" s="26" t="s">
        <v>81</v>
      </c>
      <c r="C83" s="27" t="n">
        <v>-8493.75</v>
      </c>
      <c r="D83" s="28" t="n">
        <f aca="false">C83/$T$1*100</f>
        <v>-0.499632352941176</v>
      </c>
      <c r="E83" s="28" t="n">
        <f aca="false">E82+D83</f>
        <v>24.6680758823529</v>
      </c>
      <c r="F83" s="28" t="n">
        <f aca="false">MAX(0,MAX($E$2:E83))</f>
        <v>25.1677082352941</v>
      </c>
      <c r="G83" s="28" t="n">
        <f aca="false">E83-F83</f>
        <v>-0.499632352941177</v>
      </c>
      <c r="H83" s="25" t="n">
        <f aca="false">IF(G83&gt;=-0.0000001,A83,H82)</f>
        <v>45923</v>
      </c>
      <c r="I83" s="29" t="n">
        <f aca="false">IF(AND(G83&gt;=-0.0000001,G82&lt;0),1,0)</f>
        <v>0</v>
      </c>
      <c r="J83" s="30" t="str">
        <f aca="false">IF(I83=1,A83-H82,"")</f>
        <v/>
      </c>
      <c r="K83" s="27" t="n">
        <f aca="false">IF(B83="Wednesday",0,C83)</f>
        <v>0</v>
      </c>
      <c r="L83" s="28" t="n">
        <f aca="false">L82+K83/$T$1*100</f>
        <v>21.4661141176471</v>
      </c>
      <c r="M83" s="28" t="n">
        <f aca="false">MAX(0,MAX($L$2:L83))</f>
        <v>21.4661141176471</v>
      </c>
      <c r="N83" s="28" t="n">
        <f aca="false">L83-M83</f>
        <v>0</v>
      </c>
      <c r="O83" s="25" t="n">
        <f aca="false">IF(N83&gt;=-0.0000001,A83,O82)</f>
        <v>45924</v>
      </c>
      <c r="P83" s="29" t="n">
        <f aca="false">IF(AND(N83&gt;=-0.0000001,N82&lt;0),1,0)</f>
        <v>0</v>
      </c>
      <c r="Q83" s="30" t="str">
        <f aca="false">IF(P83=1,A83-O82,"")</f>
        <v/>
      </c>
    </row>
    <row r="84" customFormat="false" ht="15" hidden="false" customHeight="false" outlineLevel="0" collapsed="false">
      <c r="A84" s="25" t="n">
        <v>45925</v>
      </c>
      <c r="B84" s="26" t="s">
        <v>82</v>
      </c>
      <c r="C84" s="27" t="n">
        <v>-6504.23</v>
      </c>
      <c r="D84" s="28" t="n">
        <f aca="false">C84/$T$1*100</f>
        <v>-0.382601764705882</v>
      </c>
      <c r="E84" s="28" t="n">
        <f aca="false">E83+D84</f>
        <v>24.2854741176471</v>
      </c>
      <c r="F84" s="28" t="n">
        <f aca="false">MAX(0,MAX($E$2:E84))</f>
        <v>25.1677082352941</v>
      </c>
      <c r="G84" s="28" t="n">
        <f aca="false">E84-F84</f>
        <v>-0.882234117647059</v>
      </c>
      <c r="H84" s="25" t="n">
        <f aca="false">IF(G84&gt;=-0.0000001,A84,H83)</f>
        <v>45923</v>
      </c>
      <c r="I84" s="29" t="n">
        <f aca="false">IF(AND(G84&gt;=-0.0000001,G83&lt;0),1,0)</f>
        <v>0</v>
      </c>
      <c r="J84" s="30" t="str">
        <f aca="false">IF(I84=1,A84-H83,"")</f>
        <v/>
      </c>
      <c r="K84" s="27" t="n">
        <f aca="false">IF(B84="Wednesday",0,C84)</f>
        <v>-6504.23</v>
      </c>
      <c r="L84" s="28" t="n">
        <f aca="false">L83+K84/$T$1*100</f>
        <v>21.0835123529412</v>
      </c>
      <c r="M84" s="28" t="n">
        <f aca="false">MAX(0,MAX($L$2:L84))</f>
        <v>21.4661141176471</v>
      </c>
      <c r="N84" s="28" t="n">
        <f aca="false">L84-M84</f>
        <v>-0.382601764705882</v>
      </c>
      <c r="O84" s="25" t="n">
        <f aca="false">IF(N84&gt;=-0.0000001,A84,O83)</f>
        <v>45924</v>
      </c>
      <c r="P84" s="29" t="n">
        <f aca="false">IF(AND(N84&gt;=-0.0000001,N83&lt;0),1,0)</f>
        <v>0</v>
      </c>
      <c r="Q84" s="30" t="str">
        <f aca="false">IF(P84=1,A84-O83,"")</f>
        <v/>
      </c>
    </row>
    <row r="85" customFormat="false" ht="15" hidden="false" customHeight="false" outlineLevel="0" collapsed="false">
      <c r="A85" s="25" t="n">
        <v>45926</v>
      </c>
      <c r="B85" s="26" t="s">
        <v>83</v>
      </c>
      <c r="C85" s="27" t="n">
        <v>46288.93</v>
      </c>
      <c r="D85" s="28" t="n">
        <f aca="false">C85/$T$1*100</f>
        <v>2.72287823529412</v>
      </c>
      <c r="E85" s="28" t="n">
        <f aca="false">E84+D85</f>
        <v>27.0083523529412</v>
      </c>
      <c r="F85" s="28" t="n">
        <f aca="false">MAX(0,MAX($E$2:E85))</f>
        <v>27.0083523529412</v>
      </c>
      <c r="G85" s="28" t="n">
        <f aca="false">E85-F85</f>
        <v>0</v>
      </c>
      <c r="H85" s="25" t="n">
        <f aca="false">IF(G85&gt;=-0.0000001,A85,H84)</f>
        <v>45926</v>
      </c>
      <c r="I85" s="29" t="n">
        <f aca="false">IF(AND(G85&gt;=-0.0000001,G84&lt;0),1,0)</f>
        <v>1</v>
      </c>
      <c r="J85" s="30" t="n">
        <f aca="false">IF(I85=1,A85-H84,"")</f>
        <v>3</v>
      </c>
      <c r="K85" s="27" t="n">
        <f aca="false">IF(B85="Wednesday",0,C85)</f>
        <v>46288.93</v>
      </c>
      <c r="L85" s="28" t="n">
        <f aca="false">L84+K85/$T$1*100</f>
        <v>23.8063905882353</v>
      </c>
      <c r="M85" s="28" t="n">
        <f aca="false">MAX(0,MAX($L$2:L85))</f>
        <v>23.8063905882353</v>
      </c>
      <c r="N85" s="28" t="n">
        <f aca="false">L85-M85</f>
        <v>0</v>
      </c>
      <c r="O85" s="25" t="n">
        <f aca="false">IF(N85&gt;=-0.0000001,A85,O84)</f>
        <v>45926</v>
      </c>
      <c r="P85" s="29" t="n">
        <f aca="false">IF(AND(N85&gt;=-0.0000001,N84&lt;0),1,0)</f>
        <v>1</v>
      </c>
      <c r="Q85" s="30" t="n">
        <f aca="false">IF(P85=1,A85-O84,"")</f>
        <v>2</v>
      </c>
    </row>
    <row r="86" customFormat="false" ht="15" hidden="false" customHeight="false" outlineLevel="0" collapsed="false">
      <c r="A86" s="25" t="n">
        <v>45929</v>
      </c>
      <c r="B86" s="26" t="s">
        <v>79</v>
      </c>
      <c r="C86" s="27" t="n">
        <v>51893.05</v>
      </c>
      <c r="D86" s="28" t="n">
        <f aca="false">C86/$T$1*100</f>
        <v>3.05253235294118</v>
      </c>
      <c r="E86" s="28" t="n">
        <f aca="false">E85+D86</f>
        <v>30.0608847058824</v>
      </c>
      <c r="F86" s="28" t="n">
        <f aca="false">MAX(0,MAX($E$2:E86))</f>
        <v>30.0608847058824</v>
      </c>
      <c r="G86" s="28" t="n">
        <f aca="false">E86-F86</f>
        <v>0</v>
      </c>
      <c r="H86" s="25" t="n">
        <f aca="false">IF(G86&gt;=-0.0000001,A86,H85)</f>
        <v>45929</v>
      </c>
      <c r="I86" s="29" t="n">
        <f aca="false">IF(AND(G86&gt;=-0.0000001,G85&lt;0),1,0)</f>
        <v>0</v>
      </c>
      <c r="J86" s="30" t="str">
        <f aca="false">IF(I86=1,A86-H85,"")</f>
        <v/>
      </c>
      <c r="K86" s="27" t="n">
        <f aca="false">IF(B86="Wednesday",0,C86)</f>
        <v>51893.05</v>
      </c>
      <c r="L86" s="28" t="n">
        <f aca="false">L85+K86/$T$1*100</f>
        <v>26.8589229411765</v>
      </c>
      <c r="M86" s="28" t="n">
        <f aca="false">MAX(0,MAX($L$2:L86))</f>
        <v>26.8589229411765</v>
      </c>
      <c r="N86" s="28" t="n">
        <f aca="false">L86-M86</f>
        <v>0</v>
      </c>
      <c r="O86" s="25" t="n">
        <f aca="false">IF(N86&gt;=-0.0000001,A86,O85)</f>
        <v>45929</v>
      </c>
      <c r="P86" s="29" t="n">
        <f aca="false">IF(AND(N86&gt;=-0.0000001,N85&lt;0),1,0)</f>
        <v>0</v>
      </c>
      <c r="Q86" s="30" t="str">
        <f aca="false">IF(P86=1,A86-O85,"")</f>
        <v/>
      </c>
    </row>
    <row r="87" customFormat="false" ht="15" hidden="false" customHeight="false" outlineLevel="0" collapsed="false">
      <c r="A87" s="25" t="n">
        <v>45930</v>
      </c>
      <c r="B87" s="26" t="s">
        <v>80</v>
      </c>
      <c r="C87" s="27" t="n">
        <v>70415.74</v>
      </c>
      <c r="D87" s="28" t="n">
        <f aca="false">C87/$T$1*100</f>
        <v>4.14210235294118</v>
      </c>
      <c r="E87" s="28" t="n">
        <f aca="false">E86+D87</f>
        <v>34.2029870588235</v>
      </c>
      <c r="F87" s="28" t="n">
        <f aca="false">MAX(0,MAX($E$2:E87))</f>
        <v>34.2029870588235</v>
      </c>
      <c r="G87" s="28" t="n">
        <f aca="false">E87-F87</f>
        <v>0</v>
      </c>
      <c r="H87" s="25" t="n">
        <f aca="false">IF(G87&gt;=-0.0000001,A87,H86)</f>
        <v>45930</v>
      </c>
      <c r="I87" s="29" t="n">
        <f aca="false">IF(AND(G87&gt;=-0.0000001,G86&lt;0),1,0)</f>
        <v>0</v>
      </c>
      <c r="J87" s="30" t="str">
        <f aca="false">IF(I87=1,A87-H86,"")</f>
        <v/>
      </c>
      <c r="K87" s="27" t="n">
        <f aca="false">IF(B87="Wednesday",0,C87)</f>
        <v>70415.74</v>
      </c>
      <c r="L87" s="28" t="n">
        <f aca="false">L86+K87/$T$1*100</f>
        <v>31.0010252941177</v>
      </c>
      <c r="M87" s="28" t="n">
        <f aca="false">MAX(0,MAX($L$2:L87))</f>
        <v>31.0010252941177</v>
      </c>
      <c r="N87" s="28" t="n">
        <f aca="false">L87-M87</f>
        <v>0</v>
      </c>
      <c r="O87" s="25" t="n">
        <f aca="false">IF(N87&gt;=-0.0000001,A87,O86)</f>
        <v>45930</v>
      </c>
      <c r="P87" s="29" t="n">
        <f aca="false">IF(AND(N87&gt;=-0.0000001,N86&lt;0),1,0)</f>
        <v>0</v>
      </c>
      <c r="Q87" s="30" t="str">
        <f aca="false">IF(P87=1,A87-O86,"")</f>
        <v/>
      </c>
    </row>
    <row r="88" customFormat="false" ht="15" hidden="false" customHeight="false" outlineLevel="0" collapsed="false">
      <c r="A88" s="25" t="n">
        <v>45931</v>
      </c>
      <c r="B88" s="26" t="s">
        <v>81</v>
      </c>
      <c r="C88" s="27" t="n">
        <v>-35492.75</v>
      </c>
      <c r="D88" s="28" t="n">
        <f aca="false">C88/$T$1*100</f>
        <v>-2.08780882352941</v>
      </c>
      <c r="E88" s="28" t="n">
        <f aca="false">E87+D88</f>
        <v>32.1151782352941</v>
      </c>
      <c r="F88" s="28" t="n">
        <f aca="false">MAX(0,MAX($E$2:E88))</f>
        <v>34.2029870588235</v>
      </c>
      <c r="G88" s="28" t="n">
        <f aca="false">E88-F88</f>
        <v>-2.08780882352941</v>
      </c>
      <c r="H88" s="25" t="n">
        <f aca="false">IF(G88&gt;=-0.0000001,A88,H87)</f>
        <v>45930</v>
      </c>
      <c r="I88" s="29" t="n">
        <f aca="false">IF(AND(G88&gt;=-0.0000001,G87&lt;0),1,0)</f>
        <v>0</v>
      </c>
      <c r="J88" s="30" t="str">
        <f aca="false">IF(I88=1,A88-H87,"")</f>
        <v/>
      </c>
      <c r="K88" s="27" t="n">
        <f aca="false">IF(B88="Wednesday",0,C88)</f>
        <v>0</v>
      </c>
      <c r="L88" s="28" t="n">
        <f aca="false">L87+K88/$T$1*100</f>
        <v>31.0010252941177</v>
      </c>
      <c r="M88" s="28" t="n">
        <f aca="false">MAX(0,MAX($L$2:L88))</f>
        <v>31.0010252941177</v>
      </c>
      <c r="N88" s="28" t="n">
        <f aca="false">L88-M88</f>
        <v>0</v>
      </c>
      <c r="O88" s="25" t="n">
        <f aca="false">IF(N88&gt;=-0.0000001,A88,O87)</f>
        <v>45931</v>
      </c>
      <c r="P88" s="29" t="n">
        <f aca="false">IF(AND(N88&gt;=-0.0000001,N87&lt;0),1,0)</f>
        <v>0</v>
      </c>
      <c r="Q88" s="30" t="str">
        <f aca="false">IF(P88=1,A88-O87,"")</f>
        <v/>
      </c>
    </row>
    <row r="89" customFormat="false" ht="15" hidden="false" customHeight="false" outlineLevel="0" collapsed="false">
      <c r="A89" s="25" t="n">
        <v>45933</v>
      </c>
      <c r="B89" s="26" t="s">
        <v>83</v>
      </c>
      <c r="C89" s="27" t="n">
        <v>-15187.5</v>
      </c>
      <c r="D89" s="28" t="n">
        <f aca="false">C89/$T$1*100</f>
        <v>-0.893382352941177</v>
      </c>
      <c r="E89" s="28" t="n">
        <f aca="false">E88+D89</f>
        <v>31.2217958823529</v>
      </c>
      <c r="F89" s="28" t="n">
        <f aca="false">MAX(0,MAX($E$2:E89))</f>
        <v>34.2029870588235</v>
      </c>
      <c r="G89" s="28" t="n">
        <f aca="false">E89-F89</f>
        <v>-2.98119117647059</v>
      </c>
      <c r="H89" s="25" t="n">
        <f aca="false">IF(G89&gt;=-0.0000001,A89,H88)</f>
        <v>45930</v>
      </c>
      <c r="I89" s="29" t="n">
        <f aca="false">IF(AND(G89&gt;=-0.0000001,G88&lt;0),1,0)</f>
        <v>0</v>
      </c>
      <c r="J89" s="30" t="str">
        <f aca="false">IF(I89=1,A89-H88,"")</f>
        <v/>
      </c>
      <c r="K89" s="27" t="n">
        <f aca="false">IF(B89="Wednesday",0,C89)</f>
        <v>-15187.5</v>
      </c>
      <c r="L89" s="28" t="n">
        <f aca="false">L88+K89/$T$1*100</f>
        <v>30.1076429411765</v>
      </c>
      <c r="M89" s="28" t="n">
        <f aca="false">MAX(0,MAX($L$2:L89))</f>
        <v>31.0010252941177</v>
      </c>
      <c r="N89" s="28" t="n">
        <f aca="false">L89-M89</f>
        <v>-0.893382352941178</v>
      </c>
      <c r="O89" s="25" t="n">
        <f aca="false">IF(N89&gt;=-0.0000001,A89,O88)</f>
        <v>45931</v>
      </c>
      <c r="P89" s="29" t="n">
        <f aca="false">IF(AND(N89&gt;=-0.0000001,N88&lt;0),1,0)</f>
        <v>0</v>
      </c>
      <c r="Q89" s="30" t="str">
        <f aca="false">IF(P89=1,A89-O88,"")</f>
        <v/>
      </c>
    </row>
    <row r="90" customFormat="false" ht="15" hidden="false" customHeight="false" outlineLevel="0" collapsed="false">
      <c r="A90" s="25" t="n">
        <v>45936</v>
      </c>
      <c r="B90" s="26" t="s">
        <v>79</v>
      </c>
      <c r="C90" s="27" t="n">
        <v>-27772.19</v>
      </c>
      <c r="D90" s="28" t="n">
        <f aca="false">C90/$T$1*100</f>
        <v>-1.63365823529412</v>
      </c>
      <c r="E90" s="28" t="n">
        <f aca="false">E89+D90</f>
        <v>29.5881376470588</v>
      </c>
      <c r="F90" s="28" t="n">
        <f aca="false">MAX(0,MAX($E$2:E90))</f>
        <v>34.2029870588235</v>
      </c>
      <c r="G90" s="28" t="n">
        <f aca="false">E90-F90</f>
        <v>-4.61484941176471</v>
      </c>
      <c r="H90" s="25" t="n">
        <f aca="false">IF(G90&gt;=-0.0000001,A90,H89)</f>
        <v>45930</v>
      </c>
      <c r="I90" s="29" t="n">
        <f aca="false">IF(AND(G90&gt;=-0.0000001,G89&lt;0),1,0)</f>
        <v>0</v>
      </c>
      <c r="J90" s="30" t="str">
        <f aca="false">IF(I90=1,A90-H89,"")</f>
        <v/>
      </c>
      <c r="K90" s="27" t="n">
        <f aca="false">IF(B90="Wednesday",0,C90)</f>
        <v>-27772.19</v>
      </c>
      <c r="L90" s="28" t="n">
        <f aca="false">L89+K90/$T$1*100</f>
        <v>28.4739847058824</v>
      </c>
      <c r="M90" s="28" t="n">
        <f aca="false">MAX(0,MAX($L$2:L90))</f>
        <v>31.0010252941177</v>
      </c>
      <c r="N90" s="28" t="n">
        <f aca="false">L90-M90</f>
        <v>-2.52704058823529</v>
      </c>
      <c r="O90" s="25" t="n">
        <f aca="false">IF(N90&gt;=-0.0000001,A90,O89)</f>
        <v>45931</v>
      </c>
      <c r="P90" s="29" t="n">
        <f aca="false">IF(AND(N90&gt;=-0.0000001,N89&lt;0),1,0)</f>
        <v>0</v>
      </c>
      <c r="Q90" s="30" t="str">
        <f aca="false">IF(P90=1,A90-O89,"")</f>
        <v/>
      </c>
    </row>
    <row r="91" customFormat="false" ht="15" hidden="false" customHeight="false" outlineLevel="0" collapsed="false">
      <c r="A91" s="25" t="n">
        <v>45937</v>
      </c>
      <c r="B91" s="26" t="s">
        <v>80</v>
      </c>
      <c r="C91" s="27" t="n">
        <v>22196.87</v>
      </c>
      <c r="D91" s="28" t="n">
        <f aca="false">C91/$T$1*100</f>
        <v>1.30569823529412</v>
      </c>
      <c r="E91" s="28" t="n">
        <f aca="false">E90+D91</f>
        <v>30.8938358823529</v>
      </c>
      <c r="F91" s="28" t="n">
        <f aca="false">MAX(0,MAX($E$2:E91))</f>
        <v>34.2029870588235</v>
      </c>
      <c r="G91" s="28" t="n">
        <f aca="false">E91-F91</f>
        <v>-3.30915117647059</v>
      </c>
      <c r="H91" s="25" t="n">
        <f aca="false">IF(G91&gt;=-0.0000001,A91,H90)</f>
        <v>45930</v>
      </c>
      <c r="I91" s="29" t="n">
        <f aca="false">IF(AND(G91&gt;=-0.0000001,G90&lt;0),1,0)</f>
        <v>0</v>
      </c>
      <c r="J91" s="30" t="str">
        <f aca="false">IF(I91=1,A91-H90,"")</f>
        <v/>
      </c>
      <c r="K91" s="27" t="n">
        <f aca="false">IF(B91="Wednesday",0,C91)</f>
        <v>22196.87</v>
      </c>
      <c r="L91" s="28" t="n">
        <f aca="false">L90+K91/$T$1*100</f>
        <v>29.7796829411765</v>
      </c>
      <c r="M91" s="28" t="n">
        <f aca="false">MAX(0,MAX($L$2:L91))</f>
        <v>31.0010252941177</v>
      </c>
      <c r="N91" s="28" t="n">
        <f aca="false">L91-M91</f>
        <v>-1.22134235294118</v>
      </c>
      <c r="O91" s="25" t="n">
        <f aca="false">IF(N91&gt;=-0.0000001,A91,O90)</f>
        <v>45931</v>
      </c>
      <c r="P91" s="29" t="n">
        <f aca="false">IF(AND(N91&gt;=-0.0000001,N90&lt;0),1,0)</f>
        <v>0</v>
      </c>
      <c r="Q91" s="30" t="str">
        <f aca="false">IF(P91=1,A91-O90,"")</f>
        <v/>
      </c>
    </row>
    <row r="92" customFormat="false" ht="15" hidden="false" customHeight="false" outlineLevel="0" collapsed="false">
      <c r="A92" s="25" t="n">
        <v>45938</v>
      </c>
      <c r="B92" s="26" t="s">
        <v>81</v>
      </c>
      <c r="C92" s="27" t="n">
        <v>2666.17</v>
      </c>
      <c r="D92" s="28" t="n">
        <f aca="false">C92/$T$1*100</f>
        <v>0.156833529411765</v>
      </c>
      <c r="E92" s="28" t="n">
        <f aca="false">E91+D92</f>
        <v>31.0506694117647</v>
      </c>
      <c r="F92" s="28" t="n">
        <f aca="false">MAX(0,MAX($E$2:E92))</f>
        <v>34.2029870588235</v>
      </c>
      <c r="G92" s="28" t="n">
        <f aca="false">E92-F92</f>
        <v>-3.15231764705883</v>
      </c>
      <c r="H92" s="25" t="n">
        <f aca="false">IF(G92&gt;=-0.0000001,A92,H91)</f>
        <v>45930</v>
      </c>
      <c r="I92" s="29" t="n">
        <f aca="false">IF(AND(G92&gt;=-0.0000001,G91&lt;0),1,0)</f>
        <v>0</v>
      </c>
      <c r="J92" s="30" t="str">
        <f aca="false">IF(I92=1,A92-H91,"")</f>
        <v/>
      </c>
      <c r="K92" s="27" t="n">
        <f aca="false">IF(B92="Wednesday",0,C92)</f>
        <v>0</v>
      </c>
      <c r="L92" s="28" t="n">
        <f aca="false">L91+K92/$T$1*100</f>
        <v>29.7796829411765</v>
      </c>
      <c r="M92" s="28" t="n">
        <f aca="false">MAX(0,MAX($L$2:L92))</f>
        <v>31.0010252941177</v>
      </c>
      <c r="N92" s="28" t="n">
        <f aca="false">L92-M92</f>
        <v>-1.22134235294118</v>
      </c>
      <c r="O92" s="25" t="n">
        <f aca="false">IF(N92&gt;=-0.0000001,A92,O91)</f>
        <v>45931</v>
      </c>
      <c r="P92" s="29" t="n">
        <f aca="false">IF(AND(N92&gt;=-0.0000001,N91&lt;0),1,0)</f>
        <v>0</v>
      </c>
      <c r="Q92" s="30" t="str">
        <f aca="false">IF(P92=1,A92-O91,"")</f>
        <v/>
      </c>
    </row>
    <row r="93" customFormat="false" ht="15" hidden="false" customHeight="false" outlineLevel="0" collapsed="false">
      <c r="A93" s="25" t="n">
        <v>45939</v>
      </c>
      <c r="B93" s="26" t="s">
        <v>82</v>
      </c>
      <c r="C93" s="27" t="n">
        <v>31993</v>
      </c>
      <c r="D93" s="28" t="n">
        <f aca="false">C93/$T$1*100</f>
        <v>1.88194117647059</v>
      </c>
      <c r="E93" s="28" t="n">
        <f aca="false">E92+D93</f>
        <v>32.9326105882353</v>
      </c>
      <c r="F93" s="28" t="n">
        <f aca="false">MAX(0,MAX($E$2:E93))</f>
        <v>34.2029870588235</v>
      </c>
      <c r="G93" s="28" t="n">
        <f aca="false">E93-F93</f>
        <v>-1.27037647058824</v>
      </c>
      <c r="H93" s="25" t="n">
        <f aca="false">IF(G93&gt;=-0.0000001,A93,H92)</f>
        <v>45930</v>
      </c>
      <c r="I93" s="29" t="n">
        <f aca="false">IF(AND(G93&gt;=-0.0000001,G92&lt;0),1,0)</f>
        <v>0</v>
      </c>
      <c r="J93" s="30" t="str">
        <f aca="false">IF(I93=1,A93-H92,"")</f>
        <v/>
      </c>
      <c r="K93" s="27" t="n">
        <f aca="false">IF(B93="Wednesday",0,C93)</f>
        <v>31993</v>
      </c>
      <c r="L93" s="28" t="n">
        <f aca="false">L92+K93/$T$1*100</f>
        <v>31.6616241176471</v>
      </c>
      <c r="M93" s="28" t="n">
        <f aca="false">MAX(0,MAX($L$2:L93))</f>
        <v>31.6616241176471</v>
      </c>
      <c r="N93" s="28" t="n">
        <f aca="false">L93-M93</f>
        <v>0</v>
      </c>
      <c r="O93" s="25" t="n">
        <f aca="false">IF(N93&gt;=-0.0000001,A93,O92)</f>
        <v>45939</v>
      </c>
      <c r="P93" s="29" t="n">
        <f aca="false">IF(AND(N93&gt;=-0.0000001,N92&lt;0),1,0)</f>
        <v>1</v>
      </c>
      <c r="Q93" s="30" t="n">
        <f aca="false">IF(P93=1,A93-O92,"")</f>
        <v>8</v>
      </c>
    </row>
    <row r="94" customFormat="false" ht="15" hidden="false" customHeight="false" outlineLevel="0" collapsed="false">
      <c r="A94" s="25" t="n">
        <v>45940</v>
      </c>
      <c r="B94" s="26" t="s">
        <v>83</v>
      </c>
      <c r="C94" s="27" t="n">
        <v>-13617.05</v>
      </c>
      <c r="D94" s="28" t="n">
        <f aca="false">C94/$T$1*100</f>
        <v>-0.801002941176471</v>
      </c>
      <c r="E94" s="28" t="n">
        <f aca="false">E93+D94</f>
        <v>32.1316076470588</v>
      </c>
      <c r="F94" s="28" t="n">
        <f aca="false">MAX(0,MAX($E$2:E94))</f>
        <v>34.2029870588235</v>
      </c>
      <c r="G94" s="28" t="n">
        <f aca="false">E94-F94</f>
        <v>-2.07137941176471</v>
      </c>
      <c r="H94" s="25" t="n">
        <f aca="false">IF(G94&gt;=-0.0000001,A94,H93)</f>
        <v>45930</v>
      </c>
      <c r="I94" s="29" t="n">
        <f aca="false">IF(AND(G94&gt;=-0.0000001,G93&lt;0),1,0)</f>
        <v>0</v>
      </c>
      <c r="J94" s="30" t="str">
        <f aca="false">IF(I94=1,A94-H93,"")</f>
        <v/>
      </c>
      <c r="K94" s="27" t="n">
        <f aca="false">IF(B94="Wednesday",0,C94)</f>
        <v>-13617.05</v>
      </c>
      <c r="L94" s="28" t="n">
        <f aca="false">L93+K94/$T$1*100</f>
        <v>30.8606211764706</v>
      </c>
      <c r="M94" s="28" t="n">
        <f aca="false">MAX(0,MAX($L$2:L94))</f>
        <v>31.6616241176471</v>
      </c>
      <c r="N94" s="28" t="n">
        <f aca="false">L94-M94</f>
        <v>-0.801002941176471</v>
      </c>
      <c r="O94" s="25" t="n">
        <f aca="false">IF(N94&gt;=-0.0000001,A94,O93)</f>
        <v>45939</v>
      </c>
      <c r="P94" s="29" t="n">
        <f aca="false">IF(AND(N94&gt;=-0.0000001,N93&lt;0),1,0)</f>
        <v>0</v>
      </c>
      <c r="Q94" s="30" t="str">
        <f aca="false">IF(P94=1,A94-O93,"")</f>
        <v/>
      </c>
    </row>
    <row r="95" customFormat="false" ht="15" hidden="false" customHeight="false" outlineLevel="0" collapsed="false">
      <c r="A95" s="25" t="n">
        <v>45943</v>
      </c>
      <c r="B95" s="26" t="s">
        <v>79</v>
      </c>
      <c r="C95" s="27" t="n">
        <v>2715.11</v>
      </c>
      <c r="D95" s="28" t="n">
        <f aca="false">C95/$T$1*100</f>
        <v>0.159712352941176</v>
      </c>
      <c r="E95" s="28" t="n">
        <f aca="false">E94+D95</f>
        <v>32.29132</v>
      </c>
      <c r="F95" s="28" t="n">
        <f aca="false">MAX(0,MAX($E$2:E95))</f>
        <v>34.2029870588235</v>
      </c>
      <c r="G95" s="28" t="n">
        <f aca="false">E95-F95</f>
        <v>-1.91166705882353</v>
      </c>
      <c r="H95" s="25" t="n">
        <f aca="false">IF(G95&gt;=-0.0000001,A95,H94)</f>
        <v>45930</v>
      </c>
      <c r="I95" s="29" t="n">
        <f aca="false">IF(AND(G95&gt;=-0.0000001,G94&lt;0),1,0)</f>
        <v>0</v>
      </c>
      <c r="J95" s="30" t="str">
        <f aca="false">IF(I95=1,A95-H94,"")</f>
        <v/>
      </c>
      <c r="K95" s="27" t="n">
        <f aca="false">IF(B95="Wednesday",0,C95)</f>
        <v>2715.11</v>
      </c>
      <c r="L95" s="28" t="n">
        <f aca="false">L94+K95/$T$1*100</f>
        <v>31.0203335294118</v>
      </c>
      <c r="M95" s="28" t="n">
        <f aca="false">MAX(0,MAX($L$2:L95))</f>
        <v>31.6616241176471</v>
      </c>
      <c r="N95" s="28" t="n">
        <f aca="false">L95-M95</f>
        <v>-0.641290588235293</v>
      </c>
      <c r="O95" s="25" t="n">
        <f aca="false">IF(N95&gt;=-0.0000001,A95,O94)</f>
        <v>45939</v>
      </c>
      <c r="P95" s="29" t="n">
        <f aca="false">IF(AND(N95&gt;=-0.0000001,N94&lt;0),1,0)</f>
        <v>0</v>
      </c>
      <c r="Q95" s="30" t="str">
        <f aca="false">IF(P95=1,A95-O94,"")</f>
        <v/>
      </c>
    </row>
    <row r="96" customFormat="false" ht="15" hidden="false" customHeight="false" outlineLevel="0" collapsed="false">
      <c r="A96" s="25" t="n">
        <v>45944</v>
      </c>
      <c r="B96" s="26" t="s">
        <v>80</v>
      </c>
      <c r="C96" s="27" t="n">
        <v>1629.76</v>
      </c>
      <c r="D96" s="28" t="n">
        <f aca="false">C96/$T$1*100</f>
        <v>0.0958682352941176</v>
      </c>
      <c r="E96" s="28" t="n">
        <f aca="false">E95+D96</f>
        <v>32.3871882352941</v>
      </c>
      <c r="F96" s="28" t="n">
        <f aca="false">MAX(0,MAX($E$2:E96))</f>
        <v>34.2029870588235</v>
      </c>
      <c r="G96" s="28" t="n">
        <f aca="false">E96-F96</f>
        <v>-1.81579882352941</v>
      </c>
      <c r="H96" s="25" t="n">
        <f aca="false">IF(G96&gt;=-0.0000001,A96,H95)</f>
        <v>45930</v>
      </c>
      <c r="I96" s="29" t="n">
        <f aca="false">IF(AND(G96&gt;=-0.0000001,G95&lt;0),1,0)</f>
        <v>0</v>
      </c>
      <c r="J96" s="30" t="str">
        <f aca="false">IF(I96=1,A96-H95,"")</f>
        <v/>
      </c>
      <c r="K96" s="27" t="n">
        <f aca="false">IF(B96="Wednesday",0,C96)</f>
        <v>1629.76</v>
      </c>
      <c r="L96" s="28" t="n">
        <f aca="false">L95+K96/$T$1*100</f>
        <v>31.1162017647059</v>
      </c>
      <c r="M96" s="28" t="n">
        <f aca="false">MAX(0,MAX($L$2:L96))</f>
        <v>31.6616241176471</v>
      </c>
      <c r="N96" s="28" t="n">
        <f aca="false">L96-M96</f>
        <v>-0.545422352941177</v>
      </c>
      <c r="O96" s="25" t="n">
        <f aca="false">IF(N96&gt;=-0.0000001,A96,O95)</f>
        <v>45939</v>
      </c>
      <c r="P96" s="29" t="n">
        <f aca="false">IF(AND(N96&gt;=-0.0000001,N95&lt;0),1,0)</f>
        <v>0</v>
      </c>
      <c r="Q96" s="30" t="str">
        <f aca="false">IF(P96=1,A96-O95,"")</f>
        <v/>
      </c>
    </row>
    <row r="97" customFormat="false" ht="15" hidden="false" customHeight="false" outlineLevel="0" collapsed="false">
      <c r="A97" s="25" t="n">
        <v>45945</v>
      </c>
      <c r="B97" s="26" t="s">
        <v>81</v>
      </c>
      <c r="C97" s="27" t="n">
        <v>6969</v>
      </c>
      <c r="D97" s="28" t="n">
        <f aca="false">C97/$T$1*100</f>
        <v>0.409941176470588</v>
      </c>
      <c r="E97" s="28" t="n">
        <f aca="false">E96+D97</f>
        <v>32.7971294117647</v>
      </c>
      <c r="F97" s="28" t="n">
        <f aca="false">MAX(0,MAX($E$2:E97))</f>
        <v>34.2029870588235</v>
      </c>
      <c r="G97" s="28" t="n">
        <f aca="false">E97-F97</f>
        <v>-1.40585764705882</v>
      </c>
      <c r="H97" s="25" t="n">
        <f aca="false">IF(G97&gt;=-0.0000001,A97,H96)</f>
        <v>45930</v>
      </c>
      <c r="I97" s="29" t="n">
        <f aca="false">IF(AND(G97&gt;=-0.0000001,G96&lt;0),1,0)</f>
        <v>0</v>
      </c>
      <c r="J97" s="30" t="str">
        <f aca="false">IF(I97=1,A97-H96,"")</f>
        <v/>
      </c>
      <c r="K97" s="27" t="n">
        <f aca="false">IF(B97="Wednesday",0,C97)</f>
        <v>0</v>
      </c>
      <c r="L97" s="28" t="n">
        <f aca="false">L96+K97/$T$1*100</f>
        <v>31.1162017647059</v>
      </c>
      <c r="M97" s="28" t="n">
        <f aca="false">MAX(0,MAX($L$2:L97))</f>
        <v>31.6616241176471</v>
      </c>
      <c r="N97" s="28" t="n">
        <f aca="false">L97-M97</f>
        <v>-0.545422352941177</v>
      </c>
      <c r="O97" s="25" t="n">
        <f aca="false">IF(N97&gt;=-0.0000001,A97,O96)</f>
        <v>45939</v>
      </c>
      <c r="P97" s="29" t="n">
        <f aca="false">IF(AND(N97&gt;=-0.0000001,N96&lt;0),1,0)</f>
        <v>0</v>
      </c>
      <c r="Q97" s="30" t="str">
        <f aca="false">IF(P97=1,A97-O96,"")</f>
        <v/>
      </c>
    </row>
    <row r="98" customFormat="false" ht="15" hidden="false" customHeight="false" outlineLevel="0" collapsed="false">
      <c r="A98" s="25" t="n">
        <v>45946</v>
      </c>
      <c r="B98" s="26" t="s">
        <v>82</v>
      </c>
      <c r="C98" s="27" t="n">
        <v>44751.01</v>
      </c>
      <c r="D98" s="28" t="n">
        <f aca="false">C98/$T$1*100</f>
        <v>2.63241235294118</v>
      </c>
      <c r="E98" s="28" t="n">
        <f aca="false">E97+D98</f>
        <v>35.4295417647059</v>
      </c>
      <c r="F98" s="28" t="n">
        <f aca="false">MAX(0,MAX($E$2:E98))</f>
        <v>35.4295417647059</v>
      </c>
      <c r="G98" s="28" t="n">
        <f aca="false">E98-F98</f>
        <v>0</v>
      </c>
      <c r="H98" s="25" t="n">
        <f aca="false">IF(G98&gt;=-0.0000001,A98,H97)</f>
        <v>45946</v>
      </c>
      <c r="I98" s="29" t="n">
        <f aca="false">IF(AND(G98&gt;=-0.0000001,G97&lt;0),1,0)</f>
        <v>1</v>
      </c>
      <c r="J98" s="30" t="n">
        <f aca="false">IF(I98=1,A98-H97,"")</f>
        <v>16</v>
      </c>
      <c r="K98" s="27" t="n">
        <f aca="false">IF(B98="Wednesday",0,C98)</f>
        <v>44751.01</v>
      </c>
      <c r="L98" s="28" t="n">
        <f aca="false">L97+K98/$T$1*100</f>
        <v>33.7486141176471</v>
      </c>
      <c r="M98" s="28" t="n">
        <f aca="false">MAX(0,MAX($L$2:L98))</f>
        <v>33.7486141176471</v>
      </c>
      <c r="N98" s="28" t="n">
        <f aca="false">L98-M98</f>
        <v>0</v>
      </c>
      <c r="O98" s="25" t="n">
        <f aca="false">IF(N98&gt;=-0.0000001,A98,O97)</f>
        <v>45946</v>
      </c>
      <c r="P98" s="29" t="n">
        <f aca="false">IF(AND(N98&gt;=-0.0000001,N97&lt;0),1,0)</f>
        <v>1</v>
      </c>
      <c r="Q98" s="30" t="n">
        <f aca="false">IF(P98=1,A98-O97,"")</f>
        <v>7</v>
      </c>
    </row>
    <row r="99" customFormat="false" ht="15" hidden="false" customHeight="false" outlineLevel="0" collapsed="false">
      <c r="A99" s="25" t="n">
        <v>45947</v>
      </c>
      <c r="B99" s="26" t="s">
        <v>83</v>
      </c>
      <c r="C99" s="27" t="n">
        <v>-96576.87</v>
      </c>
      <c r="D99" s="28" t="n">
        <f aca="false">C99/$T$1*100</f>
        <v>-5.68099235294118</v>
      </c>
      <c r="E99" s="28" t="n">
        <f aca="false">E98+D99</f>
        <v>29.7485494117647</v>
      </c>
      <c r="F99" s="28" t="n">
        <f aca="false">MAX(0,MAX($E$2:E99))</f>
        <v>35.4295417647059</v>
      </c>
      <c r="G99" s="28" t="n">
        <f aca="false">E99-F99</f>
        <v>-5.68099235294118</v>
      </c>
      <c r="H99" s="25" t="n">
        <f aca="false">IF(G99&gt;=-0.0000001,A99,H98)</f>
        <v>45946</v>
      </c>
      <c r="I99" s="29" t="n">
        <f aca="false">IF(AND(G99&gt;=-0.0000001,G98&lt;0),1,0)</f>
        <v>0</v>
      </c>
      <c r="J99" s="30" t="str">
        <f aca="false">IF(I99=1,A99-H98,"")</f>
        <v/>
      </c>
      <c r="K99" s="27" t="n">
        <f aca="false">IF(B99="Wednesday",0,C99)</f>
        <v>-96576.87</v>
      </c>
      <c r="L99" s="28" t="n">
        <f aca="false">L98+K99/$T$1*100</f>
        <v>28.0676217647059</v>
      </c>
      <c r="M99" s="28" t="n">
        <f aca="false">MAX(0,MAX($L$2:L99))</f>
        <v>33.7486141176471</v>
      </c>
      <c r="N99" s="28" t="n">
        <f aca="false">L99-M99</f>
        <v>-5.68099235294118</v>
      </c>
      <c r="O99" s="25" t="n">
        <f aca="false">IF(N99&gt;=-0.0000001,A99,O98)</f>
        <v>45946</v>
      </c>
      <c r="P99" s="29" t="n">
        <f aca="false">IF(AND(N99&gt;=-0.0000001,N98&lt;0),1,0)</f>
        <v>0</v>
      </c>
      <c r="Q99" s="30" t="str">
        <f aca="false">IF(P99=1,A99-O98,"")</f>
        <v/>
      </c>
    </row>
    <row r="100" customFormat="false" ht="15" hidden="false" customHeight="false" outlineLevel="0" collapsed="false">
      <c r="A100" s="25" t="n">
        <v>45950</v>
      </c>
      <c r="B100" s="26" t="s">
        <v>79</v>
      </c>
      <c r="C100" s="27" t="n">
        <v>43763.32</v>
      </c>
      <c r="D100" s="28" t="n">
        <f aca="false">C100/$T$1*100</f>
        <v>2.57431294117647</v>
      </c>
      <c r="E100" s="28" t="n">
        <f aca="false">E99+D100</f>
        <v>32.3228623529412</v>
      </c>
      <c r="F100" s="28" t="n">
        <f aca="false">MAX(0,MAX($E$2:E100))</f>
        <v>35.4295417647059</v>
      </c>
      <c r="G100" s="28" t="n">
        <f aca="false">E100-F100</f>
        <v>-3.1066794117647</v>
      </c>
      <c r="H100" s="25" t="n">
        <f aca="false">IF(G100&gt;=-0.0000001,A100,H99)</f>
        <v>45946</v>
      </c>
      <c r="I100" s="29" t="n">
        <f aca="false">IF(AND(G100&gt;=-0.0000001,G99&lt;0),1,0)</f>
        <v>0</v>
      </c>
      <c r="J100" s="30" t="str">
        <f aca="false">IF(I100=1,A100-H99,"")</f>
        <v/>
      </c>
      <c r="K100" s="27" t="n">
        <f aca="false">IF(B100="Wednesday",0,C100)</f>
        <v>43763.32</v>
      </c>
      <c r="L100" s="28" t="n">
        <f aca="false">L99+K100/$T$1*100</f>
        <v>30.6419347058824</v>
      </c>
      <c r="M100" s="28" t="n">
        <f aca="false">MAX(0,MAX($L$2:L100))</f>
        <v>33.7486141176471</v>
      </c>
      <c r="N100" s="28" t="n">
        <f aca="false">L100-M100</f>
        <v>-3.10667941176471</v>
      </c>
      <c r="O100" s="25" t="n">
        <f aca="false">IF(N100&gt;=-0.0000001,A100,O99)</f>
        <v>45946</v>
      </c>
      <c r="P100" s="29" t="n">
        <f aca="false">IF(AND(N100&gt;=-0.0000001,N99&lt;0),1,0)</f>
        <v>0</v>
      </c>
      <c r="Q100" s="30" t="str">
        <f aca="false">IF(P100=1,A100-O99,"")</f>
        <v/>
      </c>
    </row>
    <row r="101" customFormat="false" ht="15" hidden="false" customHeight="false" outlineLevel="0" collapsed="false">
      <c r="A101" s="25" t="n">
        <v>45953</v>
      </c>
      <c r="B101" s="26" t="s">
        <v>82</v>
      </c>
      <c r="C101" s="27" t="n">
        <v>-40303.34</v>
      </c>
      <c r="D101" s="28" t="n">
        <f aca="false">C101/$T$1*100</f>
        <v>-2.37078470588235</v>
      </c>
      <c r="E101" s="28" t="n">
        <f aca="false">E100+D101</f>
        <v>29.9520776470588</v>
      </c>
      <c r="F101" s="28" t="n">
        <f aca="false">MAX(0,MAX($E$2:E101))</f>
        <v>35.4295417647059</v>
      </c>
      <c r="G101" s="28" t="n">
        <f aca="false">E101-F101</f>
        <v>-5.47746411764706</v>
      </c>
      <c r="H101" s="25" t="n">
        <f aca="false">IF(G101&gt;=-0.0000001,A101,H100)</f>
        <v>45946</v>
      </c>
      <c r="I101" s="29" t="n">
        <f aca="false">IF(AND(G101&gt;=-0.0000001,G100&lt;0),1,0)</f>
        <v>0</v>
      </c>
      <c r="J101" s="30" t="str">
        <f aca="false">IF(I101=1,A101-H100,"")</f>
        <v/>
      </c>
      <c r="K101" s="27" t="n">
        <f aca="false">IF(B101="Wednesday",0,C101)</f>
        <v>-40303.34</v>
      </c>
      <c r="L101" s="28" t="n">
        <f aca="false">L100+K101/$T$1*100</f>
        <v>28.27115</v>
      </c>
      <c r="M101" s="28" t="n">
        <f aca="false">MAX(0,MAX($L$2:L101))</f>
        <v>33.7486141176471</v>
      </c>
      <c r="N101" s="28" t="n">
        <f aca="false">L101-M101</f>
        <v>-5.47746411764706</v>
      </c>
      <c r="O101" s="25" t="n">
        <f aca="false">IF(N101&gt;=-0.0000001,A101,O100)</f>
        <v>45946</v>
      </c>
      <c r="P101" s="29" t="n">
        <f aca="false">IF(AND(N101&gt;=-0.0000001,N100&lt;0),1,0)</f>
        <v>0</v>
      </c>
      <c r="Q101" s="30" t="str">
        <f aca="false">IF(P101=1,A101-O100,"")</f>
        <v/>
      </c>
    </row>
    <row r="102" customFormat="false" ht="15" hidden="false" customHeight="false" outlineLevel="0" collapsed="false">
      <c r="A102" s="25" t="n">
        <v>45954</v>
      </c>
      <c r="B102" s="26" t="s">
        <v>83</v>
      </c>
      <c r="C102" s="27" t="n">
        <v>107044.5</v>
      </c>
      <c r="D102" s="28" t="n">
        <f aca="false">C102/$T$1*100</f>
        <v>6.29673529411765</v>
      </c>
      <c r="E102" s="28" t="n">
        <f aca="false">E101+D102</f>
        <v>36.2488129411765</v>
      </c>
      <c r="F102" s="28" t="n">
        <f aca="false">MAX(0,MAX($E$2:E102))</f>
        <v>36.2488129411765</v>
      </c>
      <c r="G102" s="28" t="n">
        <f aca="false">E102-F102</f>
        <v>0</v>
      </c>
      <c r="H102" s="25" t="n">
        <f aca="false">IF(G102&gt;=-0.0000001,A102,H101)</f>
        <v>45954</v>
      </c>
      <c r="I102" s="29" t="n">
        <f aca="false">IF(AND(G102&gt;=-0.0000001,G101&lt;0),1,0)</f>
        <v>1</v>
      </c>
      <c r="J102" s="30" t="n">
        <f aca="false">IF(I102=1,A102-H101,"")</f>
        <v>8</v>
      </c>
      <c r="K102" s="27" t="n">
        <f aca="false">IF(B102="Wednesday",0,C102)</f>
        <v>107044.5</v>
      </c>
      <c r="L102" s="28" t="n">
        <f aca="false">L101+K102/$T$1*100</f>
        <v>34.5678852941176</v>
      </c>
      <c r="M102" s="28" t="n">
        <f aca="false">MAX(0,MAX($L$2:L102))</f>
        <v>34.5678852941176</v>
      </c>
      <c r="N102" s="28" t="n">
        <f aca="false">L102-M102</f>
        <v>0</v>
      </c>
      <c r="O102" s="25" t="n">
        <f aca="false">IF(N102&gt;=-0.0000001,A102,O101)</f>
        <v>45954</v>
      </c>
      <c r="P102" s="29" t="n">
        <f aca="false">IF(AND(N102&gt;=-0.0000001,N101&lt;0),1,0)</f>
        <v>1</v>
      </c>
      <c r="Q102" s="30" t="n">
        <f aca="false">IF(P102=1,A102-O101,"")</f>
        <v>8</v>
      </c>
    </row>
    <row r="103" customFormat="false" ht="15" hidden="false" customHeight="false" outlineLevel="0" collapsed="false">
      <c r="A103" s="25" t="n">
        <v>45957</v>
      </c>
      <c r="B103" s="26" t="s">
        <v>79</v>
      </c>
      <c r="C103" s="27" t="n">
        <v>-28305.04</v>
      </c>
      <c r="D103" s="28" t="n">
        <f aca="false">C103/$T$1*100</f>
        <v>-1.66500235294118</v>
      </c>
      <c r="E103" s="28" t="n">
        <f aca="false">E102+D103</f>
        <v>34.5838105882353</v>
      </c>
      <c r="F103" s="28" t="n">
        <f aca="false">MAX(0,MAX($E$2:E103))</f>
        <v>36.2488129411765</v>
      </c>
      <c r="G103" s="28" t="n">
        <f aca="false">E103-F103</f>
        <v>-1.66500235294118</v>
      </c>
      <c r="H103" s="25" t="n">
        <f aca="false">IF(G103&gt;=-0.0000001,A103,H102)</f>
        <v>45954</v>
      </c>
      <c r="I103" s="29" t="n">
        <f aca="false">IF(AND(G103&gt;=-0.0000001,G102&lt;0),1,0)</f>
        <v>0</v>
      </c>
      <c r="J103" s="30" t="str">
        <f aca="false">IF(I103=1,A103-H102,"")</f>
        <v/>
      </c>
      <c r="K103" s="27" t="n">
        <f aca="false">IF(B103="Wednesday",0,C103)</f>
        <v>-28305.04</v>
      </c>
      <c r="L103" s="28" t="n">
        <f aca="false">L102+K103/$T$1*100</f>
        <v>32.9028829411765</v>
      </c>
      <c r="M103" s="28" t="n">
        <f aca="false">MAX(0,MAX($L$2:L103))</f>
        <v>34.5678852941176</v>
      </c>
      <c r="N103" s="28" t="n">
        <f aca="false">L103-M103</f>
        <v>-1.66500235294118</v>
      </c>
      <c r="O103" s="25" t="n">
        <f aca="false">IF(N103&gt;=-0.0000001,A103,O102)</f>
        <v>45954</v>
      </c>
      <c r="P103" s="29" t="n">
        <f aca="false">IF(AND(N103&gt;=-0.0000001,N102&lt;0),1,0)</f>
        <v>0</v>
      </c>
      <c r="Q103" s="30" t="str">
        <f aca="false">IF(P103=1,A103-O102,"")</f>
        <v/>
      </c>
    </row>
    <row r="104" customFormat="false" ht="15" hidden="false" customHeight="false" outlineLevel="0" collapsed="false">
      <c r="A104" s="25" t="n">
        <v>45958</v>
      </c>
      <c r="B104" s="26" t="s">
        <v>80</v>
      </c>
      <c r="C104" s="27" t="n">
        <v>84747.46</v>
      </c>
      <c r="D104" s="28" t="n">
        <f aca="false">C104/$T$1*100</f>
        <v>4.98514470588235</v>
      </c>
      <c r="E104" s="28" t="n">
        <f aca="false">E103+D104</f>
        <v>39.5689552941177</v>
      </c>
      <c r="F104" s="28" t="n">
        <f aca="false">MAX(0,MAX($E$2:E104))</f>
        <v>39.5689552941177</v>
      </c>
      <c r="G104" s="28" t="n">
        <f aca="false">E104-F104</f>
        <v>0</v>
      </c>
      <c r="H104" s="25" t="n">
        <f aca="false">IF(G104&gt;=-0.0000001,A104,H103)</f>
        <v>45958</v>
      </c>
      <c r="I104" s="29" t="n">
        <f aca="false">IF(AND(G104&gt;=-0.0000001,G103&lt;0),1,0)</f>
        <v>1</v>
      </c>
      <c r="J104" s="30" t="n">
        <f aca="false">IF(I104=1,A104-H103,"")</f>
        <v>4</v>
      </c>
      <c r="K104" s="27" t="n">
        <f aca="false">IF(B104="Wednesday",0,C104)</f>
        <v>84747.46</v>
      </c>
      <c r="L104" s="28" t="n">
        <f aca="false">L103+K104/$T$1*100</f>
        <v>37.8880276470588</v>
      </c>
      <c r="M104" s="28" t="n">
        <f aca="false">MAX(0,MAX($L$2:L104))</f>
        <v>37.8880276470588</v>
      </c>
      <c r="N104" s="28" t="n">
        <f aca="false">L104-M104</f>
        <v>0</v>
      </c>
      <c r="O104" s="25" t="n">
        <f aca="false">IF(N104&gt;=-0.0000001,A104,O103)</f>
        <v>45958</v>
      </c>
      <c r="P104" s="29" t="n">
        <f aca="false">IF(AND(N104&gt;=-0.0000001,N103&lt;0),1,0)</f>
        <v>1</v>
      </c>
      <c r="Q104" s="30" t="n">
        <f aca="false">IF(P104=1,A104-O103,"")</f>
        <v>4</v>
      </c>
    </row>
    <row r="105" customFormat="false" ht="15" hidden="false" customHeight="false" outlineLevel="0" collapsed="false">
      <c r="A105" s="25" t="n">
        <v>45959</v>
      </c>
      <c r="B105" s="26" t="s">
        <v>81</v>
      </c>
      <c r="C105" s="27" t="n">
        <v>-21001.8</v>
      </c>
      <c r="D105" s="28" t="n">
        <f aca="false">C105/$T$1*100</f>
        <v>-1.2354</v>
      </c>
      <c r="E105" s="28" t="n">
        <f aca="false">E104+D105</f>
        <v>38.3335552941177</v>
      </c>
      <c r="F105" s="28" t="n">
        <f aca="false">MAX(0,MAX($E$2:E105))</f>
        <v>39.5689552941177</v>
      </c>
      <c r="G105" s="28" t="n">
        <f aca="false">E105-F105</f>
        <v>-1.2354</v>
      </c>
      <c r="H105" s="25" t="n">
        <f aca="false">IF(G105&gt;=-0.0000001,A105,H104)</f>
        <v>45958</v>
      </c>
      <c r="I105" s="29" t="n">
        <f aca="false">IF(AND(G105&gt;=-0.0000001,G104&lt;0),1,0)</f>
        <v>0</v>
      </c>
      <c r="J105" s="30" t="str">
        <f aca="false">IF(I105=1,A105-H104,"")</f>
        <v/>
      </c>
      <c r="K105" s="27" t="n">
        <f aca="false">IF(B105="Wednesday",0,C105)</f>
        <v>0</v>
      </c>
      <c r="L105" s="28" t="n">
        <f aca="false">L104+K105/$T$1*100</f>
        <v>37.8880276470588</v>
      </c>
      <c r="M105" s="28" t="n">
        <f aca="false">MAX(0,MAX($L$2:L105))</f>
        <v>37.8880276470588</v>
      </c>
      <c r="N105" s="28" t="n">
        <f aca="false">L105-M105</f>
        <v>0</v>
      </c>
      <c r="O105" s="25" t="n">
        <f aca="false">IF(N105&gt;=-0.0000001,A105,O104)</f>
        <v>45959</v>
      </c>
      <c r="P105" s="29" t="n">
        <f aca="false">IF(AND(N105&gt;=-0.0000001,N104&lt;0),1,0)</f>
        <v>0</v>
      </c>
      <c r="Q105" s="30" t="str">
        <f aca="false">IF(P105=1,A105-O104,"")</f>
        <v/>
      </c>
    </row>
    <row r="106" customFormat="false" ht="15" hidden="false" customHeight="false" outlineLevel="0" collapsed="false">
      <c r="A106" s="25" t="n">
        <v>45960</v>
      </c>
      <c r="B106" s="26" t="s">
        <v>82</v>
      </c>
      <c r="C106" s="27" t="n">
        <v>6717.31</v>
      </c>
      <c r="D106" s="28" t="n">
        <f aca="false">C106/$T$1*100</f>
        <v>0.395135882352941</v>
      </c>
      <c r="E106" s="28" t="n">
        <f aca="false">E105+D106</f>
        <v>38.7286911764706</v>
      </c>
      <c r="F106" s="28" t="n">
        <f aca="false">MAX(0,MAX($E$2:E106))</f>
        <v>39.5689552941177</v>
      </c>
      <c r="G106" s="28" t="n">
        <f aca="false">E106-F106</f>
        <v>-0.84026411764706</v>
      </c>
      <c r="H106" s="25" t="n">
        <f aca="false">IF(G106&gt;=-0.0000001,A106,H105)</f>
        <v>45958</v>
      </c>
      <c r="I106" s="29" t="n">
        <f aca="false">IF(AND(G106&gt;=-0.0000001,G105&lt;0),1,0)</f>
        <v>0</v>
      </c>
      <c r="J106" s="30" t="str">
        <f aca="false">IF(I106=1,A106-H105,"")</f>
        <v/>
      </c>
      <c r="K106" s="27" t="n">
        <f aca="false">IF(B106="Wednesday",0,C106)</f>
        <v>6717.31</v>
      </c>
      <c r="L106" s="28" t="n">
        <f aca="false">L105+K106/$T$1*100</f>
        <v>38.2831635294118</v>
      </c>
      <c r="M106" s="28" t="n">
        <f aca="false">MAX(0,MAX($L$2:L106))</f>
        <v>38.2831635294118</v>
      </c>
      <c r="N106" s="28" t="n">
        <f aca="false">L106-M106</f>
        <v>0</v>
      </c>
      <c r="O106" s="25" t="n">
        <f aca="false">IF(N106&gt;=-0.0000001,A106,O105)</f>
        <v>45960</v>
      </c>
      <c r="P106" s="29" t="n">
        <f aca="false">IF(AND(N106&gt;=-0.0000001,N105&lt;0),1,0)</f>
        <v>0</v>
      </c>
      <c r="Q106" s="30" t="str">
        <f aca="false">IF(P106=1,A106-O105,"")</f>
        <v/>
      </c>
    </row>
    <row r="107" customFormat="false" ht="15" hidden="false" customHeight="false" outlineLevel="0" collapsed="false">
      <c r="A107" s="25" t="n">
        <v>45961</v>
      </c>
      <c r="B107" s="26" t="s">
        <v>83</v>
      </c>
      <c r="C107" s="27" t="n">
        <v>6615</v>
      </c>
      <c r="D107" s="28" t="n">
        <f aca="false">C107/$T$1*100</f>
        <v>0.389117647058824</v>
      </c>
      <c r="E107" s="28" t="n">
        <f aca="false">E106+D107</f>
        <v>39.1178088235294</v>
      </c>
      <c r="F107" s="28" t="n">
        <f aca="false">MAX(0,MAX($E$2:E107))</f>
        <v>39.5689552941177</v>
      </c>
      <c r="G107" s="28" t="n">
        <f aca="false">E107-F107</f>
        <v>-0.451146470588235</v>
      </c>
      <c r="H107" s="25" t="n">
        <f aca="false">IF(G107&gt;=-0.0000001,A107,H106)</f>
        <v>45958</v>
      </c>
      <c r="I107" s="29" t="n">
        <f aca="false">IF(AND(G107&gt;=-0.0000001,G106&lt;0),1,0)</f>
        <v>0</v>
      </c>
      <c r="J107" s="30" t="str">
        <f aca="false">IF(I107=1,A107-H106,"")</f>
        <v/>
      </c>
      <c r="K107" s="27" t="n">
        <f aca="false">IF(B107="Wednesday",0,C107)</f>
        <v>6615</v>
      </c>
      <c r="L107" s="28" t="n">
        <f aca="false">L106+K107/$T$1*100</f>
        <v>38.6722811764706</v>
      </c>
      <c r="M107" s="28" t="n">
        <f aca="false">MAX(0,MAX($L$2:L107))</f>
        <v>38.6722811764706</v>
      </c>
      <c r="N107" s="28" t="n">
        <f aca="false">L107-M107</f>
        <v>0</v>
      </c>
      <c r="O107" s="25" t="n">
        <f aca="false">IF(N107&gt;=-0.0000001,A107,O106)</f>
        <v>45961</v>
      </c>
      <c r="P107" s="29" t="n">
        <f aca="false">IF(AND(N107&gt;=-0.0000001,N106&lt;0),1,0)</f>
        <v>0</v>
      </c>
      <c r="Q107" s="30" t="str">
        <f aca="false">IF(P107=1,A107-O106,"")</f>
        <v/>
      </c>
    </row>
    <row r="108" customFormat="false" ht="15" hidden="false" customHeight="false" outlineLevel="0" collapsed="false">
      <c r="A108" s="25" t="n">
        <v>45964</v>
      </c>
      <c r="B108" s="26" t="s">
        <v>79</v>
      </c>
      <c r="C108" s="27" t="n">
        <v>36802.5</v>
      </c>
      <c r="D108" s="28" t="n">
        <f aca="false">C108/$T$1*100</f>
        <v>2.16485294117647</v>
      </c>
      <c r="E108" s="28" t="n">
        <f aca="false">E107+D108</f>
        <v>41.2826617647059</v>
      </c>
      <c r="F108" s="28" t="n">
        <f aca="false">MAX(0,MAX($E$2:E108))</f>
        <v>41.2826617647059</v>
      </c>
      <c r="G108" s="28" t="n">
        <f aca="false">E108-F108</f>
        <v>0</v>
      </c>
      <c r="H108" s="25" t="n">
        <f aca="false">IF(G108&gt;=-0.0000001,A108,H107)</f>
        <v>45964</v>
      </c>
      <c r="I108" s="29" t="n">
        <f aca="false">IF(AND(G108&gt;=-0.0000001,G107&lt;0),1,0)</f>
        <v>1</v>
      </c>
      <c r="J108" s="30" t="n">
        <f aca="false">IF(I108=1,A108-H107,"")</f>
        <v>6</v>
      </c>
      <c r="K108" s="27" t="n">
        <f aca="false">IF(B108="Wednesday",0,C108)</f>
        <v>36802.5</v>
      </c>
      <c r="L108" s="28" t="n">
        <f aca="false">L107+K108/$T$1*100</f>
        <v>40.8371341176471</v>
      </c>
      <c r="M108" s="28" t="n">
        <f aca="false">MAX(0,MAX($L$2:L108))</f>
        <v>40.8371341176471</v>
      </c>
      <c r="N108" s="28" t="n">
        <f aca="false">L108-M108</f>
        <v>0</v>
      </c>
      <c r="O108" s="25" t="n">
        <f aca="false">IF(N108&gt;=-0.0000001,A108,O107)</f>
        <v>45964</v>
      </c>
      <c r="P108" s="29" t="n">
        <f aca="false">IF(AND(N108&gt;=-0.0000001,N107&lt;0),1,0)</f>
        <v>0</v>
      </c>
      <c r="Q108" s="30" t="str">
        <f aca="false">IF(P108=1,A108-O107,"")</f>
        <v/>
      </c>
    </row>
    <row r="109" customFormat="false" ht="15" hidden="false" customHeight="false" outlineLevel="0" collapsed="false">
      <c r="A109" s="25" t="n">
        <v>45965</v>
      </c>
      <c r="B109" s="26" t="s">
        <v>80</v>
      </c>
      <c r="C109" s="27" t="n">
        <v>27369.79</v>
      </c>
      <c r="D109" s="28" t="n">
        <f aca="false">C109/$T$1*100</f>
        <v>1.60998764705882</v>
      </c>
      <c r="E109" s="28" t="n">
        <f aca="false">E108+D109</f>
        <v>42.8926494117647</v>
      </c>
      <c r="F109" s="28" t="n">
        <f aca="false">MAX(0,MAX($E$2:E109))</f>
        <v>42.8926494117647</v>
      </c>
      <c r="G109" s="28" t="n">
        <f aca="false">E109-F109</f>
        <v>0</v>
      </c>
      <c r="H109" s="25" t="n">
        <f aca="false">IF(G109&gt;=-0.0000001,A109,H108)</f>
        <v>45965</v>
      </c>
      <c r="I109" s="29" t="n">
        <f aca="false">IF(AND(G109&gt;=-0.0000001,G108&lt;0),1,0)</f>
        <v>0</v>
      </c>
      <c r="J109" s="30" t="str">
        <f aca="false">IF(I109=1,A109-H108,"")</f>
        <v/>
      </c>
      <c r="K109" s="27" t="n">
        <f aca="false">IF(B109="Wednesday",0,C109)</f>
        <v>27369.79</v>
      </c>
      <c r="L109" s="28" t="n">
        <f aca="false">L108+K109/$T$1*100</f>
        <v>42.4471217647059</v>
      </c>
      <c r="M109" s="28" t="n">
        <f aca="false">MAX(0,MAX($L$2:L109))</f>
        <v>42.4471217647059</v>
      </c>
      <c r="N109" s="28" t="n">
        <f aca="false">L109-M109</f>
        <v>0</v>
      </c>
      <c r="O109" s="25" t="n">
        <f aca="false">IF(N109&gt;=-0.0000001,A109,O108)</f>
        <v>45965</v>
      </c>
      <c r="P109" s="29" t="n">
        <f aca="false">IF(AND(N109&gt;=-0.0000001,N108&lt;0),1,0)</f>
        <v>0</v>
      </c>
      <c r="Q109" s="30" t="str">
        <f aca="false">IF(P109=1,A109-O108,"")</f>
        <v/>
      </c>
    </row>
    <row r="110" customFormat="false" ht="15" hidden="false" customHeight="false" outlineLevel="0" collapsed="false">
      <c r="A110" s="25" t="n">
        <v>45967</v>
      </c>
      <c r="B110" s="26" t="s">
        <v>82</v>
      </c>
      <c r="C110" s="27" t="n">
        <v>4490.81</v>
      </c>
      <c r="D110" s="28" t="n">
        <f aca="false">C110/$T$1*100</f>
        <v>0.264165294117647</v>
      </c>
      <c r="E110" s="28" t="n">
        <f aca="false">E109+D110</f>
        <v>43.1568147058824</v>
      </c>
      <c r="F110" s="28" t="n">
        <f aca="false">MAX(0,MAX($E$2:E110))</f>
        <v>43.1568147058824</v>
      </c>
      <c r="G110" s="28" t="n">
        <f aca="false">E110-F110</f>
        <v>0</v>
      </c>
      <c r="H110" s="25" t="n">
        <f aca="false">IF(G110&gt;=-0.0000001,A110,H109)</f>
        <v>45967</v>
      </c>
      <c r="I110" s="29" t="n">
        <f aca="false">IF(AND(G110&gt;=-0.0000001,G109&lt;0),1,0)</f>
        <v>0</v>
      </c>
      <c r="J110" s="30" t="str">
        <f aca="false">IF(I110=1,A110-H109,"")</f>
        <v/>
      </c>
      <c r="K110" s="27" t="n">
        <f aca="false">IF(B110="Wednesday",0,C110)</f>
        <v>4490.81</v>
      </c>
      <c r="L110" s="28" t="n">
        <f aca="false">L109+K110/$T$1*100</f>
        <v>42.7112870588235</v>
      </c>
      <c r="M110" s="28" t="n">
        <f aca="false">MAX(0,MAX($L$2:L110))</f>
        <v>42.7112870588235</v>
      </c>
      <c r="N110" s="28" t="n">
        <f aca="false">L110-M110</f>
        <v>0</v>
      </c>
      <c r="O110" s="25" t="n">
        <f aca="false">IF(N110&gt;=-0.0000001,A110,O109)</f>
        <v>45967</v>
      </c>
      <c r="P110" s="29" t="n">
        <f aca="false">IF(AND(N110&gt;=-0.0000001,N109&lt;0),1,0)</f>
        <v>0</v>
      </c>
      <c r="Q110" s="30" t="str">
        <f aca="false">IF(P110=1,A110-O109,"")</f>
        <v/>
      </c>
    </row>
    <row r="111" customFormat="false" ht="15" hidden="false" customHeight="false" outlineLevel="0" collapsed="false">
      <c r="A111" s="25" t="n">
        <v>45968</v>
      </c>
      <c r="B111" s="26" t="s">
        <v>83</v>
      </c>
      <c r="C111" s="27" t="n">
        <v>-19552.7</v>
      </c>
      <c r="D111" s="28" t="n">
        <f aca="false">C111/$T$1*100</f>
        <v>-1.15015882352941</v>
      </c>
      <c r="E111" s="28" t="n">
        <f aca="false">E110+D111</f>
        <v>42.006655882353</v>
      </c>
      <c r="F111" s="28" t="n">
        <f aca="false">MAX(0,MAX($E$2:E111))</f>
        <v>43.1568147058824</v>
      </c>
      <c r="G111" s="28" t="n">
        <f aca="false">E111-F111</f>
        <v>-1.15015882352941</v>
      </c>
      <c r="H111" s="25" t="n">
        <f aca="false">IF(G111&gt;=-0.0000001,A111,H110)</f>
        <v>45967</v>
      </c>
      <c r="I111" s="29" t="n">
        <f aca="false">IF(AND(G111&gt;=-0.0000001,G110&lt;0),1,0)</f>
        <v>0</v>
      </c>
      <c r="J111" s="30" t="str">
        <f aca="false">IF(I111=1,A111-H110,"")</f>
        <v/>
      </c>
      <c r="K111" s="27" t="n">
        <f aca="false">IF(B111="Wednesday",0,C111)</f>
        <v>-19552.7</v>
      </c>
      <c r="L111" s="28" t="n">
        <f aca="false">L110+K111/$T$1*100</f>
        <v>41.5611282352941</v>
      </c>
      <c r="M111" s="28" t="n">
        <f aca="false">MAX(0,MAX($L$2:L111))</f>
        <v>42.7112870588235</v>
      </c>
      <c r="N111" s="28" t="n">
        <f aca="false">L111-M111</f>
        <v>-1.15015882352941</v>
      </c>
      <c r="O111" s="25" t="n">
        <f aca="false">IF(N111&gt;=-0.0000001,A111,O110)</f>
        <v>45967</v>
      </c>
      <c r="P111" s="29" t="n">
        <f aca="false">IF(AND(N111&gt;=-0.0000001,N110&lt;0),1,0)</f>
        <v>0</v>
      </c>
      <c r="Q111" s="30" t="str">
        <f aca="false">IF(P111=1,A111-O110,"")</f>
        <v/>
      </c>
    </row>
    <row r="112" customFormat="false" ht="15" hidden="false" customHeight="false" outlineLevel="0" collapsed="false">
      <c r="A112" s="25" t="n">
        <v>45971</v>
      </c>
      <c r="B112" s="26" t="s">
        <v>79</v>
      </c>
      <c r="C112" s="27" t="n">
        <v>44085.2</v>
      </c>
      <c r="D112" s="28" t="n">
        <f aca="false">C112/$T$1*100</f>
        <v>2.59324705882353</v>
      </c>
      <c r="E112" s="28" t="n">
        <f aca="false">E111+D112</f>
        <v>44.5999029411765</v>
      </c>
      <c r="F112" s="28" t="n">
        <f aca="false">MAX(0,MAX($E$2:E112))</f>
        <v>44.5999029411765</v>
      </c>
      <c r="G112" s="28" t="n">
        <f aca="false">E112-F112</f>
        <v>0</v>
      </c>
      <c r="H112" s="25" t="n">
        <f aca="false">IF(G112&gt;=-0.0000001,A112,H111)</f>
        <v>45971</v>
      </c>
      <c r="I112" s="29" t="n">
        <f aca="false">IF(AND(G112&gt;=-0.0000001,G111&lt;0),1,0)</f>
        <v>1</v>
      </c>
      <c r="J112" s="30" t="n">
        <f aca="false">IF(I112=1,A112-H111,"")</f>
        <v>4</v>
      </c>
      <c r="K112" s="27" t="n">
        <f aca="false">IF(B112="Wednesday",0,C112)</f>
        <v>44085.2</v>
      </c>
      <c r="L112" s="28" t="n">
        <f aca="false">L111+K112/$T$1*100</f>
        <v>44.1543752941176</v>
      </c>
      <c r="M112" s="28" t="n">
        <f aca="false">MAX(0,MAX($L$2:L112))</f>
        <v>44.1543752941176</v>
      </c>
      <c r="N112" s="28" t="n">
        <f aca="false">L112-M112</f>
        <v>0</v>
      </c>
      <c r="O112" s="25" t="n">
        <f aca="false">IF(N112&gt;=-0.0000001,A112,O111)</f>
        <v>45971</v>
      </c>
      <c r="P112" s="29" t="n">
        <f aca="false">IF(AND(N112&gt;=-0.0000001,N111&lt;0),1,0)</f>
        <v>1</v>
      </c>
      <c r="Q112" s="30" t="n">
        <f aca="false">IF(P112=1,A112-O111,"")</f>
        <v>4</v>
      </c>
    </row>
    <row r="113" customFormat="false" ht="15" hidden="false" customHeight="false" outlineLevel="0" collapsed="false">
      <c r="A113" s="25" t="n">
        <v>45972</v>
      </c>
      <c r="B113" s="26" t="s">
        <v>80</v>
      </c>
      <c r="C113" s="27" t="n">
        <v>104241.32</v>
      </c>
      <c r="D113" s="28" t="n">
        <f aca="false">C113/$T$1*100</f>
        <v>6.13184235294118</v>
      </c>
      <c r="E113" s="28" t="n">
        <f aca="false">E112+D113</f>
        <v>50.7317452941177</v>
      </c>
      <c r="F113" s="28" t="n">
        <f aca="false">MAX(0,MAX($E$2:E113))</f>
        <v>50.7317452941177</v>
      </c>
      <c r="G113" s="28" t="n">
        <f aca="false">E113-F113</f>
        <v>0</v>
      </c>
      <c r="H113" s="25" t="n">
        <f aca="false">IF(G113&gt;=-0.0000001,A113,H112)</f>
        <v>45972</v>
      </c>
      <c r="I113" s="29" t="n">
        <f aca="false">IF(AND(G113&gt;=-0.0000001,G112&lt;0),1,0)</f>
        <v>0</v>
      </c>
      <c r="J113" s="30" t="str">
        <f aca="false">IF(I113=1,A113-H112,"")</f>
        <v/>
      </c>
      <c r="K113" s="27" t="n">
        <f aca="false">IF(B113="Wednesday",0,C113)</f>
        <v>104241.32</v>
      </c>
      <c r="L113" s="28" t="n">
        <f aca="false">L112+K113/$T$1*100</f>
        <v>50.2862176470588</v>
      </c>
      <c r="M113" s="28" t="n">
        <f aca="false">MAX(0,MAX($L$2:L113))</f>
        <v>50.2862176470588</v>
      </c>
      <c r="N113" s="28" t="n">
        <f aca="false">L113-M113</f>
        <v>0</v>
      </c>
      <c r="O113" s="25" t="n">
        <f aca="false">IF(N113&gt;=-0.0000001,A113,O112)</f>
        <v>45972</v>
      </c>
      <c r="P113" s="29" t="n">
        <f aca="false">IF(AND(N113&gt;=-0.0000001,N112&lt;0),1,0)</f>
        <v>0</v>
      </c>
      <c r="Q113" s="30" t="str">
        <f aca="false">IF(P113=1,A113-O112,"")</f>
        <v/>
      </c>
    </row>
    <row r="114" customFormat="false" ht="15" hidden="false" customHeight="false" outlineLevel="0" collapsed="false">
      <c r="A114" s="25" t="n">
        <v>45973</v>
      </c>
      <c r="B114" s="26" t="s">
        <v>81</v>
      </c>
      <c r="C114" s="27" t="n">
        <v>895.5</v>
      </c>
      <c r="D114" s="28" t="n">
        <f aca="false">C114/$T$1*100</f>
        <v>0.0526764705882353</v>
      </c>
      <c r="E114" s="28" t="n">
        <f aca="false">E113+D114</f>
        <v>50.7844217647059</v>
      </c>
      <c r="F114" s="28" t="n">
        <f aca="false">MAX(0,MAX($E$2:E114))</f>
        <v>50.7844217647059</v>
      </c>
      <c r="G114" s="28" t="n">
        <f aca="false">E114-F114</f>
        <v>0</v>
      </c>
      <c r="H114" s="25" t="n">
        <f aca="false">IF(G114&gt;=-0.0000001,A114,H113)</f>
        <v>45973</v>
      </c>
      <c r="I114" s="29" t="n">
        <f aca="false">IF(AND(G114&gt;=-0.0000001,G113&lt;0),1,0)</f>
        <v>0</v>
      </c>
      <c r="J114" s="30" t="str">
        <f aca="false">IF(I114=1,A114-H113,"")</f>
        <v/>
      </c>
      <c r="K114" s="27" t="n">
        <f aca="false">IF(B114="Wednesday",0,C114)</f>
        <v>0</v>
      </c>
      <c r="L114" s="28" t="n">
        <f aca="false">L113+K114/$T$1*100</f>
        <v>50.2862176470588</v>
      </c>
      <c r="M114" s="28" t="n">
        <f aca="false">MAX(0,MAX($L$2:L114))</f>
        <v>50.2862176470588</v>
      </c>
      <c r="N114" s="28" t="n">
        <f aca="false">L114-M114</f>
        <v>0</v>
      </c>
      <c r="O114" s="25" t="n">
        <f aca="false">IF(N114&gt;=-0.0000001,A114,O113)</f>
        <v>45973</v>
      </c>
      <c r="P114" s="29" t="n">
        <f aca="false">IF(AND(N114&gt;=-0.0000001,N113&lt;0),1,0)</f>
        <v>0</v>
      </c>
      <c r="Q114" s="30" t="str">
        <f aca="false">IF(P114=1,A114-O113,"")</f>
        <v/>
      </c>
    </row>
    <row r="115" customFormat="false" ht="15" hidden="false" customHeight="false" outlineLevel="0" collapsed="false">
      <c r="A115" s="25" t="n">
        <v>45974</v>
      </c>
      <c r="B115" s="26" t="s">
        <v>82</v>
      </c>
      <c r="C115" s="27" t="n">
        <v>-58583.12</v>
      </c>
      <c r="D115" s="28" t="n">
        <f aca="false">C115/$T$1*100</f>
        <v>-3.44606588235294</v>
      </c>
      <c r="E115" s="28" t="n">
        <f aca="false">E114+D115</f>
        <v>47.338355882353</v>
      </c>
      <c r="F115" s="28" t="n">
        <f aca="false">MAX(0,MAX($E$2:E115))</f>
        <v>50.7844217647059</v>
      </c>
      <c r="G115" s="28" t="n">
        <f aca="false">E115-F115</f>
        <v>-3.44606588235294</v>
      </c>
      <c r="H115" s="25" t="n">
        <f aca="false">IF(G115&gt;=-0.0000001,A115,H114)</f>
        <v>45973</v>
      </c>
      <c r="I115" s="29" t="n">
        <f aca="false">IF(AND(G115&gt;=-0.0000001,G114&lt;0),1,0)</f>
        <v>0</v>
      </c>
      <c r="J115" s="30" t="str">
        <f aca="false">IF(I115=1,A115-H114,"")</f>
        <v/>
      </c>
      <c r="K115" s="27" t="n">
        <f aca="false">IF(B115="Wednesday",0,C115)</f>
        <v>-58583.12</v>
      </c>
      <c r="L115" s="28" t="n">
        <f aca="false">L114+K115/$T$1*100</f>
        <v>46.8401517647059</v>
      </c>
      <c r="M115" s="28" t="n">
        <f aca="false">MAX(0,MAX($L$2:L115))</f>
        <v>50.2862176470588</v>
      </c>
      <c r="N115" s="28" t="n">
        <f aca="false">L115-M115</f>
        <v>-3.44606588235294</v>
      </c>
      <c r="O115" s="25" t="n">
        <f aca="false">IF(N115&gt;=-0.0000001,A115,O114)</f>
        <v>45973</v>
      </c>
      <c r="P115" s="29" t="n">
        <f aca="false">IF(AND(N115&gt;=-0.0000001,N114&lt;0),1,0)</f>
        <v>0</v>
      </c>
      <c r="Q115" s="30" t="str">
        <f aca="false">IF(P115=1,A115-O114,"")</f>
        <v/>
      </c>
    </row>
    <row r="116" customFormat="false" ht="15" hidden="false" customHeight="false" outlineLevel="0" collapsed="false">
      <c r="A116" s="25" t="n">
        <v>45975</v>
      </c>
      <c r="B116" s="26" t="s">
        <v>83</v>
      </c>
      <c r="C116" s="27" t="n">
        <v>24442.88</v>
      </c>
      <c r="D116" s="28" t="n">
        <f aca="false">C116/$T$1*100</f>
        <v>1.43781647058824</v>
      </c>
      <c r="E116" s="28" t="n">
        <f aca="false">E115+D116</f>
        <v>48.7761723529412</v>
      </c>
      <c r="F116" s="28" t="n">
        <f aca="false">MAX(0,MAX($E$2:E116))</f>
        <v>50.7844217647059</v>
      </c>
      <c r="G116" s="28" t="n">
        <f aca="false">E116-F116</f>
        <v>-2.0082494117647</v>
      </c>
      <c r="H116" s="25" t="n">
        <f aca="false">IF(G116&gt;=-0.0000001,A116,H115)</f>
        <v>45973</v>
      </c>
      <c r="I116" s="29" t="n">
        <f aca="false">IF(AND(G116&gt;=-0.0000001,G115&lt;0),1,0)</f>
        <v>0</v>
      </c>
      <c r="J116" s="30" t="str">
        <f aca="false">IF(I116=1,A116-H115,"")</f>
        <v/>
      </c>
      <c r="K116" s="27" t="n">
        <f aca="false">IF(B116="Wednesday",0,C116)</f>
        <v>24442.88</v>
      </c>
      <c r="L116" s="28" t="n">
        <f aca="false">L115+K116/$T$1*100</f>
        <v>48.2779682352941</v>
      </c>
      <c r="M116" s="28" t="n">
        <f aca="false">MAX(0,MAX($L$2:L116))</f>
        <v>50.2862176470588</v>
      </c>
      <c r="N116" s="28" t="n">
        <f aca="false">L116-M116</f>
        <v>-2.0082494117647</v>
      </c>
      <c r="O116" s="25" t="n">
        <f aca="false">IF(N116&gt;=-0.0000001,A116,O115)</f>
        <v>45973</v>
      </c>
      <c r="P116" s="29" t="n">
        <f aca="false">IF(AND(N116&gt;=-0.0000001,N115&lt;0),1,0)</f>
        <v>0</v>
      </c>
      <c r="Q116" s="30" t="str">
        <f aca="false">IF(P116=1,A116-O115,"")</f>
        <v/>
      </c>
    </row>
    <row r="117" customFormat="false" ht="15" hidden="false" customHeight="false" outlineLevel="0" collapsed="false">
      <c r="A117" s="25" t="n">
        <v>45978</v>
      </c>
      <c r="B117" s="26" t="s">
        <v>79</v>
      </c>
      <c r="C117" s="27" t="n">
        <v>30044.25</v>
      </c>
      <c r="D117" s="28" t="n">
        <f aca="false">C117/$T$1*100</f>
        <v>1.76730882352941</v>
      </c>
      <c r="E117" s="28" t="n">
        <f aca="false">E116+D117</f>
        <v>50.5434811764706</v>
      </c>
      <c r="F117" s="28" t="n">
        <f aca="false">MAX(0,MAX($E$2:E117))</f>
        <v>50.7844217647059</v>
      </c>
      <c r="G117" s="28" t="n">
        <f aca="false">E117-F117</f>
        <v>-0.24094058823529</v>
      </c>
      <c r="H117" s="25" t="n">
        <f aca="false">IF(G117&gt;=-0.0000001,A117,H116)</f>
        <v>45973</v>
      </c>
      <c r="I117" s="29" t="n">
        <f aca="false">IF(AND(G117&gt;=-0.0000001,G116&lt;0),1,0)</f>
        <v>0</v>
      </c>
      <c r="J117" s="30" t="str">
        <f aca="false">IF(I117=1,A117-H116,"")</f>
        <v/>
      </c>
      <c r="K117" s="27" t="n">
        <f aca="false">IF(B117="Wednesday",0,C117)</f>
        <v>30044.25</v>
      </c>
      <c r="L117" s="28" t="n">
        <f aca="false">L116+K117/$T$1*100</f>
        <v>50.0452770588235</v>
      </c>
      <c r="M117" s="28" t="n">
        <f aca="false">MAX(0,MAX($L$2:L117))</f>
        <v>50.2862176470588</v>
      </c>
      <c r="N117" s="28" t="n">
        <f aca="false">L117-M117</f>
        <v>-0.24094058823529</v>
      </c>
      <c r="O117" s="25" t="n">
        <f aca="false">IF(N117&gt;=-0.0000001,A117,O116)</f>
        <v>45973</v>
      </c>
      <c r="P117" s="29" t="n">
        <f aca="false">IF(AND(N117&gt;=-0.0000001,N116&lt;0),1,0)</f>
        <v>0</v>
      </c>
      <c r="Q117" s="30" t="str">
        <f aca="false">IF(P117=1,A117-O116,"")</f>
        <v/>
      </c>
    </row>
    <row r="118" customFormat="false" ht="15" hidden="false" customHeight="false" outlineLevel="0" collapsed="false">
      <c r="A118" s="25" t="n">
        <v>45979</v>
      </c>
      <c r="B118" s="26" t="s">
        <v>80</v>
      </c>
      <c r="C118" s="27" t="n">
        <v>66044.04</v>
      </c>
      <c r="D118" s="28" t="n">
        <f aca="false">C118/$T$1*100</f>
        <v>3.88494352941176</v>
      </c>
      <c r="E118" s="28" t="n">
        <f aca="false">E117+D118</f>
        <v>54.4284247058824</v>
      </c>
      <c r="F118" s="28" t="n">
        <f aca="false">MAX(0,MAX($E$2:E118))</f>
        <v>54.4284247058824</v>
      </c>
      <c r="G118" s="28" t="n">
        <f aca="false">E118-F118</f>
        <v>0</v>
      </c>
      <c r="H118" s="25" t="n">
        <f aca="false">IF(G118&gt;=-0.0000001,A118,H117)</f>
        <v>45979</v>
      </c>
      <c r="I118" s="29" t="n">
        <f aca="false">IF(AND(G118&gt;=-0.0000001,G117&lt;0),1,0)</f>
        <v>1</v>
      </c>
      <c r="J118" s="30" t="n">
        <f aca="false">IF(I118=1,A118-H117,"")</f>
        <v>6</v>
      </c>
      <c r="K118" s="27" t="n">
        <f aca="false">IF(B118="Wednesday",0,C118)</f>
        <v>66044.04</v>
      </c>
      <c r="L118" s="28" t="n">
        <f aca="false">L117+K118/$T$1*100</f>
        <v>53.9302205882353</v>
      </c>
      <c r="M118" s="28" t="n">
        <f aca="false">MAX(0,MAX($L$2:L118))</f>
        <v>53.9302205882353</v>
      </c>
      <c r="N118" s="28" t="n">
        <f aca="false">L118-M118</f>
        <v>0</v>
      </c>
      <c r="O118" s="25" t="n">
        <f aca="false">IF(N118&gt;=-0.0000001,A118,O117)</f>
        <v>45979</v>
      </c>
      <c r="P118" s="29" t="n">
        <f aca="false">IF(AND(N118&gt;=-0.0000001,N117&lt;0),1,0)</f>
        <v>1</v>
      </c>
      <c r="Q118" s="30" t="n">
        <f aca="false">IF(P118=1,A118-O117,"")</f>
        <v>6</v>
      </c>
    </row>
    <row r="119" customFormat="false" ht="15" hidden="false" customHeight="false" outlineLevel="0" collapsed="false">
      <c r="A119" s="25" t="n">
        <v>45980</v>
      </c>
      <c r="B119" s="26" t="s">
        <v>81</v>
      </c>
      <c r="C119" s="27" t="n">
        <v>-15222</v>
      </c>
      <c r="D119" s="28" t="n">
        <f aca="false">C119/$T$1*100</f>
        <v>-0.895411764705883</v>
      </c>
      <c r="E119" s="28" t="n">
        <f aca="false">E118+D119</f>
        <v>53.5330129411765</v>
      </c>
      <c r="F119" s="28" t="n">
        <f aca="false">MAX(0,MAX($E$2:E119))</f>
        <v>54.4284247058824</v>
      </c>
      <c r="G119" s="28" t="n">
        <f aca="false">E119-F119</f>
        <v>-0.895411764705884</v>
      </c>
      <c r="H119" s="25" t="n">
        <f aca="false">IF(G119&gt;=-0.0000001,A119,H118)</f>
        <v>45979</v>
      </c>
      <c r="I119" s="29" t="n">
        <f aca="false">IF(AND(G119&gt;=-0.0000001,G118&lt;0),1,0)</f>
        <v>0</v>
      </c>
      <c r="J119" s="30" t="str">
        <f aca="false">IF(I119=1,A119-H118,"")</f>
        <v/>
      </c>
      <c r="K119" s="27" t="n">
        <f aca="false">IF(B119="Wednesday",0,C119)</f>
        <v>0</v>
      </c>
      <c r="L119" s="28" t="n">
        <f aca="false">L118+K119/$T$1*100</f>
        <v>53.9302205882353</v>
      </c>
      <c r="M119" s="28" t="n">
        <f aca="false">MAX(0,MAX($L$2:L119))</f>
        <v>53.9302205882353</v>
      </c>
      <c r="N119" s="28" t="n">
        <f aca="false">L119-M119</f>
        <v>0</v>
      </c>
      <c r="O119" s="25" t="n">
        <f aca="false">IF(N119&gt;=-0.0000001,A119,O118)</f>
        <v>45980</v>
      </c>
      <c r="P119" s="29" t="n">
        <f aca="false">IF(AND(N119&gt;=-0.0000001,N118&lt;0),1,0)</f>
        <v>0</v>
      </c>
      <c r="Q119" s="30" t="str">
        <f aca="false">IF(P119=1,A119-O118,"")</f>
        <v/>
      </c>
    </row>
    <row r="120" customFormat="false" ht="15" hidden="false" customHeight="false" outlineLevel="0" collapsed="false">
      <c r="A120" s="25" t="n">
        <v>45981</v>
      </c>
      <c r="B120" s="26" t="s">
        <v>82</v>
      </c>
      <c r="C120" s="27" t="n">
        <v>48785.56</v>
      </c>
      <c r="D120" s="28" t="n">
        <f aca="false">C120/$T$1*100</f>
        <v>2.86973882352941</v>
      </c>
      <c r="E120" s="28" t="n">
        <f aca="false">E119+D120</f>
        <v>56.4027517647059</v>
      </c>
      <c r="F120" s="28" t="n">
        <f aca="false">MAX(0,MAX($E$2:E120))</f>
        <v>56.4027517647059</v>
      </c>
      <c r="G120" s="28" t="n">
        <f aca="false">E120-F120</f>
        <v>0</v>
      </c>
      <c r="H120" s="25" t="n">
        <f aca="false">IF(G120&gt;=-0.0000001,A120,H119)</f>
        <v>45981</v>
      </c>
      <c r="I120" s="29" t="n">
        <f aca="false">IF(AND(G120&gt;=-0.0000001,G119&lt;0),1,0)</f>
        <v>1</v>
      </c>
      <c r="J120" s="30" t="n">
        <f aca="false">IF(I120=1,A120-H119,"")</f>
        <v>2</v>
      </c>
      <c r="K120" s="27" t="n">
        <f aca="false">IF(B120="Wednesday",0,C120)</f>
        <v>48785.56</v>
      </c>
      <c r="L120" s="28" t="n">
        <f aca="false">L119+K120/$T$1*100</f>
        <v>56.7999594117647</v>
      </c>
      <c r="M120" s="28" t="n">
        <f aca="false">MAX(0,MAX($L$2:L120))</f>
        <v>56.7999594117647</v>
      </c>
      <c r="N120" s="28" t="n">
        <f aca="false">L120-M120</f>
        <v>0</v>
      </c>
      <c r="O120" s="25" t="n">
        <f aca="false">IF(N120&gt;=-0.0000001,A120,O119)</f>
        <v>45981</v>
      </c>
      <c r="P120" s="29" t="n">
        <f aca="false">IF(AND(N120&gt;=-0.0000001,N119&lt;0),1,0)</f>
        <v>0</v>
      </c>
      <c r="Q120" s="30" t="str">
        <f aca="false">IF(P120=1,A120-O119,"")</f>
        <v/>
      </c>
    </row>
    <row r="121" customFormat="false" ht="15" hidden="false" customHeight="false" outlineLevel="0" collapsed="false">
      <c r="A121" s="25" t="n">
        <v>45982</v>
      </c>
      <c r="B121" s="26" t="s">
        <v>83</v>
      </c>
      <c r="C121" s="27" t="n">
        <v>-89362.13</v>
      </c>
      <c r="D121" s="28" t="n">
        <f aca="false">C121/$T$1*100</f>
        <v>-5.25659588235294</v>
      </c>
      <c r="E121" s="28" t="n">
        <f aca="false">E120+D121</f>
        <v>51.146155882353</v>
      </c>
      <c r="F121" s="28" t="n">
        <f aca="false">MAX(0,MAX($E$2:E121))</f>
        <v>56.4027517647059</v>
      </c>
      <c r="G121" s="28" t="n">
        <f aca="false">E121-F121</f>
        <v>-5.25659588235294</v>
      </c>
      <c r="H121" s="25" t="n">
        <f aca="false">IF(G121&gt;=-0.0000001,A121,H120)</f>
        <v>45981</v>
      </c>
      <c r="I121" s="29" t="n">
        <f aca="false">IF(AND(G121&gt;=-0.0000001,G120&lt;0),1,0)</f>
        <v>0</v>
      </c>
      <c r="J121" s="30" t="str">
        <f aca="false">IF(I121=1,A121-H120,"")</f>
        <v/>
      </c>
      <c r="K121" s="27" t="n">
        <f aca="false">IF(B121="Wednesday",0,C121)</f>
        <v>-89362.13</v>
      </c>
      <c r="L121" s="28" t="n">
        <f aca="false">L120+K121/$T$1*100</f>
        <v>51.5433635294118</v>
      </c>
      <c r="M121" s="28" t="n">
        <f aca="false">MAX(0,MAX($L$2:L121))</f>
        <v>56.7999594117647</v>
      </c>
      <c r="N121" s="28" t="n">
        <f aca="false">L121-M121</f>
        <v>-5.25659588235294</v>
      </c>
      <c r="O121" s="25" t="n">
        <f aca="false">IF(N121&gt;=-0.0000001,A121,O120)</f>
        <v>45981</v>
      </c>
      <c r="P121" s="29" t="n">
        <f aca="false">IF(AND(N121&gt;=-0.0000001,N120&lt;0),1,0)</f>
        <v>0</v>
      </c>
      <c r="Q121" s="30" t="str">
        <f aca="false">IF(P121=1,A121-O120,"")</f>
        <v/>
      </c>
    </row>
    <row r="122" customFormat="false" ht="15" hidden="false" customHeight="false" outlineLevel="0" collapsed="false">
      <c r="A122" s="25" t="n">
        <v>45983</v>
      </c>
      <c r="B122" s="26" t="s">
        <v>117</v>
      </c>
      <c r="C122" s="27" t="n">
        <v>20869.7</v>
      </c>
      <c r="D122" s="28" t="n">
        <f aca="false">C122/$T$1*100</f>
        <v>1.22762941176471</v>
      </c>
      <c r="E122" s="28" t="n">
        <f aca="false">E121+D122</f>
        <v>52.3737852941177</v>
      </c>
      <c r="F122" s="28" t="n">
        <f aca="false">MAX(0,MAX($E$2:E122))</f>
        <v>56.4027517647059</v>
      </c>
      <c r="G122" s="28" t="n">
        <f aca="false">E122-F122</f>
        <v>-4.02896647058824</v>
      </c>
      <c r="H122" s="25" t="n">
        <f aca="false">IF(G122&gt;=-0.0000001,A122,H121)</f>
        <v>45981</v>
      </c>
      <c r="I122" s="29" t="n">
        <f aca="false">IF(AND(G122&gt;=-0.0000001,G121&lt;0),1,0)</f>
        <v>0</v>
      </c>
      <c r="J122" s="30" t="str">
        <f aca="false">IF(I122=1,A122-H121,"")</f>
        <v/>
      </c>
      <c r="K122" s="27" t="n">
        <f aca="false">IF(B122="Wednesday",0,C122)</f>
        <v>20869.7</v>
      </c>
      <c r="L122" s="28" t="n">
        <f aca="false">L121+K122/$T$1*100</f>
        <v>52.7709929411765</v>
      </c>
      <c r="M122" s="28" t="n">
        <f aca="false">MAX(0,MAX($L$2:L122))</f>
        <v>56.7999594117647</v>
      </c>
      <c r="N122" s="28" t="n">
        <f aca="false">L122-M122</f>
        <v>-4.02896647058824</v>
      </c>
      <c r="O122" s="25" t="n">
        <f aca="false">IF(N122&gt;=-0.0000001,A122,O121)</f>
        <v>45981</v>
      </c>
      <c r="P122" s="29" t="n">
        <f aca="false">IF(AND(N122&gt;=-0.0000001,N121&lt;0),1,0)</f>
        <v>0</v>
      </c>
      <c r="Q122" s="30" t="str">
        <f aca="false">IF(P122=1,A122-O121,"")</f>
        <v/>
      </c>
    </row>
    <row r="123" customFormat="false" ht="15" hidden="false" customHeight="false" outlineLevel="0" collapsed="false">
      <c r="A123" s="25" t="n">
        <v>45985</v>
      </c>
      <c r="B123" s="26" t="s">
        <v>79</v>
      </c>
      <c r="C123" s="27" t="n">
        <v>-29281.82</v>
      </c>
      <c r="D123" s="28" t="n">
        <f aca="false">C123/$T$1*100</f>
        <v>-1.72246</v>
      </c>
      <c r="E123" s="28" t="n">
        <f aca="false">E122+D123</f>
        <v>50.6513252941177</v>
      </c>
      <c r="F123" s="28" t="n">
        <f aca="false">MAX(0,MAX($E$2:E123))</f>
        <v>56.4027517647059</v>
      </c>
      <c r="G123" s="28" t="n">
        <f aca="false">E123-F123</f>
        <v>-5.75142647058824</v>
      </c>
      <c r="H123" s="25" t="n">
        <f aca="false">IF(G123&gt;=-0.0000001,A123,H122)</f>
        <v>45981</v>
      </c>
      <c r="I123" s="29" t="n">
        <f aca="false">IF(AND(G123&gt;=-0.0000001,G122&lt;0),1,0)</f>
        <v>0</v>
      </c>
      <c r="J123" s="30" t="str">
        <f aca="false">IF(I123=1,A123-H122,"")</f>
        <v/>
      </c>
      <c r="K123" s="27" t="n">
        <f aca="false">IF(B123="Wednesday",0,C123)</f>
        <v>-29281.82</v>
      </c>
      <c r="L123" s="28" t="n">
        <f aca="false">L122+K123/$T$1*100</f>
        <v>51.0485329411765</v>
      </c>
      <c r="M123" s="28" t="n">
        <f aca="false">MAX(0,MAX($L$2:L123))</f>
        <v>56.7999594117647</v>
      </c>
      <c r="N123" s="28" t="n">
        <f aca="false">L123-M123</f>
        <v>-5.75142647058824</v>
      </c>
      <c r="O123" s="25" t="n">
        <f aca="false">IF(N123&gt;=-0.0000001,A123,O122)</f>
        <v>45981</v>
      </c>
      <c r="P123" s="29" t="n">
        <f aca="false">IF(AND(N123&gt;=-0.0000001,N122&lt;0),1,0)</f>
        <v>0</v>
      </c>
      <c r="Q123" s="30" t="str">
        <f aca="false">IF(P123=1,A123-O122,"")</f>
        <v/>
      </c>
    </row>
    <row r="124" customFormat="false" ht="15" hidden="false" customHeight="false" outlineLevel="0" collapsed="false">
      <c r="A124" s="25" t="n">
        <v>45986</v>
      </c>
      <c r="B124" s="26" t="s">
        <v>80</v>
      </c>
      <c r="C124" s="27" t="n">
        <v>33648.75</v>
      </c>
      <c r="D124" s="28" t="n">
        <f aca="false">C124/$T$1*100</f>
        <v>1.97933823529412</v>
      </c>
      <c r="E124" s="28" t="n">
        <f aca="false">E123+D124</f>
        <v>52.6306635294118</v>
      </c>
      <c r="F124" s="28" t="n">
        <f aca="false">MAX(0,MAX($E$2:E124))</f>
        <v>56.4027517647059</v>
      </c>
      <c r="G124" s="28" t="n">
        <f aca="false">E124-F124</f>
        <v>-3.77208823529412</v>
      </c>
      <c r="H124" s="25" t="n">
        <f aca="false">IF(G124&gt;=-0.0000001,A124,H123)</f>
        <v>45981</v>
      </c>
      <c r="I124" s="29" t="n">
        <f aca="false">IF(AND(G124&gt;=-0.0000001,G123&lt;0),1,0)</f>
        <v>0</v>
      </c>
      <c r="J124" s="30" t="str">
        <f aca="false">IF(I124=1,A124-H123,"")</f>
        <v/>
      </c>
      <c r="K124" s="27" t="n">
        <f aca="false">IF(B124="Wednesday",0,C124)</f>
        <v>33648.75</v>
      </c>
      <c r="L124" s="28" t="n">
        <f aca="false">L123+K124/$T$1*100</f>
        <v>53.0278711764706</v>
      </c>
      <c r="M124" s="28" t="n">
        <f aca="false">MAX(0,MAX($L$2:L124))</f>
        <v>56.7999594117647</v>
      </c>
      <c r="N124" s="28" t="n">
        <f aca="false">L124-M124</f>
        <v>-3.77208823529412</v>
      </c>
      <c r="O124" s="25" t="n">
        <f aca="false">IF(N124&gt;=-0.0000001,A124,O123)</f>
        <v>45981</v>
      </c>
      <c r="P124" s="29" t="n">
        <f aca="false">IF(AND(N124&gt;=-0.0000001,N123&lt;0),1,0)</f>
        <v>0</v>
      </c>
      <c r="Q124" s="30" t="str">
        <f aca="false">IF(P124=1,A124-O123,"")</f>
        <v/>
      </c>
    </row>
    <row r="125" customFormat="false" ht="15" hidden="false" customHeight="false" outlineLevel="0" collapsed="false">
      <c r="A125" s="25" t="n">
        <v>45987</v>
      </c>
      <c r="B125" s="26" t="s">
        <v>81</v>
      </c>
      <c r="C125" s="27" t="n">
        <v>-31056.75</v>
      </c>
      <c r="D125" s="28" t="n">
        <f aca="false">C125/$T$1*100</f>
        <v>-1.82686764705882</v>
      </c>
      <c r="E125" s="28" t="n">
        <f aca="false">E124+D125</f>
        <v>50.803795882353</v>
      </c>
      <c r="F125" s="28" t="n">
        <f aca="false">MAX(0,MAX($E$2:E125))</f>
        <v>56.4027517647059</v>
      </c>
      <c r="G125" s="28" t="n">
        <f aca="false">E125-F125</f>
        <v>-5.59895588235295</v>
      </c>
      <c r="H125" s="25" t="n">
        <f aca="false">IF(G125&gt;=-0.0000001,A125,H124)</f>
        <v>45981</v>
      </c>
      <c r="I125" s="29" t="n">
        <f aca="false">IF(AND(G125&gt;=-0.0000001,G124&lt;0),1,0)</f>
        <v>0</v>
      </c>
      <c r="J125" s="30" t="str">
        <f aca="false">IF(I125=1,A125-H124,"")</f>
        <v/>
      </c>
      <c r="K125" s="27" t="n">
        <f aca="false">IF(B125="Wednesday",0,C125)</f>
        <v>0</v>
      </c>
      <c r="L125" s="28" t="n">
        <f aca="false">L124+K125/$T$1*100</f>
        <v>53.0278711764706</v>
      </c>
      <c r="M125" s="28" t="n">
        <f aca="false">MAX(0,MAX($L$2:L125))</f>
        <v>56.7999594117647</v>
      </c>
      <c r="N125" s="28" t="n">
        <f aca="false">L125-M125</f>
        <v>-3.77208823529412</v>
      </c>
      <c r="O125" s="25" t="n">
        <f aca="false">IF(N125&gt;=-0.0000001,A125,O124)</f>
        <v>45981</v>
      </c>
      <c r="P125" s="29" t="n">
        <f aca="false">IF(AND(N125&gt;=-0.0000001,N124&lt;0),1,0)</f>
        <v>0</v>
      </c>
      <c r="Q125" s="30" t="str">
        <f aca="false">IF(P125=1,A125-O124,"")</f>
        <v/>
      </c>
    </row>
    <row r="126" customFormat="false" ht="15" hidden="false" customHeight="false" outlineLevel="0" collapsed="false">
      <c r="A126" s="25" t="n">
        <v>45988</v>
      </c>
      <c r="B126" s="26" t="s">
        <v>82</v>
      </c>
      <c r="C126" s="27" t="n">
        <v>50762.73</v>
      </c>
      <c r="D126" s="28" t="n">
        <f aca="false">C126/$T$1*100</f>
        <v>2.98604294117647</v>
      </c>
      <c r="E126" s="28" t="n">
        <f aca="false">E125+D126</f>
        <v>53.7898388235294</v>
      </c>
      <c r="F126" s="28" t="n">
        <f aca="false">MAX(0,MAX($E$2:E126))</f>
        <v>56.4027517647059</v>
      </c>
      <c r="G126" s="28" t="n">
        <f aca="false">E126-F126</f>
        <v>-2.61291294117648</v>
      </c>
      <c r="H126" s="25" t="n">
        <f aca="false">IF(G126&gt;=-0.0000001,A126,H125)</f>
        <v>45981</v>
      </c>
      <c r="I126" s="29" t="n">
        <f aca="false">IF(AND(G126&gt;=-0.0000001,G125&lt;0),1,0)</f>
        <v>0</v>
      </c>
      <c r="J126" s="30" t="str">
        <f aca="false">IF(I126=1,A126-H125,"")</f>
        <v/>
      </c>
      <c r="K126" s="27" t="n">
        <f aca="false">IF(B126="Wednesday",0,C126)</f>
        <v>50762.73</v>
      </c>
      <c r="L126" s="28" t="n">
        <f aca="false">L125+K126/$T$1*100</f>
        <v>56.0139141176471</v>
      </c>
      <c r="M126" s="28" t="n">
        <f aca="false">MAX(0,MAX($L$2:L126))</f>
        <v>56.7999594117647</v>
      </c>
      <c r="N126" s="28" t="n">
        <f aca="false">L126-M126</f>
        <v>-0.786045294117649</v>
      </c>
      <c r="O126" s="25" t="n">
        <f aca="false">IF(N126&gt;=-0.0000001,A126,O125)</f>
        <v>45981</v>
      </c>
      <c r="P126" s="29" t="n">
        <f aca="false">IF(AND(N126&gt;=-0.0000001,N125&lt;0),1,0)</f>
        <v>0</v>
      </c>
      <c r="Q126" s="30" t="str">
        <f aca="false">IF(P126=1,A126-O125,"")</f>
        <v/>
      </c>
    </row>
    <row r="127" customFormat="false" ht="15" hidden="false" customHeight="false" outlineLevel="0" collapsed="false">
      <c r="A127" s="25" t="n">
        <v>45989</v>
      </c>
      <c r="B127" s="26" t="s">
        <v>83</v>
      </c>
      <c r="C127" s="27" t="n">
        <v>8880</v>
      </c>
      <c r="D127" s="28" t="n">
        <f aca="false">C127/$T$1*100</f>
        <v>0.522352941176471</v>
      </c>
      <c r="E127" s="28" t="n">
        <f aca="false">E126+D127</f>
        <v>54.3121917647059</v>
      </c>
      <c r="F127" s="28" t="n">
        <f aca="false">MAX(0,MAX($E$2:E127))</f>
        <v>56.4027517647059</v>
      </c>
      <c r="G127" s="28" t="n">
        <f aca="false">E127-F127</f>
        <v>-2.09056</v>
      </c>
      <c r="H127" s="25" t="n">
        <f aca="false">IF(G127&gt;=-0.0000001,A127,H126)</f>
        <v>45981</v>
      </c>
      <c r="I127" s="29" t="n">
        <f aca="false">IF(AND(G127&gt;=-0.0000001,G126&lt;0),1,0)</f>
        <v>0</v>
      </c>
      <c r="J127" s="30" t="str">
        <f aca="false">IF(I127=1,A127-H126,"")</f>
        <v/>
      </c>
      <c r="K127" s="27" t="n">
        <f aca="false">IF(B127="Wednesday",0,C127)</f>
        <v>8880</v>
      </c>
      <c r="L127" s="28" t="n">
        <f aca="false">L126+K127/$T$1*100</f>
        <v>56.5362670588235</v>
      </c>
      <c r="M127" s="28" t="n">
        <f aca="false">MAX(0,MAX($L$2:L127))</f>
        <v>56.7999594117647</v>
      </c>
      <c r="N127" s="28" t="n">
        <f aca="false">L127-M127</f>
        <v>-0.263692352941177</v>
      </c>
      <c r="O127" s="25" t="n">
        <f aca="false">IF(N127&gt;=-0.0000001,A127,O126)</f>
        <v>45981</v>
      </c>
      <c r="P127" s="29" t="n">
        <f aca="false">IF(AND(N127&gt;=-0.0000001,N126&lt;0),1,0)</f>
        <v>0</v>
      </c>
      <c r="Q127" s="30" t="str">
        <f aca="false">IF(P127=1,A127-O126,"")</f>
        <v/>
      </c>
    </row>
    <row r="128" customFormat="false" ht="15" hidden="false" customHeight="false" outlineLevel="0" collapsed="false">
      <c r="A128" s="25" t="n">
        <v>45992</v>
      </c>
      <c r="B128" s="26" t="s">
        <v>79</v>
      </c>
      <c r="C128" s="27" t="n">
        <v>75665.19</v>
      </c>
      <c r="D128" s="28" t="n">
        <f aca="false">C128/$T$1*100</f>
        <v>4.45089352941177</v>
      </c>
      <c r="E128" s="28" t="n">
        <f aca="false">E127+D128</f>
        <v>58.7630852941177</v>
      </c>
      <c r="F128" s="28" t="n">
        <f aca="false">MAX(0,MAX($E$2:E128))</f>
        <v>58.7630852941177</v>
      </c>
      <c r="G128" s="28" t="n">
        <f aca="false">E128-F128</f>
        <v>0</v>
      </c>
      <c r="H128" s="25" t="n">
        <f aca="false">IF(G128&gt;=-0.0000001,A128,H127)</f>
        <v>45992</v>
      </c>
      <c r="I128" s="29" t="n">
        <f aca="false">IF(AND(G128&gt;=-0.0000001,G127&lt;0),1,0)</f>
        <v>1</v>
      </c>
      <c r="J128" s="30" t="n">
        <f aca="false">IF(I128=1,A128-H127,"")</f>
        <v>11</v>
      </c>
      <c r="K128" s="27" t="n">
        <f aca="false">IF(B128="Wednesday",0,C128)</f>
        <v>75665.19</v>
      </c>
      <c r="L128" s="28" t="n">
        <f aca="false">L127+K128/$T$1*100</f>
        <v>60.9871605882353</v>
      </c>
      <c r="M128" s="28" t="n">
        <f aca="false">MAX(0,MAX($L$2:L128))</f>
        <v>60.9871605882353</v>
      </c>
      <c r="N128" s="28" t="n">
        <f aca="false">L128-M128</f>
        <v>0</v>
      </c>
      <c r="O128" s="25" t="n">
        <f aca="false">IF(N128&gt;=-0.0000001,A128,O127)</f>
        <v>45992</v>
      </c>
      <c r="P128" s="29" t="n">
        <f aca="false">IF(AND(N128&gt;=-0.0000001,N127&lt;0),1,0)</f>
        <v>1</v>
      </c>
      <c r="Q128" s="30" t="n">
        <f aca="false">IF(P128=1,A128-O127,"")</f>
        <v>11</v>
      </c>
    </row>
    <row r="129" customFormat="false" ht="15" hidden="false" customHeight="false" outlineLevel="0" collapsed="false">
      <c r="A129" s="25" t="n">
        <v>45993</v>
      </c>
      <c r="B129" s="26" t="s">
        <v>80</v>
      </c>
      <c r="C129" s="27" t="n">
        <v>19503.75</v>
      </c>
      <c r="D129" s="28" t="n">
        <f aca="false">C129/$T$1*100</f>
        <v>1.14727941176471</v>
      </c>
      <c r="E129" s="28" t="n">
        <f aca="false">E128+D129</f>
        <v>59.9103647058824</v>
      </c>
      <c r="F129" s="28" t="n">
        <f aca="false">MAX(0,MAX($E$2:E129))</f>
        <v>59.9103647058824</v>
      </c>
      <c r="G129" s="28" t="n">
        <f aca="false">E129-F129</f>
        <v>0</v>
      </c>
      <c r="H129" s="25" t="n">
        <f aca="false">IF(G129&gt;=-0.0000001,A129,H128)</f>
        <v>45993</v>
      </c>
      <c r="I129" s="29" t="n">
        <f aca="false">IF(AND(G129&gt;=-0.0000001,G128&lt;0),1,0)</f>
        <v>0</v>
      </c>
      <c r="J129" s="30" t="str">
        <f aca="false">IF(I129=1,A129-H128,"")</f>
        <v/>
      </c>
      <c r="K129" s="27" t="n">
        <f aca="false">IF(B129="Wednesday",0,C129)</f>
        <v>19503.75</v>
      </c>
      <c r="L129" s="28" t="n">
        <f aca="false">L128+K129/$T$1*100</f>
        <v>62.13444</v>
      </c>
      <c r="M129" s="28" t="n">
        <f aca="false">MAX(0,MAX($L$2:L129))</f>
        <v>62.13444</v>
      </c>
      <c r="N129" s="28" t="n">
        <f aca="false">L129-M129</f>
        <v>0</v>
      </c>
      <c r="O129" s="25" t="n">
        <f aca="false">IF(N129&gt;=-0.0000001,A129,O128)</f>
        <v>45993</v>
      </c>
      <c r="P129" s="29" t="n">
        <f aca="false">IF(AND(N129&gt;=-0.0000001,N128&lt;0),1,0)</f>
        <v>0</v>
      </c>
      <c r="Q129" s="30" t="str">
        <f aca="false">IF(P129=1,A129-O128,"")</f>
        <v/>
      </c>
    </row>
    <row r="130" customFormat="false" ht="15" hidden="false" customHeight="false" outlineLevel="0" collapsed="false">
      <c r="A130" s="25" t="n">
        <v>45994</v>
      </c>
      <c r="B130" s="26" t="s">
        <v>81</v>
      </c>
      <c r="C130" s="27" t="n">
        <v>11511</v>
      </c>
      <c r="D130" s="28" t="n">
        <f aca="false">C130/$T$1*100</f>
        <v>0.677117647058824</v>
      </c>
      <c r="E130" s="28" t="n">
        <f aca="false">E129+D130</f>
        <v>60.5874823529412</v>
      </c>
      <c r="F130" s="28" t="n">
        <f aca="false">MAX(0,MAX($E$2:E130))</f>
        <v>60.5874823529412</v>
      </c>
      <c r="G130" s="28" t="n">
        <f aca="false">E130-F130</f>
        <v>0</v>
      </c>
      <c r="H130" s="25" t="n">
        <f aca="false">IF(G130&gt;=-0.0000001,A130,H129)</f>
        <v>45994</v>
      </c>
      <c r="I130" s="29" t="n">
        <f aca="false">IF(AND(G130&gt;=-0.0000001,G129&lt;0),1,0)</f>
        <v>0</v>
      </c>
      <c r="J130" s="30" t="str">
        <f aca="false">IF(I130=1,A130-H129,"")</f>
        <v/>
      </c>
      <c r="K130" s="27" t="n">
        <f aca="false">IF(B130="Wednesday",0,C130)</f>
        <v>0</v>
      </c>
      <c r="L130" s="28" t="n">
        <f aca="false">L129+K130/$T$1*100</f>
        <v>62.13444</v>
      </c>
      <c r="M130" s="28" t="n">
        <f aca="false">MAX(0,MAX($L$2:L130))</f>
        <v>62.13444</v>
      </c>
      <c r="N130" s="28" t="n">
        <f aca="false">L130-M130</f>
        <v>0</v>
      </c>
      <c r="O130" s="25" t="n">
        <f aca="false">IF(N130&gt;=-0.0000001,A130,O129)</f>
        <v>45994</v>
      </c>
      <c r="P130" s="29" t="n">
        <f aca="false">IF(AND(N130&gt;=-0.0000001,N129&lt;0),1,0)</f>
        <v>0</v>
      </c>
      <c r="Q130" s="30" t="str">
        <f aca="false">IF(P130=1,A130-O129,"")</f>
        <v/>
      </c>
    </row>
    <row r="131" customFormat="false" ht="15" hidden="false" customHeight="false" outlineLevel="0" collapsed="false">
      <c r="A131" s="25" t="n">
        <v>45995</v>
      </c>
      <c r="B131" s="26" t="s">
        <v>82</v>
      </c>
      <c r="C131" s="27" t="n">
        <v>10539.6</v>
      </c>
      <c r="D131" s="28" t="n">
        <f aca="false">C131/$T$1*100</f>
        <v>0.619976470588235</v>
      </c>
      <c r="E131" s="28" t="n">
        <f aca="false">E130+D131</f>
        <v>61.2074588235294</v>
      </c>
      <c r="F131" s="28" t="n">
        <f aca="false">MAX(0,MAX($E$2:E131))</f>
        <v>61.2074588235294</v>
      </c>
      <c r="G131" s="28" t="n">
        <f aca="false">E131-F131</f>
        <v>0</v>
      </c>
      <c r="H131" s="25" t="n">
        <f aca="false">IF(G131&gt;=-0.0000001,A131,H130)</f>
        <v>45995</v>
      </c>
      <c r="I131" s="29" t="n">
        <f aca="false">IF(AND(G131&gt;=-0.0000001,G130&lt;0),1,0)</f>
        <v>0</v>
      </c>
      <c r="J131" s="30" t="str">
        <f aca="false">IF(I131=1,A131-H130,"")</f>
        <v/>
      </c>
      <c r="K131" s="27" t="n">
        <f aca="false">IF(B131="Wednesday",0,C131)</f>
        <v>10539.6</v>
      </c>
      <c r="L131" s="28" t="n">
        <f aca="false">L130+K131/$T$1*100</f>
        <v>62.7544164705882</v>
      </c>
      <c r="M131" s="28" t="n">
        <f aca="false">MAX(0,MAX($L$2:L131))</f>
        <v>62.7544164705882</v>
      </c>
      <c r="N131" s="28" t="n">
        <f aca="false">L131-M131</f>
        <v>0</v>
      </c>
      <c r="O131" s="25" t="n">
        <f aca="false">IF(N131&gt;=-0.0000001,A131,O130)</f>
        <v>45995</v>
      </c>
      <c r="P131" s="29" t="n">
        <f aca="false">IF(AND(N131&gt;=-0.0000001,N130&lt;0),1,0)</f>
        <v>0</v>
      </c>
      <c r="Q131" s="30" t="str">
        <f aca="false">IF(P131=1,A131-O130,"")</f>
        <v/>
      </c>
    </row>
    <row r="132" customFormat="false" ht="15" hidden="false" customHeight="false" outlineLevel="0" collapsed="false">
      <c r="A132" s="25" t="n">
        <v>45996</v>
      </c>
      <c r="B132" s="26" t="s">
        <v>83</v>
      </c>
      <c r="C132" s="27" t="n">
        <v>-80841</v>
      </c>
      <c r="D132" s="28" t="n">
        <f aca="false">C132/$T$1*100</f>
        <v>-4.75535294117647</v>
      </c>
      <c r="E132" s="28" t="n">
        <f aca="false">E131+D132</f>
        <v>56.452105882353</v>
      </c>
      <c r="F132" s="28" t="n">
        <f aca="false">MAX(0,MAX($E$2:E132))</f>
        <v>61.2074588235294</v>
      </c>
      <c r="G132" s="28" t="n">
        <f aca="false">E132-F132</f>
        <v>-4.75535294117647</v>
      </c>
      <c r="H132" s="25" t="n">
        <f aca="false">IF(G132&gt;=-0.0000001,A132,H131)</f>
        <v>45995</v>
      </c>
      <c r="I132" s="29" t="n">
        <f aca="false">IF(AND(G132&gt;=-0.0000001,G131&lt;0),1,0)</f>
        <v>0</v>
      </c>
      <c r="J132" s="30" t="str">
        <f aca="false">IF(I132=1,A132-H131,"")</f>
        <v/>
      </c>
      <c r="K132" s="27" t="n">
        <f aca="false">IF(B132="Wednesday",0,C132)</f>
        <v>-80841</v>
      </c>
      <c r="L132" s="28" t="n">
        <f aca="false">L131+K132/$T$1*100</f>
        <v>57.9990635294118</v>
      </c>
      <c r="M132" s="28" t="n">
        <f aca="false">MAX(0,MAX($L$2:L132))</f>
        <v>62.7544164705882</v>
      </c>
      <c r="N132" s="28" t="n">
        <f aca="false">L132-M132</f>
        <v>-4.75535294117647</v>
      </c>
      <c r="O132" s="25" t="n">
        <f aca="false">IF(N132&gt;=-0.0000001,A132,O131)</f>
        <v>45995</v>
      </c>
      <c r="P132" s="29" t="n">
        <f aca="false">IF(AND(N132&gt;=-0.0000001,N131&lt;0),1,0)</f>
        <v>0</v>
      </c>
      <c r="Q132" s="30" t="str">
        <f aca="false">IF(P132=1,A132-O131,"")</f>
        <v/>
      </c>
    </row>
    <row r="133" customFormat="false" ht="15" hidden="false" customHeight="false" outlineLevel="0" collapsed="false">
      <c r="A133" s="25" t="n">
        <v>45999</v>
      </c>
      <c r="B133" s="26" t="s">
        <v>79</v>
      </c>
      <c r="C133" s="27" t="n">
        <v>-12051.63</v>
      </c>
      <c r="D133" s="28" t="n">
        <f aca="false">C133/$T$1*100</f>
        <v>-0.708919411764706</v>
      </c>
      <c r="E133" s="28" t="n">
        <f aca="false">E132+D133</f>
        <v>55.7431864705883</v>
      </c>
      <c r="F133" s="28" t="n">
        <f aca="false">MAX(0,MAX($E$2:E133))</f>
        <v>61.2074588235294</v>
      </c>
      <c r="G133" s="28" t="n">
        <f aca="false">E133-F133</f>
        <v>-5.46427235294117</v>
      </c>
      <c r="H133" s="25" t="n">
        <f aca="false">IF(G133&gt;=-0.0000001,A133,H132)</f>
        <v>45995</v>
      </c>
      <c r="I133" s="29" t="n">
        <f aca="false">IF(AND(G133&gt;=-0.0000001,G132&lt;0),1,0)</f>
        <v>0</v>
      </c>
      <c r="J133" s="30" t="str">
        <f aca="false">IF(I133=1,A133-H132,"")</f>
        <v/>
      </c>
      <c r="K133" s="27" t="n">
        <f aca="false">IF(B133="Wednesday",0,C133)</f>
        <v>-12051.63</v>
      </c>
      <c r="L133" s="28" t="n">
        <f aca="false">L132+K133/$T$1*100</f>
        <v>57.2901441176471</v>
      </c>
      <c r="M133" s="28" t="n">
        <f aca="false">MAX(0,MAX($L$2:L133))</f>
        <v>62.7544164705882</v>
      </c>
      <c r="N133" s="28" t="n">
        <f aca="false">L133-M133</f>
        <v>-5.46427235294117</v>
      </c>
      <c r="O133" s="25" t="n">
        <f aca="false">IF(N133&gt;=-0.0000001,A133,O132)</f>
        <v>45995</v>
      </c>
      <c r="P133" s="29" t="n">
        <f aca="false">IF(AND(N133&gt;=-0.0000001,N132&lt;0),1,0)</f>
        <v>0</v>
      </c>
      <c r="Q133" s="30" t="str">
        <f aca="false">IF(P133=1,A133-O132,"")</f>
        <v/>
      </c>
    </row>
    <row r="134" customFormat="false" ht="15" hidden="false" customHeight="false" outlineLevel="0" collapsed="false">
      <c r="A134" s="25" t="n">
        <v>46000</v>
      </c>
      <c r="B134" s="26" t="s">
        <v>80</v>
      </c>
      <c r="C134" s="27" t="n">
        <v>69505.6</v>
      </c>
      <c r="D134" s="28" t="n">
        <f aca="false">C134/$T$1*100</f>
        <v>4.08856470588235</v>
      </c>
      <c r="E134" s="28" t="n">
        <f aca="false">E133+D134</f>
        <v>59.8317511764706</v>
      </c>
      <c r="F134" s="28" t="n">
        <f aca="false">MAX(0,MAX($E$2:E134))</f>
        <v>61.2074588235294</v>
      </c>
      <c r="G134" s="28" t="n">
        <f aca="false">E134-F134</f>
        <v>-1.37570764705882</v>
      </c>
      <c r="H134" s="25" t="n">
        <f aca="false">IF(G134&gt;=-0.0000001,A134,H133)</f>
        <v>45995</v>
      </c>
      <c r="I134" s="29" t="n">
        <f aca="false">IF(AND(G134&gt;=-0.0000001,G133&lt;0),1,0)</f>
        <v>0</v>
      </c>
      <c r="J134" s="30" t="str">
        <f aca="false">IF(I134=1,A134-H133,"")</f>
        <v/>
      </c>
      <c r="K134" s="27" t="n">
        <f aca="false">IF(B134="Wednesday",0,C134)</f>
        <v>69505.6</v>
      </c>
      <c r="L134" s="28" t="n">
        <f aca="false">L133+K134/$T$1*100</f>
        <v>61.3787088235294</v>
      </c>
      <c r="M134" s="28" t="n">
        <f aca="false">MAX(0,MAX($L$2:L134))</f>
        <v>62.7544164705882</v>
      </c>
      <c r="N134" s="28" t="n">
        <f aca="false">L134-M134</f>
        <v>-1.37570764705882</v>
      </c>
      <c r="O134" s="25" t="n">
        <f aca="false">IF(N134&gt;=-0.0000001,A134,O133)</f>
        <v>45995</v>
      </c>
      <c r="P134" s="29" t="n">
        <f aca="false">IF(AND(N134&gt;=-0.0000001,N133&lt;0),1,0)</f>
        <v>0</v>
      </c>
      <c r="Q134" s="30" t="str">
        <f aca="false">IF(P134=1,A134-O133,"")</f>
        <v/>
      </c>
    </row>
    <row r="135" customFormat="false" ht="15" hidden="false" customHeight="false" outlineLevel="0" collapsed="false">
      <c r="A135" s="25" t="n">
        <v>46001</v>
      </c>
      <c r="B135" s="26" t="s">
        <v>81</v>
      </c>
      <c r="C135" s="27" t="n">
        <v>-21839.91</v>
      </c>
      <c r="D135" s="28" t="n">
        <f aca="false">C135/$T$1*100</f>
        <v>-1.28470058823529</v>
      </c>
      <c r="E135" s="28" t="n">
        <f aca="false">E134+D135</f>
        <v>58.5470505882353</v>
      </c>
      <c r="F135" s="28" t="n">
        <f aca="false">MAX(0,MAX($E$2:E135))</f>
        <v>61.2074588235294</v>
      </c>
      <c r="G135" s="28" t="n">
        <f aca="false">E135-F135</f>
        <v>-2.66040823529411</v>
      </c>
      <c r="H135" s="25" t="n">
        <f aca="false">IF(G135&gt;=-0.0000001,A135,H134)</f>
        <v>45995</v>
      </c>
      <c r="I135" s="29" t="n">
        <f aca="false">IF(AND(G135&gt;=-0.0000001,G134&lt;0),1,0)</f>
        <v>0</v>
      </c>
      <c r="J135" s="30" t="str">
        <f aca="false">IF(I135=1,A135-H134,"")</f>
        <v/>
      </c>
      <c r="K135" s="27" t="n">
        <f aca="false">IF(B135="Wednesday",0,C135)</f>
        <v>0</v>
      </c>
      <c r="L135" s="28" t="n">
        <f aca="false">L134+K135/$T$1*100</f>
        <v>61.3787088235294</v>
      </c>
      <c r="M135" s="28" t="n">
        <f aca="false">MAX(0,MAX($L$2:L135))</f>
        <v>62.7544164705882</v>
      </c>
      <c r="N135" s="28" t="n">
        <f aca="false">L135-M135</f>
        <v>-1.37570764705882</v>
      </c>
      <c r="O135" s="25" t="n">
        <f aca="false">IF(N135&gt;=-0.0000001,A135,O134)</f>
        <v>45995</v>
      </c>
      <c r="P135" s="29" t="n">
        <f aca="false">IF(AND(N135&gt;=-0.0000001,N134&lt;0),1,0)</f>
        <v>0</v>
      </c>
      <c r="Q135" s="30" t="str">
        <f aca="false">IF(P135=1,A135-O134,"")</f>
        <v/>
      </c>
    </row>
    <row r="136" customFormat="false" ht="15" hidden="false" customHeight="false" outlineLevel="0" collapsed="false">
      <c r="A136" s="25" t="n">
        <v>46002</v>
      </c>
      <c r="B136" s="26" t="s">
        <v>82</v>
      </c>
      <c r="C136" s="27" t="n">
        <v>33069</v>
      </c>
      <c r="D136" s="28" t="n">
        <f aca="false">C136/$T$1*100</f>
        <v>1.94523529411765</v>
      </c>
      <c r="E136" s="28" t="n">
        <f aca="false">E135+D136</f>
        <v>60.492285882353</v>
      </c>
      <c r="F136" s="28" t="n">
        <f aca="false">MAX(0,MAX($E$2:E136))</f>
        <v>61.2074588235294</v>
      </c>
      <c r="G136" s="28" t="n">
        <f aca="false">E136-F136</f>
        <v>-0.715172941176469</v>
      </c>
      <c r="H136" s="25" t="n">
        <f aca="false">IF(G136&gt;=-0.0000001,A136,H135)</f>
        <v>45995</v>
      </c>
      <c r="I136" s="29" t="n">
        <f aca="false">IF(AND(G136&gt;=-0.0000001,G135&lt;0),1,0)</f>
        <v>0</v>
      </c>
      <c r="J136" s="30" t="str">
        <f aca="false">IF(I136=1,A136-H135,"")</f>
        <v/>
      </c>
      <c r="K136" s="27" t="n">
        <f aca="false">IF(B136="Wednesday",0,C136)</f>
        <v>33069</v>
      </c>
      <c r="L136" s="28" t="n">
        <f aca="false">L135+K136/$T$1*100</f>
        <v>63.3239441176471</v>
      </c>
      <c r="M136" s="28" t="n">
        <f aca="false">MAX(0,MAX($L$2:L136))</f>
        <v>63.3239441176471</v>
      </c>
      <c r="N136" s="28" t="n">
        <f aca="false">L136-M136</f>
        <v>0</v>
      </c>
      <c r="O136" s="25" t="n">
        <f aca="false">IF(N136&gt;=-0.0000001,A136,O135)</f>
        <v>46002</v>
      </c>
      <c r="P136" s="29" t="n">
        <f aca="false">IF(AND(N136&gt;=-0.0000001,N135&lt;0),1,0)</f>
        <v>1</v>
      </c>
      <c r="Q136" s="30" t="n">
        <f aca="false">IF(P136=1,A136-O135,"")</f>
        <v>7</v>
      </c>
    </row>
    <row r="137" customFormat="false" ht="15" hidden="false" customHeight="false" outlineLevel="0" collapsed="false">
      <c r="A137" s="25" t="n">
        <v>46003</v>
      </c>
      <c r="B137" s="26" t="s">
        <v>83</v>
      </c>
      <c r="C137" s="27" t="n">
        <v>-10561.37</v>
      </c>
      <c r="D137" s="28" t="n">
        <f aca="false">C137/$T$1*100</f>
        <v>-0.621257058823529</v>
      </c>
      <c r="E137" s="28" t="n">
        <f aca="false">E136+D137</f>
        <v>59.8710288235294</v>
      </c>
      <c r="F137" s="28" t="n">
        <f aca="false">MAX(0,MAX($E$2:E137))</f>
        <v>61.2074588235294</v>
      </c>
      <c r="G137" s="28" t="n">
        <f aca="false">E137-F137</f>
        <v>-1.33643</v>
      </c>
      <c r="H137" s="25" t="n">
        <f aca="false">IF(G137&gt;=-0.0000001,A137,H136)</f>
        <v>45995</v>
      </c>
      <c r="I137" s="29" t="n">
        <f aca="false">IF(AND(G137&gt;=-0.0000001,G136&lt;0),1,0)</f>
        <v>0</v>
      </c>
      <c r="J137" s="30" t="str">
        <f aca="false">IF(I137=1,A137-H136,"")</f>
        <v/>
      </c>
      <c r="K137" s="27" t="n">
        <f aca="false">IF(B137="Wednesday",0,C137)</f>
        <v>-10561.37</v>
      </c>
      <c r="L137" s="28" t="n">
        <f aca="false">L136+K137/$T$1*100</f>
        <v>62.7026870588235</v>
      </c>
      <c r="M137" s="28" t="n">
        <f aca="false">MAX(0,MAX($L$2:L137))</f>
        <v>63.3239441176471</v>
      </c>
      <c r="N137" s="28" t="n">
        <f aca="false">L137-M137</f>
        <v>-0.621257058823531</v>
      </c>
      <c r="O137" s="25" t="n">
        <f aca="false">IF(N137&gt;=-0.0000001,A137,O136)</f>
        <v>46002</v>
      </c>
      <c r="P137" s="29" t="n">
        <f aca="false">IF(AND(N137&gt;=-0.0000001,N136&lt;0),1,0)</f>
        <v>0</v>
      </c>
      <c r="Q137" s="30" t="str">
        <f aca="false">IF(P137=1,A137-O136,"")</f>
        <v/>
      </c>
    </row>
    <row r="138" customFormat="false" ht="15" hidden="false" customHeight="false" outlineLevel="0" collapsed="false">
      <c r="A138" s="25" t="n">
        <v>46006</v>
      </c>
      <c r="B138" s="26" t="s">
        <v>79</v>
      </c>
      <c r="C138" s="27" t="n">
        <v>6655.93</v>
      </c>
      <c r="D138" s="28" t="n">
        <f aca="false">C138/$T$1*100</f>
        <v>0.391525294117647</v>
      </c>
      <c r="E138" s="28" t="n">
        <f aca="false">E137+D138</f>
        <v>60.2625541176471</v>
      </c>
      <c r="F138" s="28" t="n">
        <f aca="false">MAX(0,MAX($E$2:E138))</f>
        <v>61.2074588235294</v>
      </c>
      <c r="G138" s="28" t="n">
        <f aca="false">E138-F138</f>
        <v>-0.944904705882351</v>
      </c>
      <c r="H138" s="25" t="n">
        <f aca="false">IF(G138&gt;=-0.0000001,A138,H137)</f>
        <v>45995</v>
      </c>
      <c r="I138" s="29" t="n">
        <f aca="false">IF(AND(G138&gt;=-0.0000001,G137&lt;0),1,0)</f>
        <v>0</v>
      </c>
      <c r="J138" s="30" t="str">
        <f aca="false">IF(I138=1,A138-H137,"")</f>
        <v/>
      </c>
      <c r="K138" s="27" t="n">
        <f aca="false">IF(B138="Wednesday",0,C138)</f>
        <v>6655.93</v>
      </c>
      <c r="L138" s="28" t="n">
        <f aca="false">L137+K138/$T$1*100</f>
        <v>63.0942123529412</v>
      </c>
      <c r="M138" s="28" t="n">
        <f aca="false">MAX(0,MAX($L$2:L138))</f>
        <v>63.3239441176471</v>
      </c>
      <c r="N138" s="28" t="n">
        <f aca="false">L138-M138</f>
        <v>-0.229731764705882</v>
      </c>
      <c r="O138" s="25" t="n">
        <f aca="false">IF(N138&gt;=-0.0000001,A138,O137)</f>
        <v>46002</v>
      </c>
      <c r="P138" s="29" t="n">
        <f aca="false">IF(AND(N138&gt;=-0.0000001,N137&lt;0),1,0)</f>
        <v>0</v>
      </c>
      <c r="Q138" s="30" t="str">
        <f aca="false">IF(P138=1,A138-O137,"")</f>
        <v/>
      </c>
    </row>
    <row r="139" customFormat="false" ht="15" hidden="false" customHeight="false" outlineLevel="0" collapsed="false">
      <c r="A139" s="25" t="n">
        <v>46007</v>
      </c>
      <c r="B139" s="26" t="s">
        <v>80</v>
      </c>
      <c r="C139" s="27" t="n">
        <v>22673.28</v>
      </c>
      <c r="D139" s="28" t="n">
        <f aca="false">C139/$T$1*100</f>
        <v>1.33372235294118</v>
      </c>
      <c r="E139" s="28" t="n">
        <f aca="false">E138+D139</f>
        <v>61.5962764705882</v>
      </c>
      <c r="F139" s="28" t="n">
        <f aca="false">MAX(0,MAX($E$2:E139))</f>
        <v>61.5962764705882</v>
      </c>
      <c r="G139" s="28" t="n">
        <f aca="false">E139-F139</f>
        <v>0</v>
      </c>
      <c r="H139" s="25" t="n">
        <f aca="false">IF(G139&gt;=-0.0000001,A139,H138)</f>
        <v>46007</v>
      </c>
      <c r="I139" s="29" t="n">
        <f aca="false">IF(AND(G139&gt;=-0.0000001,G138&lt;0),1,0)</f>
        <v>1</v>
      </c>
      <c r="J139" s="30" t="n">
        <f aca="false">IF(I139=1,A139-H138,"")</f>
        <v>12</v>
      </c>
      <c r="K139" s="27" t="n">
        <f aca="false">IF(B139="Wednesday",0,C139)</f>
        <v>22673.28</v>
      </c>
      <c r="L139" s="28" t="n">
        <f aca="false">L138+K139/$T$1*100</f>
        <v>64.4279347058824</v>
      </c>
      <c r="M139" s="28" t="n">
        <f aca="false">MAX(0,MAX($L$2:L139))</f>
        <v>64.4279347058824</v>
      </c>
      <c r="N139" s="28" t="n">
        <f aca="false">L139-M139</f>
        <v>0</v>
      </c>
      <c r="O139" s="25" t="n">
        <f aca="false">IF(N139&gt;=-0.0000001,A139,O138)</f>
        <v>46007</v>
      </c>
      <c r="P139" s="29" t="n">
        <f aca="false">IF(AND(N139&gt;=-0.0000001,N138&lt;0),1,0)</f>
        <v>1</v>
      </c>
      <c r="Q139" s="30" t="n">
        <f aca="false">IF(P139=1,A139-O138,"")</f>
        <v>5</v>
      </c>
    </row>
    <row r="140" customFormat="false" ht="15" hidden="false" customHeight="false" outlineLevel="0" collapsed="false">
      <c r="A140" s="25" t="n">
        <v>46008</v>
      </c>
      <c r="B140" s="26" t="s">
        <v>81</v>
      </c>
      <c r="C140" s="27" t="n">
        <v>3927.75</v>
      </c>
      <c r="D140" s="28" t="n">
        <f aca="false">C140/$T$1*100</f>
        <v>0.231044117647059</v>
      </c>
      <c r="E140" s="28" t="n">
        <f aca="false">E139+D140</f>
        <v>61.8273205882353</v>
      </c>
      <c r="F140" s="28" t="n">
        <f aca="false">MAX(0,MAX($E$2:E140))</f>
        <v>61.8273205882353</v>
      </c>
      <c r="G140" s="28" t="n">
        <f aca="false">E140-F140</f>
        <v>0</v>
      </c>
      <c r="H140" s="25" t="n">
        <f aca="false">IF(G140&gt;=-0.0000001,A140,H139)</f>
        <v>46008</v>
      </c>
      <c r="I140" s="29" t="n">
        <f aca="false">IF(AND(G140&gt;=-0.0000001,G139&lt;0),1,0)</f>
        <v>0</v>
      </c>
      <c r="J140" s="30" t="str">
        <f aca="false">IF(I140=1,A140-H139,"")</f>
        <v/>
      </c>
      <c r="K140" s="27" t="n">
        <f aca="false">IF(B140="Wednesday",0,C140)</f>
        <v>0</v>
      </c>
      <c r="L140" s="28" t="n">
        <f aca="false">L139+K140/$T$1*100</f>
        <v>64.4279347058824</v>
      </c>
      <c r="M140" s="28" t="n">
        <f aca="false">MAX(0,MAX($L$2:L140))</f>
        <v>64.4279347058824</v>
      </c>
      <c r="N140" s="28" t="n">
        <f aca="false">L140-M140</f>
        <v>0</v>
      </c>
      <c r="O140" s="25" t="n">
        <f aca="false">IF(N140&gt;=-0.0000001,A140,O139)</f>
        <v>46008</v>
      </c>
      <c r="P140" s="29" t="n">
        <f aca="false">IF(AND(N140&gt;=-0.0000001,N139&lt;0),1,0)</f>
        <v>0</v>
      </c>
      <c r="Q140" s="30" t="str">
        <f aca="false">IF(P140=1,A140-O139,"")</f>
        <v/>
      </c>
    </row>
    <row r="141" customFormat="false" ht="15" hidden="false" customHeight="false" outlineLevel="0" collapsed="false">
      <c r="A141" s="25" t="n">
        <v>46009</v>
      </c>
      <c r="B141" s="26" t="s">
        <v>82</v>
      </c>
      <c r="C141" s="27" t="n">
        <v>21472.31</v>
      </c>
      <c r="D141" s="28" t="n">
        <f aca="false">C141/$T$1*100</f>
        <v>1.26307705882353</v>
      </c>
      <c r="E141" s="28" t="n">
        <f aca="false">E140+D141</f>
        <v>63.0903976470588</v>
      </c>
      <c r="F141" s="28" t="n">
        <f aca="false">MAX(0,MAX($E$2:E141))</f>
        <v>63.0903976470588</v>
      </c>
      <c r="G141" s="28" t="n">
        <f aca="false">E141-F141</f>
        <v>0</v>
      </c>
      <c r="H141" s="25" t="n">
        <f aca="false">IF(G141&gt;=-0.0000001,A141,H140)</f>
        <v>46009</v>
      </c>
      <c r="I141" s="29" t="n">
        <f aca="false">IF(AND(G141&gt;=-0.0000001,G140&lt;0),1,0)</f>
        <v>0</v>
      </c>
      <c r="J141" s="30" t="str">
        <f aca="false">IF(I141=1,A141-H140,"")</f>
        <v/>
      </c>
      <c r="K141" s="27" t="n">
        <f aca="false">IF(B141="Wednesday",0,C141)</f>
        <v>21472.31</v>
      </c>
      <c r="L141" s="28" t="n">
        <f aca="false">L140+K141/$T$1*100</f>
        <v>65.6910117647059</v>
      </c>
      <c r="M141" s="28" t="n">
        <f aca="false">MAX(0,MAX($L$2:L141))</f>
        <v>65.6910117647059</v>
      </c>
      <c r="N141" s="28" t="n">
        <f aca="false">L141-M141</f>
        <v>0</v>
      </c>
      <c r="O141" s="25" t="n">
        <f aca="false">IF(N141&gt;=-0.0000001,A141,O140)</f>
        <v>46009</v>
      </c>
      <c r="P141" s="29" t="n">
        <f aca="false">IF(AND(N141&gt;=-0.0000001,N140&lt;0),1,0)</f>
        <v>0</v>
      </c>
      <c r="Q141" s="30" t="str">
        <f aca="false">IF(P141=1,A141-O140,"")</f>
        <v/>
      </c>
    </row>
    <row r="142" customFormat="false" ht="15" hidden="false" customHeight="false" outlineLevel="0" collapsed="false">
      <c r="A142" s="25" t="n">
        <v>46010</v>
      </c>
      <c r="B142" s="26" t="s">
        <v>83</v>
      </c>
      <c r="C142" s="27" t="n">
        <v>11283.88</v>
      </c>
      <c r="D142" s="28" t="n">
        <f aca="false">C142/$T$1*100</f>
        <v>0.663757647058824</v>
      </c>
      <c r="E142" s="28" t="n">
        <f aca="false">E141+D142</f>
        <v>63.7541552941177</v>
      </c>
      <c r="F142" s="28" t="n">
        <f aca="false">MAX(0,MAX($E$2:E142))</f>
        <v>63.7541552941177</v>
      </c>
      <c r="G142" s="28" t="n">
        <f aca="false">E142-F142</f>
        <v>0</v>
      </c>
      <c r="H142" s="25" t="n">
        <f aca="false">IF(G142&gt;=-0.0000001,A142,H141)</f>
        <v>46010</v>
      </c>
      <c r="I142" s="29" t="n">
        <f aca="false">IF(AND(G142&gt;=-0.0000001,G141&lt;0),1,0)</f>
        <v>0</v>
      </c>
      <c r="J142" s="30" t="str">
        <f aca="false">IF(I142=1,A142-H141,"")</f>
        <v/>
      </c>
      <c r="K142" s="27" t="n">
        <f aca="false">IF(B142="Wednesday",0,C142)</f>
        <v>11283.88</v>
      </c>
      <c r="L142" s="28" t="n">
        <f aca="false">L141+K142/$T$1*100</f>
        <v>66.3547694117647</v>
      </c>
      <c r="M142" s="28" t="n">
        <f aca="false">MAX(0,MAX($L$2:L142))</f>
        <v>66.3547694117647</v>
      </c>
      <c r="N142" s="28" t="n">
        <f aca="false">L142-M142</f>
        <v>0</v>
      </c>
      <c r="O142" s="25" t="n">
        <f aca="false">IF(N142&gt;=-0.0000001,A142,O141)</f>
        <v>46010</v>
      </c>
      <c r="P142" s="29" t="n">
        <f aca="false">IF(AND(N142&gt;=-0.0000001,N141&lt;0),1,0)</f>
        <v>0</v>
      </c>
      <c r="Q142" s="30" t="str">
        <f aca="false">IF(P142=1,A142-O141,"")</f>
        <v/>
      </c>
    </row>
    <row r="143" customFormat="false" ht="15" hidden="false" customHeight="false" outlineLevel="0" collapsed="false">
      <c r="A143" s="25" t="n">
        <v>46013</v>
      </c>
      <c r="B143" s="26" t="s">
        <v>79</v>
      </c>
      <c r="C143" s="27" t="n">
        <v>17718.39</v>
      </c>
      <c r="D143" s="28" t="n">
        <f aca="false">C143/$T$1*100</f>
        <v>1.04225823529412</v>
      </c>
      <c r="E143" s="28" t="n">
        <f aca="false">E142+D143</f>
        <v>64.7964135294118</v>
      </c>
      <c r="F143" s="28" t="n">
        <f aca="false">MAX(0,MAX($E$2:E143))</f>
        <v>64.7964135294118</v>
      </c>
      <c r="G143" s="28" t="n">
        <f aca="false">E143-F143</f>
        <v>0</v>
      </c>
      <c r="H143" s="25" t="n">
        <f aca="false">IF(G143&gt;=-0.0000001,A143,H142)</f>
        <v>46013</v>
      </c>
      <c r="I143" s="29" t="n">
        <f aca="false">IF(AND(G143&gt;=-0.0000001,G142&lt;0),1,0)</f>
        <v>0</v>
      </c>
      <c r="J143" s="30" t="str">
        <f aca="false">IF(I143=1,A143-H142,"")</f>
        <v/>
      </c>
      <c r="K143" s="27" t="n">
        <f aca="false">IF(B143="Wednesday",0,C143)</f>
        <v>17718.39</v>
      </c>
      <c r="L143" s="28" t="n">
        <f aca="false">L142+K143/$T$1*100</f>
        <v>67.3970276470588</v>
      </c>
      <c r="M143" s="28" t="n">
        <f aca="false">MAX(0,MAX($L$2:L143))</f>
        <v>67.3970276470588</v>
      </c>
      <c r="N143" s="28" t="n">
        <f aca="false">L143-M143</f>
        <v>0</v>
      </c>
      <c r="O143" s="25" t="n">
        <f aca="false">IF(N143&gt;=-0.0000001,A143,O142)</f>
        <v>46013</v>
      </c>
      <c r="P143" s="29" t="n">
        <f aca="false">IF(AND(N143&gt;=-0.0000001,N142&lt;0),1,0)</f>
        <v>0</v>
      </c>
      <c r="Q143" s="30" t="str">
        <f aca="false">IF(P143=1,A143-O142,"")</f>
        <v/>
      </c>
    </row>
    <row r="144" customFormat="false" ht="15" hidden="false" customHeight="false" outlineLevel="0" collapsed="false">
      <c r="A144" s="25" t="n">
        <v>46014</v>
      </c>
      <c r="B144" s="26" t="s">
        <v>80</v>
      </c>
      <c r="C144" s="27" t="n">
        <v>31370.41</v>
      </c>
      <c r="D144" s="28" t="n">
        <f aca="false">C144/$T$1*100</f>
        <v>1.84531823529412</v>
      </c>
      <c r="E144" s="28" t="n">
        <f aca="false">E143+D144</f>
        <v>66.6417317647059</v>
      </c>
      <c r="F144" s="28" t="n">
        <f aca="false">MAX(0,MAX($E$2:E144))</f>
        <v>66.6417317647059</v>
      </c>
      <c r="G144" s="28" t="n">
        <f aca="false">E144-F144</f>
        <v>0</v>
      </c>
      <c r="H144" s="25" t="n">
        <f aca="false">IF(G144&gt;=-0.0000001,A144,H143)</f>
        <v>46014</v>
      </c>
      <c r="I144" s="29" t="n">
        <f aca="false">IF(AND(G144&gt;=-0.0000001,G143&lt;0),1,0)</f>
        <v>0</v>
      </c>
      <c r="J144" s="30" t="str">
        <f aca="false">IF(I144=1,A144-H143,"")</f>
        <v/>
      </c>
      <c r="K144" s="27" t="n">
        <f aca="false">IF(B144="Wednesday",0,C144)</f>
        <v>31370.41</v>
      </c>
      <c r="L144" s="28" t="n">
        <f aca="false">L143+K144/$T$1*100</f>
        <v>69.2423458823529</v>
      </c>
      <c r="M144" s="28" t="n">
        <f aca="false">MAX(0,MAX($L$2:L144))</f>
        <v>69.2423458823529</v>
      </c>
      <c r="N144" s="28" t="n">
        <f aca="false">L144-M144</f>
        <v>0</v>
      </c>
      <c r="O144" s="25" t="n">
        <f aca="false">IF(N144&gt;=-0.0000001,A144,O143)</f>
        <v>46014</v>
      </c>
      <c r="P144" s="29" t="n">
        <f aca="false">IF(AND(N144&gt;=-0.0000001,N143&lt;0),1,0)</f>
        <v>0</v>
      </c>
      <c r="Q144" s="30" t="str">
        <f aca="false">IF(P144=1,A144-O143,"")</f>
        <v/>
      </c>
    </row>
    <row r="145" customFormat="false" ht="15" hidden="false" customHeight="false" outlineLevel="0" collapsed="false">
      <c r="A145" s="25" t="n">
        <v>46015</v>
      </c>
      <c r="B145" s="26" t="s">
        <v>81</v>
      </c>
      <c r="C145" s="27" t="n">
        <v>-45689.92</v>
      </c>
      <c r="D145" s="28" t="n">
        <f aca="false">C145/$T$1*100</f>
        <v>-2.68764235294118</v>
      </c>
      <c r="E145" s="28" t="n">
        <f aca="false">E144+D145</f>
        <v>63.9540894117647</v>
      </c>
      <c r="F145" s="28" t="n">
        <f aca="false">MAX(0,MAX($E$2:E145))</f>
        <v>66.6417317647059</v>
      </c>
      <c r="G145" s="28" t="n">
        <f aca="false">E145-F145</f>
        <v>-2.68764235294118</v>
      </c>
      <c r="H145" s="25" t="n">
        <f aca="false">IF(G145&gt;=-0.0000001,A145,H144)</f>
        <v>46014</v>
      </c>
      <c r="I145" s="29" t="n">
        <f aca="false">IF(AND(G145&gt;=-0.0000001,G144&lt;0),1,0)</f>
        <v>0</v>
      </c>
      <c r="J145" s="30" t="str">
        <f aca="false">IF(I145=1,A145-H144,"")</f>
        <v/>
      </c>
      <c r="K145" s="27" t="n">
        <f aca="false">IF(B145="Wednesday",0,C145)</f>
        <v>0</v>
      </c>
      <c r="L145" s="28" t="n">
        <f aca="false">L144+K145/$T$1*100</f>
        <v>69.2423458823529</v>
      </c>
      <c r="M145" s="28" t="n">
        <f aca="false">MAX(0,MAX($L$2:L145))</f>
        <v>69.2423458823529</v>
      </c>
      <c r="N145" s="28" t="n">
        <f aca="false">L145-M145</f>
        <v>0</v>
      </c>
      <c r="O145" s="25" t="n">
        <f aca="false">IF(N145&gt;=-0.0000001,A145,O144)</f>
        <v>46015</v>
      </c>
      <c r="P145" s="29" t="n">
        <f aca="false">IF(AND(N145&gt;=-0.0000001,N144&lt;0),1,0)</f>
        <v>0</v>
      </c>
      <c r="Q145" s="30" t="str">
        <f aca="false">IF(P145=1,A145-O144,"")</f>
        <v/>
      </c>
    </row>
    <row r="146" customFormat="false" ht="15" hidden="false" customHeight="false" outlineLevel="0" collapsed="false">
      <c r="A146" s="25" t="n">
        <v>46017</v>
      </c>
      <c r="B146" s="26" t="s">
        <v>83</v>
      </c>
      <c r="C146" s="27" t="n">
        <v>30494.25</v>
      </c>
      <c r="D146" s="28" t="n">
        <f aca="false">C146/$T$1*100</f>
        <v>1.79377941176471</v>
      </c>
      <c r="E146" s="28" t="n">
        <f aca="false">E145+D146</f>
        <v>65.7478688235294</v>
      </c>
      <c r="F146" s="28" t="n">
        <f aca="false">MAX(0,MAX($E$2:E146))</f>
        <v>66.6417317647059</v>
      </c>
      <c r="G146" s="28" t="n">
        <f aca="false">E146-F146</f>
        <v>-0.893862941176465</v>
      </c>
      <c r="H146" s="25" t="n">
        <f aca="false">IF(G146&gt;=-0.0000001,A146,H145)</f>
        <v>46014</v>
      </c>
      <c r="I146" s="29" t="n">
        <f aca="false">IF(AND(G146&gt;=-0.0000001,G145&lt;0),1,0)</f>
        <v>0</v>
      </c>
      <c r="J146" s="30" t="str">
        <f aca="false">IF(I146=1,A146-H145,"")</f>
        <v/>
      </c>
      <c r="K146" s="27" t="n">
        <f aca="false">IF(B146="Wednesday",0,C146)</f>
        <v>30494.25</v>
      </c>
      <c r="L146" s="28" t="n">
        <f aca="false">L145+K146/$T$1*100</f>
        <v>71.0361252941176</v>
      </c>
      <c r="M146" s="28" t="n">
        <f aca="false">MAX(0,MAX($L$2:L146))</f>
        <v>71.0361252941176</v>
      </c>
      <c r="N146" s="28" t="n">
        <f aca="false">L146-M146</f>
        <v>0</v>
      </c>
      <c r="O146" s="25" t="n">
        <f aca="false">IF(N146&gt;=-0.0000001,A146,O145)</f>
        <v>46017</v>
      </c>
      <c r="P146" s="29" t="n">
        <f aca="false">IF(AND(N146&gt;=-0.0000001,N145&lt;0),1,0)</f>
        <v>0</v>
      </c>
      <c r="Q146" s="30" t="str">
        <f aca="false">IF(P146=1,A146-O145,"")</f>
        <v/>
      </c>
    </row>
    <row r="147" customFormat="false" ht="15" hidden="false" customHeight="false" outlineLevel="0" collapsed="false">
      <c r="A147" s="25" t="n">
        <v>46020</v>
      </c>
      <c r="B147" s="26" t="s">
        <v>79</v>
      </c>
      <c r="C147" s="27" t="n">
        <v>52990.33</v>
      </c>
      <c r="D147" s="28" t="n">
        <f aca="false">C147/$T$1*100</f>
        <v>3.11707823529412</v>
      </c>
      <c r="E147" s="28" t="n">
        <f aca="false">E146+D147</f>
        <v>68.8649470588235</v>
      </c>
      <c r="F147" s="28" t="n">
        <f aca="false">MAX(0,MAX($E$2:E147))</f>
        <v>68.8649470588235</v>
      </c>
      <c r="G147" s="28" t="n">
        <f aca="false">E147-F147</f>
        <v>0</v>
      </c>
      <c r="H147" s="25" t="n">
        <f aca="false">IF(G147&gt;=-0.0000001,A147,H146)</f>
        <v>46020</v>
      </c>
      <c r="I147" s="29" t="n">
        <f aca="false">IF(AND(G147&gt;=-0.0000001,G146&lt;0),1,0)</f>
        <v>1</v>
      </c>
      <c r="J147" s="30" t="n">
        <f aca="false">IF(I147=1,A147-H146,"")</f>
        <v>6</v>
      </c>
      <c r="K147" s="27" t="n">
        <f aca="false">IF(B147="Wednesday",0,C147)</f>
        <v>52990.33</v>
      </c>
      <c r="L147" s="28" t="n">
        <f aca="false">L146+K147/$T$1*100</f>
        <v>74.1532035294118</v>
      </c>
      <c r="M147" s="28" t="n">
        <f aca="false">MAX(0,MAX($L$2:L147))</f>
        <v>74.1532035294118</v>
      </c>
      <c r="N147" s="28" t="n">
        <f aca="false">L147-M147</f>
        <v>0</v>
      </c>
      <c r="O147" s="25" t="n">
        <f aca="false">IF(N147&gt;=-0.0000001,A147,O146)</f>
        <v>46020</v>
      </c>
      <c r="P147" s="29" t="n">
        <f aca="false">IF(AND(N147&gt;=-0.0000001,N146&lt;0),1,0)</f>
        <v>0</v>
      </c>
      <c r="Q147" s="30" t="str">
        <f aca="false">IF(P147=1,A147-O146,"")</f>
        <v/>
      </c>
    </row>
    <row r="148" customFormat="false" ht="15" hidden="false" customHeight="false" outlineLevel="0" collapsed="false">
      <c r="A148" s="25" t="n">
        <v>46021</v>
      </c>
      <c r="B148" s="26" t="s">
        <v>80</v>
      </c>
      <c r="C148" s="27" t="n">
        <v>-13254.25</v>
      </c>
      <c r="D148" s="28" t="n">
        <f aca="false">C148/$T$1*100</f>
        <v>-0.779661764705882</v>
      </c>
      <c r="E148" s="28" t="n">
        <f aca="false">E147+D148</f>
        <v>68.0852852941177</v>
      </c>
      <c r="F148" s="28" t="n">
        <f aca="false">MAX(0,MAX($E$2:E148))</f>
        <v>68.8649470588235</v>
      </c>
      <c r="G148" s="28" t="n">
        <f aca="false">E148-F148</f>
        <v>-0.779661764705878</v>
      </c>
      <c r="H148" s="25" t="n">
        <f aca="false">IF(G148&gt;=-0.0000001,A148,H147)</f>
        <v>46020</v>
      </c>
      <c r="I148" s="29" t="n">
        <f aca="false">IF(AND(G148&gt;=-0.0000001,G147&lt;0),1,0)</f>
        <v>0</v>
      </c>
      <c r="J148" s="30" t="str">
        <f aca="false">IF(I148=1,A148-H147,"")</f>
        <v/>
      </c>
      <c r="K148" s="27" t="n">
        <f aca="false">IF(B148="Wednesday",0,C148)</f>
        <v>-13254.25</v>
      </c>
      <c r="L148" s="28" t="n">
        <f aca="false">L147+K148/$T$1*100</f>
        <v>73.3735417647059</v>
      </c>
      <c r="M148" s="28" t="n">
        <f aca="false">MAX(0,MAX($L$2:L148))</f>
        <v>74.1532035294118</v>
      </c>
      <c r="N148" s="28" t="n">
        <f aca="false">L148-M148</f>
        <v>-0.779661764705878</v>
      </c>
      <c r="O148" s="25" t="n">
        <f aca="false">IF(N148&gt;=-0.0000001,A148,O147)</f>
        <v>46020</v>
      </c>
      <c r="P148" s="29" t="n">
        <f aca="false">IF(AND(N148&gt;=-0.0000001,N147&lt;0),1,0)</f>
        <v>0</v>
      </c>
      <c r="Q148" s="30" t="str">
        <f aca="false">IF(P148=1,A148-O147,"")</f>
        <v/>
      </c>
    </row>
    <row r="149" customFormat="false" ht="15" hidden="false" customHeight="false" outlineLevel="0" collapsed="false">
      <c r="A149" s="25" t="n">
        <v>46022</v>
      </c>
      <c r="B149" s="26" t="s">
        <v>81</v>
      </c>
      <c r="C149" s="27" t="n">
        <v>12186.87</v>
      </c>
      <c r="D149" s="28" t="n">
        <f aca="false">C149/$T$1*100</f>
        <v>0.716874705882353</v>
      </c>
      <c r="E149" s="28" t="n">
        <f aca="false">E148+D149</f>
        <v>68.80216</v>
      </c>
      <c r="F149" s="28" t="n">
        <f aca="false">MAX(0,MAX($E$2:E149))</f>
        <v>68.8649470588235</v>
      </c>
      <c r="G149" s="28" t="n">
        <f aca="false">E149-F149</f>
        <v>-0.0627870588235311</v>
      </c>
      <c r="H149" s="25" t="n">
        <f aca="false">IF(G149&gt;=-0.0000001,A149,H148)</f>
        <v>46020</v>
      </c>
      <c r="I149" s="29" t="n">
        <f aca="false">IF(AND(G149&gt;=-0.0000001,G148&lt;0),1,0)</f>
        <v>0</v>
      </c>
      <c r="J149" s="30" t="str">
        <f aca="false">IF(I149=1,A149-H148,"")</f>
        <v/>
      </c>
      <c r="K149" s="27" t="n">
        <f aca="false">IF(B149="Wednesday",0,C149)</f>
        <v>0</v>
      </c>
      <c r="L149" s="28" t="n">
        <f aca="false">L148+K149/$T$1*100</f>
        <v>73.3735417647059</v>
      </c>
      <c r="M149" s="28" t="n">
        <f aca="false">MAX(0,MAX($L$2:L149))</f>
        <v>74.1532035294118</v>
      </c>
      <c r="N149" s="28" t="n">
        <f aca="false">L149-M149</f>
        <v>-0.779661764705878</v>
      </c>
      <c r="O149" s="25" t="n">
        <f aca="false">IF(N149&gt;=-0.0000001,A149,O148)</f>
        <v>46020</v>
      </c>
      <c r="P149" s="29" t="n">
        <f aca="false">IF(AND(N149&gt;=-0.0000001,N148&lt;0),1,0)</f>
        <v>0</v>
      </c>
      <c r="Q149" s="30" t="str">
        <f aca="false">IF(P149=1,A149-O148,"")</f>
        <v/>
      </c>
    </row>
    <row r="150" customFormat="false" ht="15" hidden="false" customHeight="false" outlineLevel="0" collapsed="false">
      <c r="A150" s="25" t="n">
        <v>46023</v>
      </c>
      <c r="B150" s="26" t="s">
        <v>82</v>
      </c>
      <c r="C150" s="27" t="n">
        <v>22123.37</v>
      </c>
      <c r="D150" s="28" t="n">
        <f aca="false">C150/$T$1*100</f>
        <v>1.30137470588235</v>
      </c>
      <c r="E150" s="28" t="n">
        <f aca="false">E149+D150</f>
        <v>70.1035347058824</v>
      </c>
      <c r="F150" s="28" t="n">
        <f aca="false">MAX(0,MAX($E$2:E150))</f>
        <v>70.1035347058824</v>
      </c>
      <c r="G150" s="28" t="n">
        <f aca="false">E150-F150</f>
        <v>0</v>
      </c>
      <c r="H150" s="25" t="n">
        <f aca="false">IF(G150&gt;=-0.0000001,A150,H149)</f>
        <v>46023</v>
      </c>
      <c r="I150" s="29" t="n">
        <f aca="false">IF(AND(G150&gt;=-0.0000001,G149&lt;0),1,0)</f>
        <v>1</v>
      </c>
      <c r="J150" s="30" t="n">
        <f aca="false">IF(I150=1,A150-H149,"")</f>
        <v>3</v>
      </c>
      <c r="K150" s="27" t="n">
        <f aca="false">IF(B150="Wednesday",0,C150)</f>
        <v>22123.37</v>
      </c>
      <c r="L150" s="28" t="n">
        <f aca="false">L149+K150/$T$1*100</f>
        <v>74.6749164705882</v>
      </c>
      <c r="M150" s="28" t="n">
        <f aca="false">MAX(0,MAX($L$2:L150))</f>
        <v>74.6749164705882</v>
      </c>
      <c r="N150" s="28" t="n">
        <f aca="false">L150-M150</f>
        <v>0</v>
      </c>
      <c r="O150" s="25" t="n">
        <f aca="false">IF(N150&gt;=-0.0000001,A150,O149)</f>
        <v>46023</v>
      </c>
      <c r="P150" s="29" t="n">
        <f aca="false">IF(AND(N150&gt;=-0.0000001,N149&lt;0),1,0)</f>
        <v>1</v>
      </c>
      <c r="Q150" s="30" t="n">
        <f aca="false">IF(P150=1,A150-O149,"")</f>
        <v>3</v>
      </c>
    </row>
    <row r="151" customFormat="false" ht="15" hidden="false" customHeight="false" outlineLevel="0" collapsed="false">
      <c r="A151" s="25" t="n">
        <v>46024</v>
      </c>
      <c r="B151" s="26" t="s">
        <v>83</v>
      </c>
      <c r="C151" s="27" t="n">
        <v>-23924.95</v>
      </c>
      <c r="D151" s="28" t="n">
        <f aca="false">C151/$T$1*100</f>
        <v>-1.40735</v>
      </c>
      <c r="E151" s="28" t="n">
        <f aca="false">E150+D151</f>
        <v>68.6961847058824</v>
      </c>
      <c r="F151" s="28" t="n">
        <f aca="false">MAX(0,MAX($E$2:E151))</f>
        <v>70.1035347058824</v>
      </c>
      <c r="G151" s="28" t="n">
        <f aca="false">E151-F151</f>
        <v>-1.40734999999999</v>
      </c>
      <c r="H151" s="25" t="n">
        <f aca="false">IF(G151&gt;=-0.0000001,A151,H150)</f>
        <v>46023</v>
      </c>
      <c r="I151" s="29" t="n">
        <f aca="false">IF(AND(G151&gt;=-0.0000001,G150&lt;0),1,0)</f>
        <v>0</v>
      </c>
      <c r="J151" s="30" t="str">
        <f aca="false">IF(I151=1,A151-H150,"")</f>
        <v/>
      </c>
      <c r="K151" s="27" t="n">
        <f aca="false">IF(B151="Wednesday",0,C151)</f>
        <v>-23924.95</v>
      </c>
      <c r="L151" s="28" t="n">
        <f aca="false">L150+K151/$T$1*100</f>
        <v>73.2675664705882</v>
      </c>
      <c r="M151" s="28" t="n">
        <f aca="false">MAX(0,MAX($L$2:L151))</f>
        <v>74.6749164705882</v>
      </c>
      <c r="N151" s="28" t="n">
        <f aca="false">L151-M151</f>
        <v>-1.40734999999999</v>
      </c>
      <c r="O151" s="25" t="n">
        <f aca="false">IF(N151&gt;=-0.0000001,A151,O150)</f>
        <v>46023</v>
      </c>
      <c r="P151" s="29" t="n">
        <f aca="false">IF(AND(N151&gt;=-0.0000001,N150&lt;0),1,0)</f>
        <v>0</v>
      </c>
      <c r="Q151" s="30" t="str">
        <f aca="false">IF(P151=1,A151-O150,"")</f>
        <v/>
      </c>
    </row>
    <row r="152" customFormat="false" ht="15" hidden="false" customHeight="false" outlineLevel="0" collapsed="false">
      <c r="A152" s="25" t="n">
        <v>46027</v>
      </c>
      <c r="B152" s="26" t="s">
        <v>79</v>
      </c>
      <c r="C152" s="27" t="n">
        <v>-15950.35</v>
      </c>
      <c r="D152" s="28" t="n">
        <f aca="false">C152/$T$1*100</f>
        <v>-0.938255882352941</v>
      </c>
      <c r="E152" s="28" t="n">
        <f aca="false">E151+D152</f>
        <v>67.7579288235294</v>
      </c>
      <c r="F152" s="28" t="n">
        <f aca="false">MAX(0,MAX($E$2:E152))</f>
        <v>70.1035347058824</v>
      </c>
      <c r="G152" s="28" t="n">
        <f aca="false">E152-F152</f>
        <v>-2.34560588235294</v>
      </c>
      <c r="H152" s="25" t="n">
        <f aca="false">IF(G152&gt;=-0.0000001,A152,H151)</f>
        <v>46023</v>
      </c>
      <c r="I152" s="29" t="n">
        <f aca="false">IF(AND(G152&gt;=-0.0000001,G151&lt;0),1,0)</f>
        <v>0</v>
      </c>
      <c r="J152" s="30" t="str">
        <f aca="false">IF(I152=1,A152-H151,"")</f>
        <v/>
      </c>
      <c r="K152" s="27" t="n">
        <f aca="false">IF(B152="Wednesday",0,C152)</f>
        <v>-15950.35</v>
      </c>
      <c r="L152" s="28" t="n">
        <f aca="false">L151+K152/$T$1*100</f>
        <v>72.3293105882353</v>
      </c>
      <c r="M152" s="28" t="n">
        <f aca="false">MAX(0,MAX($L$2:L152))</f>
        <v>74.6749164705882</v>
      </c>
      <c r="N152" s="28" t="n">
        <f aca="false">L152-M152</f>
        <v>-2.34560588235294</v>
      </c>
      <c r="O152" s="25" t="n">
        <f aca="false">IF(N152&gt;=-0.0000001,A152,O151)</f>
        <v>46023</v>
      </c>
      <c r="P152" s="29" t="n">
        <f aca="false">IF(AND(N152&gt;=-0.0000001,N151&lt;0),1,0)</f>
        <v>0</v>
      </c>
      <c r="Q152" s="30" t="str">
        <f aca="false">IF(P152=1,A152-O151,"")</f>
        <v/>
      </c>
    </row>
    <row r="153" customFormat="false" ht="15" hidden="false" customHeight="false" outlineLevel="0" collapsed="false">
      <c r="A153" s="25" t="n">
        <v>46028</v>
      </c>
      <c r="B153" s="26" t="s">
        <v>80</v>
      </c>
      <c r="C153" s="27" t="n">
        <v>27012.3</v>
      </c>
      <c r="D153" s="28" t="n">
        <f aca="false">C153/$T$1*100</f>
        <v>1.58895882352941</v>
      </c>
      <c r="E153" s="28" t="n">
        <f aca="false">E152+D153</f>
        <v>69.3468876470588</v>
      </c>
      <c r="F153" s="28" t="n">
        <f aca="false">MAX(0,MAX($E$2:E153))</f>
        <v>70.1035347058824</v>
      </c>
      <c r="G153" s="28" t="n">
        <f aca="false">E153-F153</f>
        <v>-0.756647058823532</v>
      </c>
      <c r="H153" s="25" t="n">
        <f aca="false">IF(G153&gt;=-0.0000001,A153,H152)</f>
        <v>46023</v>
      </c>
      <c r="I153" s="29" t="n">
        <f aca="false">IF(AND(G153&gt;=-0.0000001,G152&lt;0),1,0)</f>
        <v>0</v>
      </c>
      <c r="J153" s="30" t="str">
        <f aca="false">IF(I153=1,A153-H152,"")</f>
        <v/>
      </c>
      <c r="K153" s="27" t="n">
        <f aca="false">IF(B153="Wednesday",0,C153)</f>
        <v>27012.3</v>
      </c>
      <c r="L153" s="28" t="n">
        <f aca="false">L152+K153/$T$1*100</f>
        <v>73.9182694117647</v>
      </c>
      <c r="M153" s="28" t="n">
        <f aca="false">MAX(0,MAX($L$2:L153))</f>
        <v>74.6749164705882</v>
      </c>
      <c r="N153" s="28" t="n">
        <f aca="false">L153-M153</f>
        <v>-0.756647058823532</v>
      </c>
      <c r="O153" s="25" t="n">
        <f aca="false">IF(N153&gt;=-0.0000001,A153,O152)</f>
        <v>46023</v>
      </c>
      <c r="P153" s="29" t="n">
        <f aca="false">IF(AND(N153&gt;=-0.0000001,N152&lt;0),1,0)</f>
        <v>0</v>
      </c>
      <c r="Q153" s="30" t="str">
        <f aca="false">IF(P153=1,A153-O152,"")</f>
        <v/>
      </c>
    </row>
    <row r="154" customFormat="false" ht="15" hidden="false" customHeight="false" outlineLevel="0" collapsed="false">
      <c r="A154" s="25" t="n">
        <v>46029</v>
      </c>
      <c r="B154" s="26" t="s">
        <v>81</v>
      </c>
      <c r="C154" s="27" t="n">
        <v>-5707</v>
      </c>
      <c r="D154" s="28" t="n">
        <f aca="false">C154/$T$1*100</f>
        <v>-0.335705882352941</v>
      </c>
      <c r="E154" s="28" t="n">
        <f aca="false">E153+D154</f>
        <v>69.0111817647059</v>
      </c>
      <c r="F154" s="28" t="n">
        <f aca="false">MAX(0,MAX($E$2:E154))</f>
        <v>70.1035347058824</v>
      </c>
      <c r="G154" s="28" t="n">
        <f aca="false">E154-F154</f>
        <v>-1.09235294117647</v>
      </c>
      <c r="H154" s="25" t="n">
        <f aca="false">IF(G154&gt;=-0.0000001,A154,H153)</f>
        <v>46023</v>
      </c>
      <c r="I154" s="29" t="n">
        <f aca="false">IF(AND(G154&gt;=-0.0000001,G153&lt;0),1,0)</f>
        <v>0</v>
      </c>
      <c r="J154" s="30" t="str">
        <f aca="false">IF(I154=1,A154-H153,"")</f>
        <v/>
      </c>
      <c r="K154" s="27" t="n">
        <f aca="false">IF(B154="Wednesday",0,C154)</f>
        <v>0</v>
      </c>
      <c r="L154" s="28" t="n">
        <f aca="false">L153+K154/$T$1*100</f>
        <v>73.9182694117647</v>
      </c>
      <c r="M154" s="28" t="n">
        <f aca="false">MAX(0,MAX($L$2:L154))</f>
        <v>74.6749164705882</v>
      </c>
      <c r="N154" s="28" t="n">
        <f aca="false">L154-M154</f>
        <v>-0.756647058823532</v>
      </c>
      <c r="O154" s="25" t="n">
        <f aca="false">IF(N154&gt;=-0.0000001,A154,O153)</f>
        <v>46023</v>
      </c>
      <c r="P154" s="29" t="n">
        <f aca="false">IF(AND(N154&gt;=-0.0000001,N153&lt;0),1,0)</f>
        <v>0</v>
      </c>
      <c r="Q154" s="30" t="str">
        <f aca="false">IF(P154=1,A154-O153,"")</f>
        <v/>
      </c>
    </row>
    <row r="155" customFormat="false" ht="15" hidden="false" customHeight="false" outlineLevel="0" collapsed="false">
      <c r="A155" s="25" t="n">
        <v>46030</v>
      </c>
      <c r="B155" s="26" t="s">
        <v>82</v>
      </c>
      <c r="C155" s="27" t="n">
        <v>33704.26</v>
      </c>
      <c r="D155" s="28" t="n">
        <f aca="false">C155/$T$1*100</f>
        <v>1.98260352941177</v>
      </c>
      <c r="E155" s="28" t="n">
        <f aca="false">E154+D155</f>
        <v>70.9937852941176</v>
      </c>
      <c r="F155" s="28" t="n">
        <f aca="false">MAX(0,MAX($E$2:E155))</f>
        <v>70.9937852941176</v>
      </c>
      <c r="G155" s="28" t="n">
        <f aca="false">E155-F155</f>
        <v>0</v>
      </c>
      <c r="H155" s="25" t="n">
        <f aca="false">IF(G155&gt;=-0.0000001,A155,H154)</f>
        <v>46030</v>
      </c>
      <c r="I155" s="29" t="n">
        <f aca="false">IF(AND(G155&gt;=-0.0000001,G154&lt;0),1,0)</f>
        <v>1</v>
      </c>
      <c r="J155" s="30" t="n">
        <f aca="false">IF(I155=1,A155-H154,"")</f>
        <v>7</v>
      </c>
      <c r="K155" s="27" t="n">
        <f aca="false">IF(B155="Wednesday",0,C155)</f>
        <v>33704.26</v>
      </c>
      <c r="L155" s="28" t="n">
        <f aca="false">L154+K155/$T$1*100</f>
        <v>75.9008729411765</v>
      </c>
      <c r="M155" s="28" t="n">
        <f aca="false">MAX(0,MAX($L$2:L155))</f>
        <v>75.9008729411765</v>
      </c>
      <c r="N155" s="28" t="n">
        <f aca="false">L155-M155</f>
        <v>0</v>
      </c>
      <c r="O155" s="25" t="n">
        <f aca="false">IF(N155&gt;=-0.0000001,A155,O154)</f>
        <v>46030</v>
      </c>
      <c r="P155" s="29" t="n">
        <f aca="false">IF(AND(N155&gt;=-0.0000001,N154&lt;0),1,0)</f>
        <v>1</v>
      </c>
      <c r="Q155" s="30" t="n">
        <f aca="false">IF(P155=1,A155-O154,"")</f>
        <v>7</v>
      </c>
    </row>
    <row r="156" customFormat="false" ht="15" hidden="false" customHeight="false" outlineLevel="0" collapsed="false">
      <c r="A156" s="25" t="n">
        <v>46031</v>
      </c>
      <c r="B156" s="26" t="s">
        <v>83</v>
      </c>
      <c r="C156" s="27" t="n">
        <v>23715.9</v>
      </c>
      <c r="D156" s="28" t="n">
        <f aca="false">C156/$T$1*100</f>
        <v>1.39505294117647</v>
      </c>
      <c r="E156" s="28" t="n">
        <f aca="false">E155+D156</f>
        <v>72.3888382352941</v>
      </c>
      <c r="F156" s="28" t="n">
        <f aca="false">MAX(0,MAX($E$2:E156))</f>
        <v>72.3888382352941</v>
      </c>
      <c r="G156" s="28" t="n">
        <f aca="false">E156-F156</f>
        <v>0</v>
      </c>
      <c r="H156" s="25" t="n">
        <f aca="false">IF(G156&gt;=-0.0000001,A156,H155)</f>
        <v>46031</v>
      </c>
      <c r="I156" s="29" t="n">
        <f aca="false">IF(AND(G156&gt;=-0.0000001,G155&lt;0),1,0)</f>
        <v>0</v>
      </c>
      <c r="J156" s="30" t="str">
        <f aca="false">IF(I156=1,A156-H155,"")</f>
        <v/>
      </c>
      <c r="K156" s="27" t="n">
        <f aca="false">IF(B156="Wednesday",0,C156)</f>
        <v>23715.9</v>
      </c>
      <c r="L156" s="28" t="n">
        <f aca="false">L155+K156/$T$1*100</f>
        <v>77.2959258823529</v>
      </c>
      <c r="M156" s="28" t="n">
        <f aca="false">MAX(0,MAX($L$2:L156))</f>
        <v>77.2959258823529</v>
      </c>
      <c r="N156" s="28" t="n">
        <f aca="false">L156-M156</f>
        <v>0</v>
      </c>
      <c r="O156" s="25" t="n">
        <f aca="false">IF(N156&gt;=-0.0000001,A156,O155)</f>
        <v>46031</v>
      </c>
      <c r="P156" s="29" t="n">
        <f aca="false">IF(AND(N156&gt;=-0.0000001,N155&lt;0),1,0)</f>
        <v>0</v>
      </c>
      <c r="Q156" s="30" t="str">
        <f aca="false">IF(P156=1,A156-O155,"")</f>
        <v/>
      </c>
    </row>
    <row r="157" customFormat="false" ht="15" hidden="false" customHeight="false" outlineLevel="0" collapsed="false">
      <c r="A157" s="25" t="n">
        <v>46034</v>
      </c>
      <c r="B157" s="26" t="s">
        <v>79</v>
      </c>
      <c r="C157" s="27" t="n">
        <v>37601.05</v>
      </c>
      <c r="D157" s="28" t="n">
        <f aca="false">C157/$T$1*100</f>
        <v>2.21182647058824</v>
      </c>
      <c r="E157" s="28" t="n">
        <f aca="false">E156+D157</f>
        <v>74.6006647058824</v>
      </c>
      <c r="F157" s="28" t="n">
        <f aca="false">MAX(0,MAX($E$2:E157))</f>
        <v>74.6006647058824</v>
      </c>
      <c r="G157" s="28" t="n">
        <f aca="false">E157-F157</f>
        <v>0</v>
      </c>
      <c r="H157" s="25" t="n">
        <f aca="false">IF(G157&gt;=-0.0000001,A157,H156)</f>
        <v>46034</v>
      </c>
      <c r="I157" s="29" t="n">
        <f aca="false">IF(AND(G157&gt;=-0.0000001,G156&lt;0),1,0)</f>
        <v>0</v>
      </c>
      <c r="J157" s="30" t="str">
        <f aca="false">IF(I157=1,A157-H156,"")</f>
        <v/>
      </c>
      <c r="K157" s="27" t="n">
        <f aca="false">IF(B157="Wednesday",0,C157)</f>
        <v>37601.05</v>
      </c>
      <c r="L157" s="28" t="n">
        <f aca="false">L156+K157/$T$1*100</f>
        <v>79.5077523529412</v>
      </c>
      <c r="M157" s="28" t="n">
        <f aca="false">MAX(0,MAX($L$2:L157))</f>
        <v>79.5077523529412</v>
      </c>
      <c r="N157" s="28" t="n">
        <f aca="false">L157-M157</f>
        <v>0</v>
      </c>
      <c r="O157" s="25" t="n">
        <f aca="false">IF(N157&gt;=-0.0000001,A157,O156)</f>
        <v>46034</v>
      </c>
      <c r="P157" s="29" t="n">
        <f aca="false">IF(AND(N157&gt;=-0.0000001,N156&lt;0),1,0)</f>
        <v>0</v>
      </c>
      <c r="Q157" s="30" t="str">
        <f aca="false">IF(P157=1,A157-O156,"")</f>
        <v/>
      </c>
    </row>
    <row r="158" customFormat="false" ht="15" hidden="false" customHeight="false" outlineLevel="0" collapsed="false">
      <c r="A158" s="25" t="n">
        <v>46035</v>
      </c>
      <c r="B158" s="26" t="s">
        <v>80</v>
      </c>
      <c r="C158" s="27" t="n">
        <v>12936.3</v>
      </c>
      <c r="D158" s="28" t="n">
        <f aca="false">C158/$T$1*100</f>
        <v>0.760958823529412</v>
      </c>
      <c r="E158" s="28" t="n">
        <f aca="false">E157+D158</f>
        <v>75.3616235294118</v>
      </c>
      <c r="F158" s="28" t="n">
        <f aca="false">MAX(0,MAX($E$2:E158))</f>
        <v>75.3616235294118</v>
      </c>
      <c r="G158" s="28" t="n">
        <f aca="false">E158-F158</f>
        <v>0</v>
      </c>
      <c r="H158" s="25" t="n">
        <f aca="false">IF(G158&gt;=-0.0000001,A158,H157)</f>
        <v>46035</v>
      </c>
      <c r="I158" s="29" t="n">
        <f aca="false">IF(AND(G158&gt;=-0.0000001,G157&lt;0),1,0)</f>
        <v>0</v>
      </c>
      <c r="J158" s="30" t="str">
        <f aca="false">IF(I158=1,A158-H157,"")</f>
        <v/>
      </c>
      <c r="K158" s="27" t="n">
        <f aca="false">IF(B158="Wednesday",0,C158)</f>
        <v>12936.3</v>
      </c>
      <c r="L158" s="28" t="n">
        <f aca="false">L157+K158/$T$1*100</f>
        <v>80.2687111764706</v>
      </c>
      <c r="M158" s="28" t="n">
        <f aca="false">MAX(0,MAX($L$2:L158))</f>
        <v>80.2687111764706</v>
      </c>
      <c r="N158" s="28" t="n">
        <f aca="false">L158-M158</f>
        <v>0</v>
      </c>
      <c r="O158" s="25" t="n">
        <f aca="false">IF(N158&gt;=-0.0000001,A158,O157)</f>
        <v>46035</v>
      </c>
      <c r="P158" s="29" t="n">
        <f aca="false">IF(AND(N158&gt;=-0.0000001,N157&lt;0),1,0)</f>
        <v>0</v>
      </c>
      <c r="Q158" s="30" t="str">
        <f aca="false">IF(P158=1,A158-O157,"")</f>
        <v/>
      </c>
    </row>
    <row r="159" customFormat="false" ht="15" hidden="false" customHeight="false" outlineLevel="0" collapsed="false">
      <c r="A159" s="25" t="n">
        <v>46036</v>
      </c>
      <c r="B159" s="26" t="s">
        <v>81</v>
      </c>
      <c r="C159" s="27" t="n">
        <v>-20697.3</v>
      </c>
      <c r="D159" s="28" t="n">
        <f aca="false">C159/$T$1*100</f>
        <v>-1.21748823529412</v>
      </c>
      <c r="E159" s="28" t="n">
        <f aca="false">E158+D159</f>
        <v>74.1441352941177</v>
      </c>
      <c r="F159" s="28" t="n">
        <f aca="false">MAX(0,MAX($E$2:E159))</f>
        <v>75.3616235294118</v>
      </c>
      <c r="G159" s="28" t="n">
        <f aca="false">E159-F159</f>
        <v>-1.21748823529411</v>
      </c>
      <c r="H159" s="25" t="n">
        <f aca="false">IF(G159&gt;=-0.0000001,A159,H158)</f>
        <v>46035</v>
      </c>
      <c r="I159" s="29" t="n">
        <f aca="false">IF(AND(G159&gt;=-0.0000001,G158&lt;0),1,0)</f>
        <v>0</v>
      </c>
      <c r="J159" s="30" t="str">
        <f aca="false">IF(I159=1,A159-H158,"")</f>
        <v/>
      </c>
      <c r="K159" s="27" t="n">
        <f aca="false">IF(B159="Wednesday",0,C159)</f>
        <v>0</v>
      </c>
      <c r="L159" s="28" t="n">
        <f aca="false">L158+K159/$T$1*100</f>
        <v>80.2687111764706</v>
      </c>
      <c r="M159" s="28" t="n">
        <f aca="false">MAX(0,MAX($L$2:L159))</f>
        <v>80.2687111764706</v>
      </c>
      <c r="N159" s="28" t="n">
        <f aca="false">L159-M159</f>
        <v>0</v>
      </c>
      <c r="O159" s="25" t="n">
        <f aca="false">IF(N159&gt;=-0.0000001,A159,O158)</f>
        <v>46036</v>
      </c>
      <c r="P159" s="29" t="n">
        <f aca="false">IF(AND(N159&gt;=-0.0000001,N158&lt;0),1,0)</f>
        <v>0</v>
      </c>
      <c r="Q159" s="30" t="str">
        <f aca="false">IF(P159=1,A159-O158,"")</f>
        <v/>
      </c>
    </row>
    <row r="160" customFormat="false" ht="15" hidden="false" customHeight="false" outlineLevel="0" collapsed="false">
      <c r="A160" s="25" t="n">
        <v>46038</v>
      </c>
      <c r="B160" s="26" t="s">
        <v>83</v>
      </c>
      <c r="C160" s="27" t="n">
        <v>-26323.09</v>
      </c>
      <c r="D160" s="28" t="n">
        <f aca="false">C160/$T$1*100</f>
        <v>-1.54841705882353</v>
      </c>
      <c r="E160" s="28" t="n">
        <f aca="false">E159+D160</f>
        <v>72.5957182352941</v>
      </c>
      <c r="F160" s="28" t="n">
        <f aca="false">MAX(0,MAX($E$2:E160))</f>
        <v>75.3616235294118</v>
      </c>
      <c r="G160" s="28" t="n">
        <f aca="false">E160-F160</f>
        <v>-2.76590529411764</v>
      </c>
      <c r="H160" s="25" t="n">
        <f aca="false">IF(G160&gt;=-0.0000001,A160,H159)</f>
        <v>46035</v>
      </c>
      <c r="I160" s="29" t="n">
        <f aca="false">IF(AND(G160&gt;=-0.0000001,G159&lt;0),1,0)</f>
        <v>0</v>
      </c>
      <c r="J160" s="30" t="str">
        <f aca="false">IF(I160=1,A160-H159,"")</f>
        <v/>
      </c>
      <c r="K160" s="27" t="n">
        <f aca="false">IF(B160="Wednesday",0,C160)</f>
        <v>-26323.09</v>
      </c>
      <c r="L160" s="28" t="n">
        <f aca="false">L159+K160/$T$1*100</f>
        <v>78.720294117647</v>
      </c>
      <c r="M160" s="28" t="n">
        <f aca="false">MAX(0,MAX($L$2:L160))</f>
        <v>80.2687111764706</v>
      </c>
      <c r="N160" s="28" t="n">
        <f aca="false">L160-M160</f>
        <v>-1.54841705882353</v>
      </c>
      <c r="O160" s="25" t="n">
        <f aca="false">IF(N160&gt;=-0.0000001,A160,O159)</f>
        <v>46036</v>
      </c>
      <c r="P160" s="29" t="n">
        <f aca="false">IF(AND(N160&gt;=-0.0000001,N159&lt;0),1,0)</f>
        <v>0</v>
      </c>
      <c r="Q160" s="30" t="str">
        <f aca="false">IF(P160=1,A160-O159,"")</f>
        <v/>
      </c>
    </row>
    <row r="161" customFormat="false" ht="15" hidden="false" customHeight="false" outlineLevel="0" collapsed="false">
      <c r="A161" s="25" t="n">
        <v>46041</v>
      </c>
      <c r="B161" s="26" t="s">
        <v>79</v>
      </c>
      <c r="C161" s="27" t="n">
        <v>-10897.97</v>
      </c>
      <c r="D161" s="28" t="n">
        <f aca="false">C161/$T$1*100</f>
        <v>-0.641057058823529</v>
      </c>
      <c r="E161" s="28" t="n">
        <f aca="false">E160+D161</f>
        <v>71.9546611764706</v>
      </c>
      <c r="F161" s="28" t="n">
        <f aca="false">MAX(0,MAX($E$2:E161))</f>
        <v>75.3616235294118</v>
      </c>
      <c r="G161" s="28" t="n">
        <f aca="false">E161-F161</f>
        <v>-3.40696235294118</v>
      </c>
      <c r="H161" s="25" t="n">
        <f aca="false">IF(G161&gt;=-0.0000001,A161,H160)</f>
        <v>46035</v>
      </c>
      <c r="I161" s="29" t="n">
        <f aca="false">IF(AND(G161&gt;=-0.0000001,G160&lt;0),1,0)</f>
        <v>0</v>
      </c>
      <c r="J161" s="30" t="str">
        <f aca="false">IF(I161=1,A161-H160,"")</f>
        <v/>
      </c>
      <c r="K161" s="27" t="n">
        <f aca="false">IF(B161="Wednesday",0,C161)</f>
        <v>-10897.97</v>
      </c>
      <c r="L161" s="28" t="n">
        <f aca="false">L160+K161/$T$1*100</f>
        <v>78.0792370588235</v>
      </c>
      <c r="M161" s="28" t="n">
        <f aca="false">MAX(0,MAX($L$2:L161))</f>
        <v>80.2687111764706</v>
      </c>
      <c r="N161" s="28" t="n">
        <f aca="false">L161-M161</f>
        <v>-2.18947411764707</v>
      </c>
      <c r="O161" s="25" t="n">
        <f aca="false">IF(N161&gt;=-0.0000001,A161,O160)</f>
        <v>46036</v>
      </c>
      <c r="P161" s="29" t="n">
        <f aca="false">IF(AND(N161&gt;=-0.0000001,N160&lt;0),1,0)</f>
        <v>0</v>
      </c>
      <c r="Q161" s="30" t="str">
        <f aca="false">IF(P161=1,A161-O160,"")</f>
        <v/>
      </c>
    </row>
    <row r="162" customFormat="false" ht="15" hidden="false" customHeight="false" outlineLevel="0" collapsed="false">
      <c r="A162" s="25" t="n">
        <v>46042</v>
      </c>
      <c r="B162" s="26" t="s">
        <v>80</v>
      </c>
      <c r="C162" s="27" t="n">
        <v>32765.09</v>
      </c>
      <c r="D162" s="28" t="n">
        <f aca="false">C162/$T$1*100</f>
        <v>1.92735823529412</v>
      </c>
      <c r="E162" s="28" t="n">
        <f aca="false">E161+D162</f>
        <v>73.8820194117647</v>
      </c>
      <c r="F162" s="28" t="n">
        <f aca="false">MAX(0,MAX($E$2:E162))</f>
        <v>75.3616235294118</v>
      </c>
      <c r="G162" s="28" t="n">
        <f aca="false">E162-F162</f>
        <v>-1.47960411764706</v>
      </c>
      <c r="H162" s="25" t="n">
        <f aca="false">IF(G162&gt;=-0.0000001,A162,H161)</f>
        <v>46035</v>
      </c>
      <c r="I162" s="29" t="n">
        <f aca="false">IF(AND(G162&gt;=-0.0000001,G161&lt;0),1,0)</f>
        <v>0</v>
      </c>
      <c r="J162" s="30" t="str">
        <f aca="false">IF(I162=1,A162-H161,"")</f>
        <v/>
      </c>
      <c r="K162" s="27" t="n">
        <f aca="false">IF(B162="Wednesday",0,C162)</f>
        <v>32765.09</v>
      </c>
      <c r="L162" s="28" t="n">
        <f aca="false">L161+K162/$T$1*100</f>
        <v>80.0065952941176</v>
      </c>
      <c r="M162" s="28" t="n">
        <f aca="false">MAX(0,MAX($L$2:L162))</f>
        <v>80.2687111764706</v>
      </c>
      <c r="N162" s="28" t="n">
        <f aca="false">L162-M162</f>
        <v>-0.262115882352944</v>
      </c>
      <c r="O162" s="25" t="n">
        <f aca="false">IF(N162&gt;=-0.0000001,A162,O161)</f>
        <v>46036</v>
      </c>
      <c r="P162" s="29" t="n">
        <f aca="false">IF(AND(N162&gt;=-0.0000001,N161&lt;0),1,0)</f>
        <v>0</v>
      </c>
      <c r="Q162" s="30" t="str">
        <f aca="false">IF(P162=1,A162-O161,"")</f>
        <v/>
      </c>
    </row>
    <row r="163" customFormat="false" ht="15" hidden="false" customHeight="false" outlineLevel="0" collapsed="false">
      <c r="A163" s="25" t="n">
        <v>46043</v>
      </c>
      <c r="B163" s="26" t="s">
        <v>81</v>
      </c>
      <c r="C163" s="27" t="n">
        <v>-111019.4</v>
      </c>
      <c r="D163" s="28" t="n">
        <f aca="false">C163/$T$1*100</f>
        <v>-6.53055294117647</v>
      </c>
      <c r="E163" s="28" t="n">
        <f aca="false">E162+D163</f>
        <v>67.3514664705882</v>
      </c>
      <c r="F163" s="28" t="n">
        <f aca="false">MAX(0,MAX($E$2:E163))</f>
        <v>75.3616235294118</v>
      </c>
      <c r="G163" s="28" t="n">
        <f aca="false">E163-F163</f>
        <v>-8.01015705882352</v>
      </c>
      <c r="H163" s="25" t="n">
        <f aca="false">IF(G163&gt;=-0.0000001,A163,H162)</f>
        <v>46035</v>
      </c>
      <c r="I163" s="29" t="n">
        <f aca="false">IF(AND(G163&gt;=-0.0000001,G162&lt;0),1,0)</f>
        <v>0</v>
      </c>
      <c r="J163" s="30" t="str">
        <f aca="false">IF(I163=1,A163-H162,"")</f>
        <v/>
      </c>
      <c r="K163" s="27" t="n">
        <f aca="false">IF(B163="Wednesday",0,C163)</f>
        <v>0</v>
      </c>
      <c r="L163" s="28" t="n">
        <f aca="false">L162+K163/$T$1*100</f>
        <v>80.0065952941176</v>
      </c>
      <c r="M163" s="28" t="n">
        <f aca="false">MAX(0,MAX($L$2:L163))</f>
        <v>80.2687111764706</v>
      </c>
      <c r="N163" s="28" t="n">
        <f aca="false">L163-M163</f>
        <v>-0.262115882352944</v>
      </c>
      <c r="O163" s="25" t="n">
        <f aca="false">IF(N163&gt;=-0.0000001,A163,O162)</f>
        <v>46036</v>
      </c>
      <c r="P163" s="29" t="n">
        <f aca="false">IF(AND(N163&gt;=-0.0000001,N162&lt;0),1,0)</f>
        <v>0</v>
      </c>
      <c r="Q163" s="30" t="str">
        <f aca="false">IF(P163=1,A163-O162,"")</f>
        <v/>
      </c>
    </row>
    <row r="164" customFormat="false" ht="15" hidden="false" customHeight="false" outlineLevel="0" collapsed="false">
      <c r="A164" s="25" t="n">
        <v>46044</v>
      </c>
      <c r="B164" s="26" t="s">
        <v>82</v>
      </c>
      <c r="C164" s="27" t="n">
        <v>-22729.2</v>
      </c>
      <c r="D164" s="28" t="n">
        <f aca="false">C164/$T$1*100</f>
        <v>-1.33701176470588</v>
      </c>
      <c r="E164" s="28" t="n">
        <f aca="false">E163+D164</f>
        <v>66.0144547058824</v>
      </c>
      <c r="F164" s="28" t="n">
        <f aca="false">MAX(0,MAX($E$2:E164))</f>
        <v>75.3616235294118</v>
      </c>
      <c r="G164" s="28" t="n">
        <f aca="false">E164-F164</f>
        <v>-9.3471688235294</v>
      </c>
      <c r="H164" s="25" t="n">
        <f aca="false">IF(G164&gt;=-0.0000001,A164,H163)</f>
        <v>46035</v>
      </c>
      <c r="I164" s="29" t="n">
        <f aca="false">IF(AND(G164&gt;=-0.0000001,G163&lt;0),1,0)</f>
        <v>0</v>
      </c>
      <c r="J164" s="30" t="str">
        <f aca="false">IF(I164=1,A164-H163,"")</f>
        <v/>
      </c>
      <c r="K164" s="27" t="n">
        <f aca="false">IF(B164="Wednesday",0,C164)</f>
        <v>-22729.2</v>
      </c>
      <c r="L164" s="28" t="n">
        <f aca="false">L163+K164/$T$1*100</f>
        <v>78.6695835294118</v>
      </c>
      <c r="M164" s="28" t="n">
        <f aca="false">MAX(0,MAX($L$2:L164))</f>
        <v>80.2687111764706</v>
      </c>
      <c r="N164" s="28" t="n">
        <f aca="false">L164-M164</f>
        <v>-1.59912764705882</v>
      </c>
      <c r="O164" s="25" t="n">
        <f aca="false">IF(N164&gt;=-0.0000001,A164,O163)</f>
        <v>46036</v>
      </c>
      <c r="P164" s="29" t="n">
        <f aca="false">IF(AND(N164&gt;=-0.0000001,N163&lt;0),1,0)</f>
        <v>0</v>
      </c>
      <c r="Q164" s="30" t="str">
        <f aca="false">IF(P164=1,A164-O163,"")</f>
        <v/>
      </c>
    </row>
    <row r="165" customFormat="false" ht="15" hidden="false" customHeight="false" outlineLevel="0" collapsed="false">
      <c r="A165" s="25" t="n">
        <v>46045</v>
      </c>
      <c r="B165" s="26" t="s">
        <v>83</v>
      </c>
      <c r="C165" s="27" t="n">
        <v>142380.72</v>
      </c>
      <c r="D165" s="28" t="n">
        <f aca="false">C165/$T$1*100</f>
        <v>8.37533647058823</v>
      </c>
      <c r="E165" s="28" t="n">
        <f aca="false">E164+D165</f>
        <v>74.3897911764706</v>
      </c>
      <c r="F165" s="28" t="n">
        <f aca="false">MAX(0,MAX($E$2:E165))</f>
        <v>75.3616235294118</v>
      </c>
      <c r="G165" s="28" t="n">
        <f aca="false">E165-F165</f>
        <v>-0.971832352941163</v>
      </c>
      <c r="H165" s="25" t="n">
        <f aca="false">IF(G165&gt;=-0.0000001,A165,H164)</f>
        <v>46035</v>
      </c>
      <c r="I165" s="29" t="n">
        <f aca="false">IF(AND(G165&gt;=-0.0000001,G164&lt;0),1,0)</f>
        <v>0</v>
      </c>
      <c r="J165" s="30" t="str">
        <f aca="false">IF(I165=1,A165-H164,"")</f>
        <v/>
      </c>
      <c r="K165" s="27" t="n">
        <f aca="false">IF(B165="Wednesday",0,C165)</f>
        <v>142380.72</v>
      </c>
      <c r="L165" s="28" t="n">
        <f aca="false">L164+K165/$T$1*100</f>
        <v>87.04492</v>
      </c>
      <c r="M165" s="28" t="n">
        <f aca="false">MAX(0,MAX($L$2:L165))</f>
        <v>87.04492</v>
      </c>
      <c r="N165" s="28" t="n">
        <f aca="false">L165-M165</f>
        <v>0</v>
      </c>
      <c r="O165" s="25" t="n">
        <f aca="false">IF(N165&gt;=-0.0000001,A165,O164)</f>
        <v>46045</v>
      </c>
      <c r="P165" s="29" t="n">
        <f aca="false">IF(AND(N165&gt;=-0.0000001,N164&lt;0),1,0)</f>
        <v>1</v>
      </c>
      <c r="Q165" s="30" t="n">
        <f aca="false">IF(P165=1,A165-O164,"")</f>
        <v>9</v>
      </c>
    </row>
    <row r="166" customFormat="false" ht="15" hidden="false" customHeight="false" outlineLevel="0" collapsed="false">
      <c r="A166" s="25" t="n">
        <v>46049</v>
      </c>
      <c r="B166" s="26" t="s">
        <v>80</v>
      </c>
      <c r="C166" s="27" t="n">
        <v>-16103.75</v>
      </c>
      <c r="D166" s="28" t="n">
        <f aca="false">C166/$T$1*100</f>
        <v>-0.947279411764706</v>
      </c>
      <c r="E166" s="28" t="n">
        <f aca="false">E165+D166</f>
        <v>73.4425117647059</v>
      </c>
      <c r="F166" s="28" t="n">
        <f aca="false">MAX(0,MAX($E$2:E166))</f>
        <v>75.3616235294118</v>
      </c>
      <c r="G166" s="28" t="n">
        <f aca="false">E166-F166</f>
        <v>-1.91911176470587</v>
      </c>
      <c r="H166" s="25" t="n">
        <f aca="false">IF(G166&gt;=-0.0000001,A166,H165)</f>
        <v>46035</v>
      </c>
      <c r="I166" s="29" t="n">
        <f aca="false">IF(AND(G166&gt;=-0.0000001,G165&lt;0),1,0)</f>
        <v>0</v>
      </c>
      <c r="J166" s="30" t="str">
        <f aca="false">IF(I166=1,A166-H165,"")</f>
        <v/>
      </c>
      <c r="K166" s="27" t="n">
        <f aca="false">IF(B166="Wednesday",0,C166)</f>
        <v>-16103.75</v>
      </c>
      <c r="L166" s="28" t="n">
        <f aca="false">L165+K166/$T$1*100</f>
        <v>86.0976405882353</v>
      </c>
      <c r="M166" s="28" t="n">
        <f aca="false">MAX(0,MAX($L$2:L166))</f>
        <v>87.04492</v>
      </c>
      <c r="N166" s="28" t="n">
        <f aca="false">L166-M166</f>
        <v>-0.947279411764711</v>
      </c>
      <c r="O166" s="25" t="n">
        <f aca="false">IF(N166&gt;=-0.0000001,A166,O165)</f>
        <v>46045</v>
      </c>
      <c r="P166" s="29" t="n">
        <f aca="false">IF(AND(N166&gt;=-0.0000001,N165&lt;0),1,0)</f>
        <v>0</v>
      </c>
      <c r="Q166" s="30" t="str">
        <f aca="false">IF(P166=1,A166-O165,"")</f>
        <v/>
      </c>
    </row>
    <row r="167" customFormat="false" ht="15" hidden="false" customHeight="false" outlineLevel="0" collapsed="false">
      <c r="A167" s="25" t="n">
        <v>46050</v>
      </c>
      <c r="B167" s="26" t="s">
        <v>81</v>
      </c>
      <c r="C167" s="27" t="n">
        <v>1430</v>
      </c>
      <c r="D167" s="28" t="n">
        <f aca="false">C167/$T$1*100</f>
        <v>0.0841176470588235</v>
      </c>
      <c r="E167" s="28" t="n">
        <f aca="false">E166+D167</f>
        <v>73.5266294117647</v>
      </c>
      <c r="F167" s="28" t="n">
        <f aca="false">MAX(0,MAX($E$2:E167))</f>
        <v>75.3616235294118</v>
      </c>
      <c r="G167" s="28" t="n">
        <f aca="false">E167-F167</f>
        <v>-1.83499411764706</v>
      </c>
      <c r="H167" s="25" t="n">
        <f aca="false">IF(G167&gt;=-0.0000001,A167,H166)</f>
        <v>46035</v>
      </c>
      <c r="I167" s="29" t="n">
        <f aca="false">IF(AND(G167&gt;=-0.0000001,G166&lt;0),1,0)</f>
        <v>0</v>
      </c>
      <c r="J167" s="30" t="str">
        <f aca="false">IF(I167=1,A167-H166,"")</f>
        <v/>
      </c>
      <c r="K167" s="27" t="n">
        <f aca="false">IF(B167="Wednesday",0,C167)</f>
        <v>0</v>
      </c>
      <c r="L167" s="28" t="n">
        <f aca="false">L166+K167/$T$1*100</f>
        <v>86.0976405882353</v>
      </c>
      <c r="M167" s="28" t="n">
        <f aca="false">MAX(0,MAX($L$2:L167))</f>
        <v>87.04492</v>
      </c>
      <c r="N167" s="28" t="n">
        <f aca="false">L167-M167</f>
        <v>-0.947279411764711</v>
      </c>
      <c r="O167" s="25" t="n">
        <f aca="false">IF(N167&gt;=-0.0000001,A167,O166)</f>
        <v>46045</v>
      </c>
      <c r="P167" s="29" t="n">
        <f aca="false">IF(AND(N167&gt;=-0.0000001,N166&lt;0),1,0)</f>
        <v>0</v>
      </c>
      <c r="Q167" s="30" t="str">
        <f aca="false">IF(P167=1,A167-O166,"")</f>
        <v/>
      </c>
    </row>
    <row r="168" customFormat="false" ht="15" hidden="false" customHeight="false" outlineLevel="0" collapsed="false">
      <c r="A168" s="25" t="n">
        <v>46051</v>
      </c>
      <c r="B168" s="26" t="s">
        <v>82</v>
      </c>
      <c r="C168" s="27" t="n">
        <v>-1699.1</v>
      </c>
      <c r="D168" s="28" t="n">
        <f aca="false">C168/$T$1*100</f>
        <v>-0.0999470588235294</v>
      </c>
      <c r="E168" s="28" t="n">
        <f aca="false">E167+D168</f>
        <v>73.4266823529412</v>
      </c>
      <c r="F168" s="28" t="n">
        <f aca="false">MAX(0,MAX($E$2:E168))</f>
        <v>75.3616235294118</v>
      </c>
      <c r="G168" s="28" t="n">
        <f aca="false">E168-F168</f>
        <v>-1.93494117647059</v>
      </c>
      <c r="H168" s="25" t="n">
        <f aca="false">IF(G168&gt;=-0.0000001,A168,H167)</f>
        <v>46035</v>
      </c>
      <c r="I168" s="29" t="n">
        <f aca="false">IF(AND(G168&gt;=-0.0000001,G167&lt;0),1,0)</f>
        <v>0</v>
      </c>
      <c r="J168" s="30" t="str">
        <f aca="false">IF(I168=1,A168-H167,"")</f>
        <v/>
      </c>
      <c r="K168" s="27" t="n">
        <f aca="false">IF(B168="Wednesday",0,C168)</f>
        <v>-1699.1</v>
      </c>
      <c r="L168" s="28" t="n">
        <f aca="false">L167+K168/$T$1*100</f>
        <v>85.9976935294118</v>
      </c>
      <c r="M168" s="28" t="n">
        <f aca="false">MAX(0,MAX($L$2:L168))</f>
        <v>87.04492</v>
      </c>
      <c r="N168" s="28" t="n">
        <f aca="false">L168-M168</f>
        <v>-1.04722647058824</v>
      </c>
      <c r="O168" s="25" t="n">
        <f aca="false">IF(N168&gt;=-0.0000001,A168,O167)</f>
        <v>46045</v>
      </c>
      <c r="P168" s="29" t="n">
        <f aca="false">IF(AND(N168&gt;=-0.0000001,N167&lt;0),1,0)</f>
        <v>0</v>
      </c>
      <c r="Q168" s="30" t="str">
        <f aca="false">IF(P168=1,A168-O167,"")</f>
        <v/>
      </c>
    </row>
    <row r="169" customFormat="false" ht="15" hidden="false" customHeight="false" outlineLevel="0" collapsed="false">
      <c r="A169" s="25" t="n">
        <v>46052</v>
      </c>
      <c r="B169" s="26" t="s">
        <v>83</v>
      </c>
      <c r="C169" s="27" t="n">
        <v>1208.35</v>
      </c>
      <c r="D169" s="28" t="n">
        <f aca="false">C169/$T$1*100</f>
        <v>0.0710794117647059</v>
      </c>
      <c r="E169" s="28" t="n">
        <f aca="false">E168+D169</f>
        <v>73.4977617647059</v>
      </c>
      <c r="F169" s="28" t="n">
        <f aca="false">MAX(0,MAX($E$2:E169))</f>
        <v>75.3616235294118</v>
      </c>
      <c r="G169" s="28" t="n">
        <f aca="false">E169-F169</f>
        <v>-1.86386176470589</v>
      </c>
      <c r="H169" s="25" t="n">
        <f aca="false">IF(G169&gt;=-0.0000001,A169,H168)</f>
        <v>46035</v>
      </c>
      <c r="I169" s="29" t="n">
        <f aca="false">IF(AND(G169&gt;=-0.0000001,G168&lt;0),1,0)</f>
        <v>0</v>
      </c>
      <c r="J169" s="30" t="str">
        <f aca="false">IF(I169=1,A169-H168,"")</f>
        <v/>
      </c>
      <c r="K169" s="27" t="n">
        <f aca="false">IF(B169="Wednesday",0,C169)</f>
        <v>1208.35</v>
      </c>
      <c r="L169" s="28" t="n">
        <f aca="false">L168+K169/$T$1*100</f>
        <v>86.0687729411765</v>
      </c>
      <c r="M169" s="28" t="n">
        <f aca="false">MAX(0,MAX($L$2:L169))</f>
        <v>87.04492</v>
      </c>
      <c r="N169" s="28" t="n">
        <f aca="false">L169-M169</f>
        <v>-0.976147058823543</v>
      </c>
      <c r="O169" s="25" t="n">
        <f aca="false">IF(N169&gt;=-0.0000001,A169,O168)</f>
        <v>46045</v>
      </c>
      <c r="P169" s="29" t="n">
        <f aca="false">IF(AND(N169&gt;=-0.0000001,N168&lt;0),1,0)</f>
        <v>0</v>
      </c>
      <c r="Q169" s="30" t="str">
        <f aca="false">IF(P169=1,A169-O168,"")</f>
        <v/>
      </c>
    </row>
    <row r="170" customFormat="false" ht="15" hidden="false" customHeight="false" outlineLevel="0" collapsed="false">
      <c r="A170" s="25" t="n">
        <v>46054</v>
      </c>
      <c r="B170" s="26" t="s">
        <v>116</v>
      </c>
      <c r="C170" s="27" t="n">
        <v>-56923.41</v>
      </c>
      <c r="D170" s="28" t="n">
        <f aca="false">C170/$T$1*100</f>
        <v>-3.34843588235294</v>
      </c>
      <c r="E170" s="28" t="n">
        <f aca="false">E169+D170</f>
        <v>70.1493258823529</v>
      </c>
      <c r="F170" s="28" t="n">
        <f aca="false">MAX(0,MAX($E$2:E170))</f>
        <v>75.3616235294118</v>
      </c>
      <c r="G170" s="28" t="n">
        <f aca="false">E170-F170</f>
        <v>-5.21229764705883</v>
      </c>
      <c r="H170" s="25" t="n">
        <f aca="false">IF(G170&gt;=-0.0000001,A170,H169)</f>
        <v>46035</v>
      </c>
      <c r="I170" s="29" t="n">
        <f aca="false">IF(AND(G170&gt;=-0.0000001,G169&lt;0),1,0)</f>
        <v>0</v>
      </c>
      <c r="J170" s="30" t="str">
        <f aca="false">IF(I170=1,A170-H169,"")</f>
        <v/>
      </c>
      <c r="K170" s="27" t="n">
        <f aca="false">IF(B170="Wednesday",0,C170)</f>
        <v>-56923.41</v>
      </c>
      <c r="L170" s="28" t="n">
        <f aca="false">L169+K170/$T$1*100</f>
        <v>82.7203370588235</v>
      </c>
      <c r="M170" s="28" t="n">
        <f aca="false">MAX(0,MAX($L$2:L170))</f>
        <v>87.04492</v>
      </c>
      <c r="N170" s="28" t="n">
        <f aca="false">L170-M170</f>
        <v>-4.32458294117649</v>
      </c>
      <c r="O170" s="25" t="n">
        <f aca="false">IF(N170&gt;=-0.0000001,A170,O169)</f>
        <v>46045</v>
      </c>
      <c r="P170" s="29" t="n">
        <f aca="false">IF(AND(N170&gt;=-0.0000001,N169&lt;0),1,0)</f>
        <v>0</v>
      </c>
      <c r="Q170" s="30" t="str">
        <f aca="false">IF(P170=1,A170-O169,"")</f>
        <v/>
      </c>
    </row>
    <row r="171" customFormat="false" ht="15" hidden="false" customHeight="false" outlineLevel="0" collapsed="false">
      <c r="A171" s="25" t="n">
        <v>46055</v>
      </c>
      <c r="B171" s="26" t="s">
        <v>79</v>
      </c>
      <c r="C171" s="27" t="n">
        <v>14136.2</v>
      </c>
      <c r="D171" s="28" t="n">
        <f aca="false">C171/$T$1*100</f>
        <v>0.831541176470588</v>
      </c>
      <c r="E171" s="28" t="n">
        <f aca="false">E170+D171</f>
        <v>70.9808670588235</v>
      </c>
      <c r="F171" s="28" t="n">
        <f aca="false">MAX(0,MAX($E$2:E171))</f>
        <v>75.3616235294118</v>
      </c>
      <c r="G171" s="28" t="n">
        <f aca="false">E171-F171</f>
        <v>-4.38075647058824</v>
      </c>
      <c r="H171" s="25" t="n">
        <f aca="false">IF(G171&gt;=-0.0000001,A171,H170)</f>
        <v>46035</v>
      </c>
      <c r="I171" s="29" t="n">
        <f aca="false">IF(AND(G171&gt;=-0.0000001,G170&lt;0),1,0)</f>
        <v>0</v>
      </c>
      <c r="J171" s="30" t="str">
        <f aca="false">IF(I171=1,A171-H170,"")</f>
        <v/>
      </c>
      <c r="K171" s="27" t="n">
        <f aca="false">IF(B171="Wednesday",0,C171)</f>
        <v>14136.2</v>
      </c>
      <c r="L171" s="28" t="n">
        <f aca="false">L170+K171/$T$1*100</f>
        <v>83.5518782352941</v>
      </c>
      <c r="M171" s="28" t="n">
        <f aca="false">MAX(0,MAX($L$2:L171))</f>
        <v>87.04492</v>
      </c>
      <c r="N171" s="28" t="n">
        <f aca="false">L171-M171</f>
        <v>-3.49304176470589</v>
      </c>
      <c r="O171" s="25" t="n">
        <f aca="false">IF(N171&gt;=-0.0000001,A171,O170)</f>
        <v>46045</v>
      </c>
      <c r="P171" s="29" t="n">
        <f aca="false">IF(AND(N171&gt;=-0.0000001,N170&lt;0),1,0)</f>
        <v>0</v>
      </c>
      <c r="Q171" s="30" t="str">
        <f aca="false">IF(P171=1,A171-O170,"")</f>
        <v/>
      </c>
    </row>
    <row r="172" customFormat="false" ht="15" hidden="false" customHeight="false" outlineLevel="0" collapsed="false">
      <c r="A172" s="25" t="n">
        <v>46056</v>
      </c>
      <c r="B172" s="26" t="s">
        <v>80</v>
      </c>
      <c r="C172" s="27" t="n">
        <v>60872.5</v>
      </c>
      <c r="D172" s="28" t="n">
        <f aca="false">C172/$T$1*100</f>
        <v>3.58073529411765</v>
      </c>
      <c r="E172" s="28" t="n">
        <f aca="false">E171+D172</f>
        <v>74.5616023529412</v>
      </c>
      <c r="F172" s="28" t="n">
        <f aca="false">MAX(0,MAX($E$2:E172))</f>
        <v>75.3616235294118</v>
      </c>
      <c r="G172" s="28" t="n">
        <f aca="false">E172-F172</f>
        <v>-0.800021176470594</v>
      </c>
      <c r="H172" s="25" t="n">
        <f aca="false">IF(G172&gt;=-0.0000001,A172,H171)</f>
        <v>46035</v>
      </c>
      <c r="I172" s="29" t="n">
        <f aca="false">IF(AND(G172&gt;=-0.0000001,G171&lt;0),1,0)</f>
        <v>0</v>
      </c>
      <c r="J172" s="30" t="str">
        <f aca="false">IF(I172=1,A172-H171,"")</f>
        <v/>
      </c>
      <c r="K172" s="27" t="n">
        <f aca="false">IF(B172="Wednesday",0,C172)</f>
        <v>60872.5</v>
      </c>
      <c r="L172" s="28" t="n">
        <f aca="false">L171+K172/$T$1*100</f>
        <v>87.1326135294117</v>
      </c>
      <c r="M172" s="28" t="n">
        <f aca="false">MAX(0,MAX($L$2:L172))</f>
        <v>87.1326135294117</v>
      </c>
      <c r="N172" s="28" t="n">
        <f aca="false">L172-M172</f>
        <v>0</v>
      </c>
      <c r="O172" s="25" t="n">
        <f aca="false">IF(N172&gt;=-0.0000001,A172,O171)</f>
        <v>46056</v>
      </c>
      <c r="P172" s="29" t="n">
        <f aca="false">IF(AND(N172&gt;=-0.0000001,N171&lt;0),1,0)</f>
        <v>1</v>
      </c>
      <c r="Q172" s="30" t="n">
        <f aca="false">IF(P172=1,A172-O171,"")</f>
        <v>11</v>
      </c>
    </row>
    <row r="173" customFormat="false" ht="15" hidden="false" customHeight="false" outlineLevel="0" collapsed="false">
      <c r="A173" s="25" t="n">
        <v>46057</v>
      </c>
      <c r="B173" s="26" t="s">
        <v>81</v>
      </c>
      <c r="C173" s="27" t="n">
        <v>-6680.7</v>
      </c>
      <c r="D173" s="28" t="n">
        <f aca="false">C173/$T$1*100</f>
        <v>-0.392982352941176</v>
      </c>
      <c r="E173" s="28" t="n">
        <f aca="false">E172+D173</f>
        <v>74.16862</v>
      </c>
      <c r="F173" s="28" t="n">
        <f aca="false">MAX(0,MAX($E$2:E173))</f>
        <v>75.3616235294118</v>
      </c>
      <c r="G173" s="28" t="n">
        <f aca="false">E173-F173</f>
        <v>-1.19300352941177</v>
      </c>
      <c r="H173" s="25" t="n">
        <f aca="false">IF(G173&gt;=-0.0000001,A173,H172)</f>
        <v>46035</v>
      </c>
      <c r="I173" s="29" t="n">
        <f aca="false">IF(AND(G173&gt;=-0.0000001,G172&lt;0),1,0)</f>
        <v>0</v>
      </c>
      <c r="J173" s="30" t="str">
        <f aca="false">IF(I173=1,A173-H172,"")</f>
        <v/>
      </c>
      <c r="K173" s="27" t="n">
        <f aca="false">IF(B173="Wednesday",0,C173)</f>
        <v>0</v>
      </c>
      <c r="L173" s="28" t="n">
        <f aca="false">L172+K173/$T$1*100</f>
        <v>87.1326135294117</v>
      </c>
      <c r="M173" s="28" t="n">
        <f aca="false">MAX(0,MAX($L$2:L173))</f>
        <v>87.1326135294117</v>
      </c>
      <c r="N173" s="28" t="n">
        <f aca="false">L173-M173</f>
        <v>0</v>
      </c>
      <c r="O173" s="25" t="n">
        <f aca="false">IF(N173&gt;=-0.0000001,A173,O172)</f>
        <v>46057</v>
      </c>
      <c r="P173" s="29" t="n">
        <f aca="false">IF(AND(N173&gt;=-0.0000001,N172&lt;0),1,0)</f>
        <v>0</v>
      </c>
      <c r="Q173" s="30" t="str">
        <f aca="false">IF(P173=1,A173-O172,"")</f>
        <v/>
      </c>
    </row>
    <row r="174" customFormat="false" ht="15" hidden="false" customHeight="false" outlineLevel="0" collapsed="false">
      <c r="A174" s="25" t="n">
        <v>46058</v>
      </c>
      <c r="B174" s="26" t="s">
        <v>82</v>
      </c>
      <c r="C174" s="27" t="n">
        <v>30884.75</v>
      </c>
      <c r="D174" s="28" t="n">
        <f aca="false">C174/$T$1*100</f>
        <v>1.81675</v>
      </c>
      <c r="E174" s="28" t="n">
        <f aca="false">E173+D174</f>
        <v>75.98537</v>
      </c>
      <c r="F174" s="28" t="n">
        <f aca="false">MAX(0,MAX($E$2:E174))</f>
        <v>75.98537</v>
      </c>
      <c r="G174" s="28" t="n">
        <f aca="false">E174-F174</f>
        <v>0</v>
      </c>
      <c r="H174" s="25" t="n">
        <f aca="false">IF(G174&gt;=-0.0000001,A174,H173)</f>
        <v>46058</v>
      </c>
      <c r="I174" s="29" t="n">
        <f aca="false">IF(AND(G174&gt;=-0.0000001,G173&lt;0),1,0)</f>
        <v>1</v>
      </c>
      <c r="J174" s="30" t="n">
        <f aca="false">IF(I174=1,A174-H173,"")</f>
        <v>23</v>
      </c>
      <c r="K174" s="27" t="n">
        <f aca="false">IF(B174="Wednesday",0,C174)</f>
        <v>30884.75</v>
      </c>
      <c r="L174" s="28" t="n">
        <f aca="false">L173+K174/$T$1*100</f>
        <v>88.9493635294117</v>
      </c>
      <c r="M174" s="28" t="n">
        <f aca="false">MAX(0,MAX($L$2:L174))</f>
        <v>88.9493635294117</v>
      </c>
      <c r="N174" s="28" t="n">
        <f aca="false">L174-M174</f>
        <v>0</v>
      </c>
      <c r="O174" s="25" t="n">
        <f aca="false">IF(N174&gt;=-0.0000001,A174,O173)</f>
        <v>46058</v>
      </c>
      <c r="P174" s="29" t="n">
        <f aca="false">IF(AND(N174&gt;=-0.0000001,N173&lt;0),1,0)</f>
        <v>0</v>
      </c>
      <c r="Q174" s="30" t="str">
        <f aca="false">IF(P174=1,A174-O173,"")</f>
        <v/>
      </c>
    </row>
    <row r="175" customFormat="false" ht="15" hidden="false" customHeight="false" outlineLevel="0" collapsed="false">
      <c r="A175" s="25" t="n">
        <v>46059</v>
      </c>
      <c r="B175" s="26" t="s">
        <v>83</v>
      </c>
      <c r="C175" s="27" t="n">
        <v>37128</v>
      </c>
      <c r="D175" s="28" t="n">
        <f aca="false">C175/$T$1*100</f>
        <v>2.184</v>
      </c>
      <c r="E175" s="28" t="n">
        <f aca="false">E174+D175</f>
        <v>78.16937</v>
      </c>
      <c r="F175" s="28" t="n">
        <f aca="false">MAX(0,MAX($E$2:E175))</f>
        <v>78.16937</v>
      </c>
      <c r="G175" s="28" t="n">
        <f aca="false">E175-F175</f>
        <v>0</v>
      </c>
      <c r="H175" s="25" t="n">
        <f aca="false">IF(G175&gt;=-0.0000001,A175,H174)</f>
        <v>46059</v>
      </c>
      <c r="I175" s="29" t="n">
        <f aca="false">IF(AND(G175&gt;=-0.0000001,G174&lt;0),1,0)</f>
        <v>0</v>
      </c>
      <c r="J175" s="30" t="str">
        <f aca="false">IF(I175=1,A175-H174,"")</f>
        <v/>
      </c>
      <c r="K175" s="27" t="n">
        <f aca="false">IF(B175="Wednesday",0,C175)</f>
        <v>37128</v>
      </c>
      <c r="L175" s="28" t="n">
        <f aca="false">L174+K175/$T$1*100</f>
        <v>91.1333635294117</v>
      </c>
      <c r="M175" s="28" t="n">
        <f aca="false">MAX(0,MAX($L$2:L175))</f>
        <v>91.1333635294117</v>
      </c>
      <c r="N175" s="28" t="n">
        <f aca="false">L175-M175</f>
        <v>0</v>
      </c>
      <c r="O175" s="25" t="n">
        <f aca="false">IF(N175&gt;=-0.0000001,A175,O174)</f>
        <v>46059</v>
      </c>
      <c r="P175" s="29" t="n">
        <f aca="false">IF(AND(N175&gt;=-0.0000001,N174&lt;0),1,0)</f>
        <v>0</v>
      </c>
      <c r="Q175" s="30" t="str">
        <f aca="false">IF(P175=1,A175-O174,"")</f>
        <v/>
      </c>
    </row>
    <row r="176" customFormat="false" ht="15" hidden="false" customHeight="false" outlineLevel="0" collapsed="false">
      <c r="A176" s="25" t="n">
        <v>46062</v>
      </c>
      <c r="B176" s="26" t="s">
        <v>79</v>
      </c>
      <c r="C176" s="27" t="n">
        <v>-399.75</v>
      </c>
      <c r="D176" s="28" t="n">
        <f aca="false">C176/$T$1*100</f>
        <v>-0.0235147058823529</v>
      </c>
      <c r="E176" s="28" t="n">
        <f aca="false">E175+D176</f>
        <v>78.1458552941176</v>
      </c>
      <c r="F176" s="28" t="n">
        <f aca="false">MAX(0,MAX($E$2:E176))</f>
        <v>78.16937</v>
      </c>
      <c r="G176" s="28" t="n">
        <f aca="false">E176-F176</f>
        <v>-0.0235147058823486</v>
      </c>
      <c r="H176" s="25" t="n">
        <f aca="false">IF(G176&gt;=-0.0000001,A176,H175)</f>
        <v>46059</v>
      </c>
      <c r="I176" s="29" t="n">
        <f aca="false">IF(AND(G176&gt;=-0.0000001,G175&lt;0),1,0)</f>
        <v>0</v>
      </c>
      <c r="J176" s="30" t="str">
        <f aca="false">IF(I176=1,A176-H175,"")</f>
        <v/>
      </c>
      <c r="K176" s="27" t="n">
        <f aca="false">IF(B176="Wednesday",0,C176)</f>
        <v>-399.75</v>
      </c>
      <c r="L176" s="28" t="n">
        <f aca="false">L175+K176/$T$1*100</f>
        <v>91.1098488235294</v>
      </c>
      <c r="M176" s="28" t="n">
        <f aca="false">MAX(0,MAX($L$2:L176))</f>
        <v>91.1333635294117</v>
      </c>
      <c r="N176" s="28" t="n">
        <f aca="false">L176-M176</f>
        <v>-0.0235147058823486</v>
      </c>
      <c r="O176" s="25" t="n">
        <f aca="false">IF(N176&gt;=-0.0000001,A176,O175)</f>
        <v>46059</v>
      </c>
      <c r="P176" s="29" t="n">
        <f aca="false">IF(AND(N176&gt;=-0.0000001,N175&lt;0),1,0)</f>
        <v>0</v>
      </c>
      <c r="Q176" s="30" t="str">
        <f aca="false">IF(P176=1,A176-O175,"")</f>
        <v/>
      </c>
    </row>
    <row r="177" customFormat="false" ht="15" hidden="false" customHeight="false" outlineLevel="0" collapsed="false">
      <c r="A177" s="25" t="n">
        <v>46063</v>
      </c>
      <c r="B177" s="26" t="s">
        <v>80</v>
      </c>
      <c r="C177" s="27" t="n">
        <v>39226.85</v>
      </c>
      <c r="D177" s="28" t="n">
        <f aca="false">C177/$T$1*100</f>
        <v>2.30746176470588</v>
      </c>
      <c r="E177" s="28" t="n">
        <f aca="false">E176+D177</f>
        <v>80.4533170588235</v>
      </c>
      <c r="F177" s="28" t="n">
        <f aca="false">MAX(0,MAX($E$2:E177))</f>
        <v>80.4533170588235</v>
      </c>
      <c r="G177" s="28" t="n">
        <f aca="false">E177-F177</f>
        <v>0</v>
      </c>
      <c r="H177" s="25" t="n">
        <f aca="false">IF(G177&gt;=-0.0000001,A177,H176)</f>
        <v>46063</v>
      </c>
      <c r="I177" s="29" t="n">
        <f aca="false">IF(AND(G177&gt;=-0.0000001,G176&lt;0),1,0)</f>
        <v>1</v>
      </c>
      <c r="J177" s="30" t="n">
        <f aca="false">IF(I177=1,A177-H176,"")</f>
        <v>4</v>
      </c>
      <c r="K177" s="27" t="n">
        <f aca="false">IF(B177="Wednesday",0,C177)</f>
        <v>39226.85</v>
      </c>
      <c r="L177" s="28" t="n">
        <f aca="false">L176+K177/$T$1*100</f>
        <v>93.4173105882353</v>
      </c>
      <c r="M177" s="28" t="n">
        <f aca="false">MAX(0,MAX($L$2:L177))</f>
        <v>93.4173105882353</v>
      </c>
      <c r="N177" s="28" t="n">
        <f aca="false">L177-M177</f>
        <v>0</v>
      </c>
      <c r="O177" s="25" t="n">
        <f aca="false">IF(N177&gt;=-0.0000001,A177,O176)</f>
        <v>46063</v>
      </c>
      <c r="P177" s="29" t="n">
        <f aca="false">IF(AND(N177&gt;=-0.0000001,N176&lt;0),1,0)</f>
        <v>1</v>
      </c>
      <c r="Q177" s="30" t="n">
        <f aca="false">IF(P177=1,A177-O176,"")</f>
        <v>4</v>
      </c>
    </row>
    <row r="178" customFormat="false" ht="15" hidden="false" customHeight="false" outlineLevel="0" collapsed="false">
      <c r="A178" s="25" t="n">
        <v>46064</v>
      </c>
      <c r="B178" s="26" t="s">
        <v>81</v>
      </c>
      <c r="C178" s="27" t="n">
        <v>2961.4</v>
      </c>
      <c r="D178" s="28" t="n">
        <f aca="false">C178/$T$1*100</f>
        <v>0.1742</v>
      </c>
      <c r="E178" s="28" t="n">
        <f aca="false">E177+D178</f>
        <v>80.6275170588235</v>
      </c>
      <c r="F178" s="28" t="n">
        <f aca="false">MAX(0,MAX($E$2:E178))</f>
        <v>80.6275170588235</v>
      </c>
      <c r="G178" s="28" t="n">
        <f aca="false">E178-F178</f>
        <v>0</v>
      </c>
      <c r="H178" s="25" t="n">
        <f aca="false">IF(G178&gt;=-0.0000001,A178,H177)</f>
        <v>46064</v>
      </c>
      <c r="I178" s="29" t="n">
        <f aca="false">IF(AND(G178&gt;=-0.0000001,G177&lt;0),1,0)</f>
        <v>0</v>
      </c>
      <c r="J178" s="30" t="str">
        <f aca="false">IF(I178=1,A178-H177,"")</f>
        <v/>
      </c>
      <c r="K178" s="27" t="n">
        <f aca="false">IF(B178="Wednesday",0,C178)</f>
        <v>0</v>
      </c>
      <c r="L178" s="28" t="n">
        <f aca="false">L177+K178/$T$1*100</f>
        <v>93.4173105882353</v>
      </c>
      <c r="M178" s="28" t="n">
        <f aca="false">MAX(0,MAX($L$2:L178))</f>
        <v>93.4173105882353</v>
      </c>
      <c r="N178" s="28" t="n">
        <f aca="false">L178-M178</f>
        <v>0</v>
      </c>
      <c r="O178" s="25" t="n">
        <f aca="false">IF(N178&gt;=-0.0000001,A178,O177)</f>
        <v>46064</v>
      </c>
      <c r="P178" s="29" t="n">
        <f aca="false">IF(AND(N178&gt;=-0.0000001,N177&lt;0),1,0)</f>
        <v>0</v>
      </c>
      <c r="Q178" s="30" t="str">
        <f aca="false">IF(P178=1,A178-O177,"")</f>
        <v/>
      </c>
    </row>
    <row r="179" customFormat="false" ht="15" hidden="false" customHeight="false" outlineLevel="0" collapsed="false">
      <c r="A179" s="25" t="n">
        <v>46065</v>
      </c>
      <c r="B179" s="26" t="s">
        <v>82</v>
      </c>
      <c r="C179" s="27" t="n">
        <v>-40576.25</v>
      </c>
      <c r="D179" s="28" t="n">
        <f aca="false">C179/$T$1*100</f>
        <v>-2.38683823529412</v>
      </c>
      <c r="E179" s="28" t="n">
        <f aca="false">E178+D179</f>
        <v>78.2406788235294</v>
      </c>
      <c r="F179" s="28" t="n">
        <f aca="false">MAX(0,MAX($E$2:E179))</f>
        <v>80.6275170588235</v>
      </c>
      <c r="G179" s="28" t="n">
        <f aca="false">E179-F179</f>
        <v>-2.38683823529412</v>
      </c>
      <c r="H179" s="25" t="n">
        <f aca="false">IF(G179&gt;=-0.0000001,A179,H178)</f>
        <v>46064</v>
      </c>
      <c r="I179" s="29" t="n">
        <f aca="false">IF(AND(G179&gt;=-0.0000001,G178&lt;0),1,0)</f>
        <v>0</v>
      </c>
      <c r="J179" s="30" t="str">
        <f aca="false">IF(I179=1,A179-H178,"")</f>
        <v/>
      </c>
      <c r="K179" s="27" t="n">
        <f aca="false">IF(B179="Wednesday",0,C179)</f>
        <v>-40576.25</v>
      </c>
      <c r="L179" s="28" t="n">
        <f aca="false">L178+K179/$T$1*100</f>
        <v>91.0304723529412</v>
      </c>
      <c r="M179" s="28" t="n">
        <f aca="false">MAX(0,MAX($L$2:L179))</f>
        <v>93.4173105882353</v>
      </c>
      <c r="N179" s="28" t="n">
        <f aca="false">L179-M179</f>
        <v>-2.38683823529412</v>
      </c>
      <c r="O179" s="25" t="n">
        <f aca="false">IF(N179&gt;=-0.0000001,A179,O178)</f>
        <v>46064</v>
      </c>
      <c r="P179" s="29" t="n">
        <f aca="false">IF(AND(N179&gt;=-0.0000001,N178&lt;0),1,0)</f>
        <v>0</v>
      </c>
      <c r="Q179" s="30" t="str">
        <f aca="false">IF(P179=1,A179-O178,"")</f>
        <v/>
      </c>
    </row>
    <row r="180" customFormat="false" ht="15" hidden="false" customHeight="false" outlineLevel="0" collapsed="false">
      <c r="A180" s="25" t="n">
        <v>46066</v>
      </c>
      <c r="B180" s="26" t="s">
        <v>83</v>
      </c>
      <c r="C180" s="27" t="n">
        <v>50074.7</v>
      </c>
      <c r="D180" s="28" t="n">
        <f aca="false">C180/$T$1*100</f>
        <v>2.94557058823529</v>
      </c>
      <c r="E180" s="28" t="n">
        <f aca="false">E179+D180</f>
        <v>81.1862494117647</v>
      </c>
      <c r="F180" s="28" t="n">
        <f aca="false">MAX(0,MAX($E$2:E180))</f>
        <v>81.1862494117647</v>
      </c>
      <c r="G180" s="28" t="n">
        <f aca="false">E180-F180</f>
        <v>0</v>
      </c>
      <c r="H180" s="25" t="n">
        <f aca="false">IF(G180&gt;=-0.0000001,A180,H179)</f>
        <v>46066</v>
      </c>
      <c r="I180" s="29" t="n">
        <f aca="false">IF(AND(G180&gt;=-0.0000001,G179&lt;0),1,0)</f>
        <v>1</v>
      </c>
      <c r="J180" s="30" t="n">
        <f aca="false">IF(I180=1,A180-H179,"")</f>
        <v>2</v>
      </c>
      <c r="K180" s="27" t="n">
        <f aca="false">IF(B180="Wednesday",0,C180)</f>
        <v>50074.7</v>
      </c>
      <c r="L180" s="28" t="n">
        <f aca="false">L179+K180/$T$1*100</f>
        <v>93.9760429411764</v>
      </c>
      <c r="M180" s="28" t="n">
        <f aca="false">MAX(0,MAX($L$2:L180))</f>
        <v>93.9760429411764</v>
      </c>
      <c r="N180" s="28" t="n">
        <f aca="false">L180-M180</f>
        <v>0</v>
      </c>
      <c r="O180" s="25" t="n">
        <f aca="false">IF(N180&gt;=-0.0000001,A180,O179)</f>
        <v>46066</v>
      </c>
      <c r="P180" s="29" t="n">
        <f aca="false">IF(AND(N180&gt;=-0.0000001,N179&lt;0),1,0)</f>
        <v>1</v>
      </c>
      <c r="Q180" s="30" t="n">
        <f aca="false">IF(P180=1,A180-O179,"")</f>
        <v>2</v>
      </c>
    </row>
    <row r="181" customFormat="false" ht="15" hidden="false" customHeight="false" outlineLevel="0" collapsed="false">
      <c r="A181" s="25" t="n">
        <v>46069</v>
      </c>
      <c r="B181" s="26" t="s">
        <v>79</v>
      </c>
      <c r="C181" s="27" t="n">
        <v>16118.7</v>
      </c>
      <c r="D181" s="28" t="n">
        <f aca="false">C181/$T$1*100</f>
        <v>0.948158823529412</v>
      </c>
      <c r="E181" s="28" t="n">
        <f aca="false">E180+D181</f>
        <v>82.1344082352941</v>
      </c>
      <c r="F181" s="28" t="n">
        <f aca="false">MAX(0,MAX($E$2:E181))</f>
        <v>82.1344082352941</v>
      </c>
      <c r="G181" s="28" t="n">
        <f aca="false">E181-F181</f>
        <v>0</v>
      </c>
      <c r="H181" s="25" t="n">
        <f aca="false">IF(G181&gt;=-0.0000001,A181,H180)</f>
        <v>46069</v>
      </c>
      <c r="I181" s="29" t="n">
        <f aca="false">IF(AND(G181&gt;=-0.0000001,G180&lt;0),1,0)</f>
        <v>0</v>
      </c>
      <c r="J181" s="30" t="str">
        <f aca="false">IF(I181=1,A181-H180,"")</f>
        <v/>
      </c>
      <c r="K181" s="27" t="n">
        <f aca="false">IF(B181="Wednesday",0,C181)</f>
        <v>16118.7</v>
      </c>
      <c r="L181" s="28" t="n">
        <f aca="false">L180+K181/$T$1*100</f>
        <v>94.9242017647059</v>
      </c>
      <c r="M181" s="28" t="n">
        <f aca="false">MAX(0,MAX($L$2:L181))</f>
        <v>94.9242017647059</v>
      </c>
      <c r="N181" s="28" t="n">
        <f aca="false">L181-M181</f>
        <v>0</v>
      </c>
      <c r="O181" s="25" t="n">
        <f aca="false">IF(N181&gt;=-0.0000001,A181,O180)</f>
        <v>46069</v>
      </c>
      <c r="P181" s="29" t="n">
        <f aca="false">IF(AND(N181&gt;=-0.0000001,N180&lt;0),1,0)</f>
        <v>0</v>
      </c>
      <c r="Q181" s="30" t="str">
        <f aca="false">IF(P181=1,A181-O180,"")</f>
        <v/>
      </c>
    </row>
    <row r="182" customFormat="false" ht="15" hidden="false" customHeight="false" outlineLevel="0" collapsed="false">
      <c r="A182" s="25" t="n">
        <v>46070</v>
      </c>
      <c r="B182" s="26" t="s">
        <v>80</v>
      </c>
      <c r="C182" s="27" t="n">
        <v>22621.95</v>
      </c>
      <c r="D182" s="28" t="n">
        <f aca="false">C182/$T$1*100</f>
        <v>1.33070294117647</v>
      </c>
      <c r="E182" s="28" t="n">
        <f aca="false">E181+D182</f>
        <v>83.4651111764706</v>
      </c>
      <c r="F182" s="28" t="n">
        <f aca="false">MAX(0,MAX($E$2:E182))</f>
        <v>83.4651111764706</v>
      </c>
      <c r="G182" s="28" t="n">
        <f aca="false">E182-F182</f>
        <v>0</v>
      </c>
      <c r="H182" s="25" t="n">
        <f aca="false">IF(G182&gt;=-0.0000001,A182,H181)</f>
        <v>46070</v>
      </c>
      <c r="I182" s="29" t="n">
        <f aca="false">IF(AND(G182&gt;=-0.0000001,G181&lt;0),1,0)</f>
        <v>0</v>
      </c>
      <c r="J182" s="30" t="str">
        <f aca="false">IF(I182=1,A182-H181,"")</f>
        <v/>
      </c>
      <c r="K182" s="27" t="n">
        <f aca="false">IF(B182="Wednesday",0,C182)</f>
        <v>22621.95</v>
      </c>
      <c r="L182" s="28" t="n">
        <f aca="false">L181+K182/$T$1*100</f>
        <v>96.2549047058823</v>
      </c>
      <c r="M182" s="28" t="n">
        <f aca="false">MAX(0,MAX($L$2:L182))</f>
        <v>96.2549047058823</v>
      </c>
      <c r="N182" s="28" t="n">
        <f aca="false">L182-M182</f>
        <v>0</v>
      </c>
      <c r="O182" s="25" t="n">
        <f aca="false">IF(N182&gt;=-0.0000001,A182,O181)</f>
        <v>46070</v>
      </c>
      <c r="P182" s="29" t="n">
        <f aca="false">IF(AND(N182&gt;=-0.0000001,N181&lt;0),1,0)</f>
        <v>0</v>
      </c>
      <c r="Q182" s="30" t="str">
        <f aca="false">IF(P182=1,A182-O181,"")</f>
        <v/>
      </c>
    </row>
    <row r="183" customFormat="false" ht="15" hidden="false" customHeight="false" outlineLevel="0" collapsed="false">
      <c r="A183" s="25" t="n">
        <v>46071</v>
      </c>
      <c r="B183" s="26" t="s">
        <v>81</v>
      </c>
      <c r="C183" s="27" t="n">
        <v>-27341.6</v>
      </c>
      <c r="D183" s="28" t="n">
        <f aca="false">C183/$T$1*100</f>
        <v>-1.60832941176471</v>
      </c>
      <c r="E183" s="28" t="n">
        <f aca="false">E182+D183</f>
        <v>81.8567817647059</v>
      </c>
      <c r="F183" s="28" t="n">
        <f aca="false">MAX(0,MAX($E$2:E183))</f>
        <v>83.4651111764706</v>
      </c>
      <c r="G183" s="28" t="n">
        <f aca="false">E183-F183</f>
        <v>-1.6083294117647</v>
      </c>
      <c r="H183" s="25" t="n">
        <f aca="false">IF(G183&gt;=-0.0000001,A183,H182)</f>
        <v>46070</v>
      </c>
      <c r="I183" s="29" t="n">
        <f aca="false">IF(AND(G183&gt;=-0.0000001,G182&lt;0),1,0)</f>
        <v>0</v>
      </c>
      <c r="J183" s="30" t="str">
        <f aca="false">IF(I183=1,A183-H182,"")</f>
        <v/>
      </c>
      <c r="K183" s="27" t="n">
        <f aca="false">IF(B183="Wednesday",0,C183)</f>
        <v>0</v>
      </c>
      <c r="L183" s="28" t="n">
        <f aca="false">L182+K183/$T$1*100</f>
        <v>96.2549047058823</v>
      </c>
      <c r="M183" s="28" t="n">
        <f aca="false">MAX(0,MAX($L$2:L183))</f>
        <v>96.2549047058823</v>
      </c>
      <c r="N183" s="28" t="n">
        <f aca="false">L183-M183</f>
        <v>0</v>
      </c>
      <c r="O183" s="25" t="n">
        <f aca="false">IF(N183&gt;=-0.0000001,A183,O182)</f>
        <v>46071</v>
      </c>
      <c r="P183" s="29" t="n">
        <f aca="false">IF(AND(N183&gt;=-0.0000001,N182&lt;0),1,0)</f>
        <v>0</v>
      </c>
      <c r="Q183" s="30" t="str">
        <f aca="false">IF(P183=1,A183-O182,"")</f>
        <v/>
      </c>
    </row>
    <row r="184" customFormat="false" ht="15" hidden="false" customHeight="false" outlineLevel="0" collapsed="false">
      <c r="A184" s="25" t="n">
        <v>46072</v>
      </c>
      <c r="B184" s="26" t="s">
        <v>82</v>
      </c>
      <c r="C184" s="27" t="n">
        <v>30101.5</v>
      </c>
      <c r="D184" s="28" t="n">
        <f aca="false">C184/$T$1*100</f>
        <v>1.77067647058824</v>
      </c>
      <c r="E184" s="28" t="n">
        <f aca="false">E183+D184</f>
        <v>83.6274582352941</v>
      </c>
      <c r="F184" s="28" t="n">
        <f aca="false">MAX(0,MAX($E$2:E184))</f>
        <v>83.6274582352941</v>
      </c>
      <c r="G184" s="28" t="n">
        <f aca="false">E184-F184</f>
        <v>0</v>
      </c>
      <c r="H184" s="25" t="n">
        <f aca="false">IF(G184&gt;=-0.0000001,A184,H183)</f>
        <v>46072</v>
      </c>
      <c r="I184" s="29" t="n">
        <f aca="false">IF(AND(G184&gt;=-0.0000001,G183&lt;0),1,0)</f>
        <v>1</v>
      </c>
      <c r="J184" s="30" t="n">
        <f aca="false">IF(I184=1,A184-H183,"")</f>
        <v>2</v>
      </c>
      <c r="K184" s="27" t="n">
        <f aca="false">IF(B184="Wednesday",0,C184)</f>
        <v>30101.5</v>
      </c>
      <c r="L184" s="28" t="n">
        <f aca="false">L183+K184/$T$1*100</f>
        <v>98.0255811764706</v>
      </c>
      <c r="M184" s="28" t="n">
        <f aca="false">MAX(0,MAX($L$2:L184))</f>
        <v>98.0255811764706</v>
      </c>
      <c r="N184" s="28" t="n">
        <f aca="false">L184-M184</f>
        <v>0</v>
      </c>
      <c r="O184" s="25" t="n">
        <f aca="false">IF(N184&gt;=-0.0000001,A184,O183)</f>
        <v>46072</v>
      </c>
      <c r="P184" s="29" t="n">
        <f aca="false">IF(AND(N184&gt;=-0.0000001,N183&lt;0),1,0)</f>
        <v>0</v>
      </c>
      <c r="Q184" s="30" t="str">
        <f aca="false">IF(P184=1,A184-O183,"")</f>
        <v/>
      </c>
    </row>
    <row r="185" customFormat="false" ht="15" hidden="false" customHeight="false" outlineLevel="0" collapsed="false">
      <c r="A185" s="25" t="n">
        <v>46073</v>
      </c>
      <c r="B185" s="26" t="s">
        <v>83</v>
      </c>
      <c r="C185" s="27" t="n">
        <v>21913.45</v>
      </c>
      <c r="D185" s="28" t="n">
        <f aca="false">C185/$T$1*100</f>
        <v>1.28902647058824</v>
      </c>
      <c r="E185" s="28" t="n">
        <f aca="false">E184+D185</f>
        <v>84.9164847058824</v>
      </c>
      <c r="F185" s="28" t="n">
        <f aca="false">MAX(0,MAX($E$2:E185))</f>
        <v>84.9164847058824</v>
      </c>
      <c r="G185" s="28" t="n">
        <f aca="false">E185-F185</f>
        <v>0</v>
      </c>
      <c r="H185" s="25" t="n">
        <f aca="false">IF(G185&gt;=-0.0000001,A185,H184)</f>
        <v>46073</v>
      </c>
      <c r="I185" s="29" t="n">
        <f aca="false">IF(AND(G185&gt;=-0.0000001,G184&lt;0),1,0)</f>
        <v>0</v>
      </c>
      <c r="J185" s="30" t="str">
        <f aca="false">IF(I185=1,A185-H184,"")</f>
        <v/>
      </c>
      <c r="K185" s="27" t="n">
        <f aca="false">IF(B185="Wednesday",0,C185)</f>
        <v>21913.45</v>
      </c>
      <c r="L185" s="28" t="n">
        <f aca="false">L184+K185/$T$1*100</f>
        <v>99.3146076470588</v>
      </c>
      <c r="M185" s="28" t="n">
        <f aca="false">MAX(0,MAX($L$2:L185))</f>
        <v>99.3146076470588</v>
      </c>
      <c r="N185" s="28" t="n">
        <f aca="false">L185-M185</f>
        <v>0</v>
      </c>
      <c r="O185" s="25" t="n">
        <f aca="false">IF(N185&gt;=-0.0000001,A185,O184)</f>
        <v>46073</v>
      </c>
      <c r="P185" s="29" t="n">
        <f aca="false">IF(AND(N185&gt;=-0.0000001,N184&lt;0),1,0)</f>
        <v>0</v>
      </c>
      <c r="Q185" s="30" t="str">
        <f aca="false">IF(P185=1,A185-O184,"")</f>
        <v/>
      </c>
    </row>
    <row r="186" customFormat="false" ht="15" hidden="false" customHeight="false" outlineLevel="0" collapsed="false">
      <c r="A186" s="25" t="n">
        <v>46076</v>
      </c>
      <c r="B186" s="26" t="s">
        <v>79</v>
      </c>
      <c r="C186" s="27" t="n">
        <v>-28829.45</v>
      </c>
      <c r="D186" s="28" t="n">
        <f aca="false">C186/$T$1*100</f>
        <v>-1.69585</v>
      </c>
      <c r="E186" s="28" t="n">
        <f aca="false">E185+D186</f>
        <v>83.2206347058824</v>
      </c>
      <c r="F186" s="28" t="n">
        <f aca="false">MAX(0,MAX($E$2:E186))</f>
        <v>84.9164847058824</v>
      </c>
      <c r="G186" s="28" t="n">
        <f aca="false">E186-F186</f>
        <v>-1.69584999999999</v>
      </c>
      <c r="H186" s="25" t="n">
        <f aca="false">IF(G186&gt;=-0.0000001,A186,H185)</f>
        <v>46073</v>
      </c>
      <c r="I186" s="29" t="n">
        <f aca="false">IF(AND(G186&gt;=-0.0000001,G185&lt;0),1,0)</f>
        <v>0</v>
      </c>
      <c r="J186" s="30" t="str">
        <f aca="false">IF(I186=1,A186-H185,"")</f>
        <v/>
      </c>
      <c r="K186" s="27" t="n">
        <f aca="false">IF(B186="Wednesday",0,C186)</f>
        <v>-28829.45</v>
      </c>
      <c r="L186" s="28" t="n">
        <f aca="false">L185+K186/$T$1*100</f>
        <v>97.6187576470588</v>
      </c>
      <c r="M186" s="28" t="n">
        <f aca="false">MAX(0,MAX($L$2:L186))</f>
        <v>99.3146076470588</v>
      </c>
      <c r="N186" s="28" t="n">
        <f aca="false">L186-M186</f>
        <v>-1.69585000000001</v>
      </c>
      <c r="O186" s="25" t="n">
        <f aca="false">IF(N186&gt;=-0.0000001,A186,O185)</f>
        <v>46073</v>
      </c>
      <c r="P186" s="29" t="n">
        <f aca="false">IF(AND(N186&gt;=-0.0000001,N185&lt;0),1,0)</f>
        <v>0</v>
      </c>
      <c r="Q186" s="30" t="str">
        <f aca="false">IF(P186=1,A186-O185,"")</f>
        <v/>
      </c>
    </row>
    <row r="187" customFormat="false" ht="15" hidden="false" customHeight="false" outlineLevel="0" collapsed="false">
      <c r="A187" s="25" t="n">
        <v>46077</v>
      </c>
      <c r="B187" s="26" t="s">
        <v>80</v>
      </c>
      <c r="C187" s="27" t="n">
        <v>115979.5</v>
      </c>
      <c r="D187" s="28" t="n">
        <f aca="false">C187/$T$1*100</f>
        <v>6.82232352941177</v>
      </c>
      <c r="E187" s="28" t="n">
        <f aca="false">E186+D187</f>
        <v>90.0429582352941</v>
      </c>
      <c r="F187" s="28" t="n">
        <f aca="false">MAX(0,MAX($E$2:E187))</f>
        <v>90.0429582352941</v>
      </c>
      <c r="G187" s="28" t="n">
        <f aca="false">E187-F187</f>
        <v>0</v>
      </c>
      <c r="H187" s="25" t="n">
        <f aca="false">IF(G187&gt;=-0.0000001,A187,H186)</f>
        <v>46077</v>
      </c>
      <c r="I187" s="29" t="n">
        <f aca="false">IF(AND(G187&gt;=-0.0000001,G186&lt;0),1,0)</f>
        <v>1</v>
      </c>
      <c r="J187" s="30" t="n">
        <f aca="false">IF(I187=1,A187-H186,"")</f>
        <v>4</v>
      </c>
      <c r="K187" s="27" t="n">
        <f aca="false">IF(B187="Wednesday",0,C187)</f>
        <v>115979.5</v>
      </c>
      <c r="L187" s="28" t="n">
        <f aca="false">L186+K187/$T$1*100</f>
        <v>104.441081176471</v>
      </c>
      <c r="M187" s="28" t="n">
        <f aca="false">MAX(0,MAX($L$2:L187))</f>
        <v>104.441081176471</v>
      </c>
      <c r="N187" s="28" t="n">
        <f aca="false">L187-M187</f>
        <v>0</v>
      </c>
      <c r="O187" s="25" t="n">
        <f aca="false">IF(N187&gt;=-0.0000001,A187,O186)</f>
        <v>46077</v>
      </c>
      <c r="P187" s="29" t="n">
        <f aca="false">IF(AND(N187&gt;=-0.0000001,N186&lt;0),1,0)</f>
        <v>1</v>
      </c>
      <c r="Q187" s="30" t="n">
        <f aca="false">IF(P187=1,A187-O186,"")</f>
        <v>4</v>
      </c>
    </row>
    <row r="188" customFormat="false" ht="15" hidden="false" customHeight="false" outlineLevel="0" collapsed="false">
      <c r="A188" s="25" t="n">
        <v>46078</v>
      </c>
      <c r="B188" s="26" t="s">
        <v>81</v>
      </c>
      <c r="C188" s="27" t="n">
        <v>-51658.1</v>
      </c>
      <c r="D188" s="28" t="n">
        <f aca="false">C188/$T$1*100</f>
        <v>-3.03871176470588</v>
      </c>
      <c r="E188" s="28" t="n">
        <f aca="false">E187+D188</f>
        <v>87.0042464705882</v>
      </c>
      <c r="F188" s="28" t="n">
        <f aca="false">MAX(0,MAX($E$2:E188))</f>
        <v>90.0429582352941</v>
      </c>
      <c r="G188" s="28" t="n">
        <f aca="false">E188-F188</f>
        <v>-3.03871176470588</v>
      </c>
      <c r="H188" s="25" t="n">
        <f aca="false">IF(G188&gt;=-0.0000001,A188,H187)</f>
        <v>46077</v>
      </c>
      <c r="I188" s="29" t="n">
        <f aca="false">IF(AND(G188&gt;=-0.0000001,G187&lt;0),1,0)</f>
        <v>0</v>
      </c>
      <c r="J188" s="30" t="str">
        <f aca="false">IF(I188=1,A188-H187,"")</f>
        <v/>
      </c>
      <c r="K188" s="27" t="n">
        <f aca="false">IF(B188="Wednesday",0,C188)</f>
        <v>0</v>
      </c>
      <c r="L188" s="28" t="n">
        <f aca="false">L187+K188/$T$1*100</f>
        <v>104.441081176471</v>
      </c>
      <c r="M188" s="28" t="n">
        <f aca="false">MAX(0,MAX($L$2:L188))</f>
        <v>104.441081176471</v>
      </c>
      <c r="N188" s="28" t="n">
        <f aca="false">L188-M188</f>
        <v>0</v>
      </c>
      <c r="O188" s="25" t="n">
        <f aca="false">IF(N188&gt;=-0.0000001,A188,O187)</f>
        <v>46078</v>
      </c>
      <c r="P188" s="29" t="n">
        <f aca="false">IF(AND(N188&gt;=-0.0000001,N187&lt;0),1,0)</f>
        <v>0</v>
      </c>
      <c r="Q188" s="30" t="str">
        <f aca="false">IF(P188=1,A188-O187,"")</f>
        <v/>
      </c>
    </row>
    <row r="189" customFormat="false" ht="15" hidden="false" customHeight="false" outlineLevel="0" collapsed="false">
      <c r="A189" s="25" t="n">
        <v>46079</v>
      </c>
      <c r="B189" s="26" t="s">
        <v>82</v>
      </c>
      <c r="C189" s="27" t="n">
        <v>72406.1</v>
      </c>
      <c r="D189" s="28" t="n">
        <f aca="false">C189/$T$1*100</f>
        <v>4.25918235294118</v>
      </c>
      <c r="E189" s="28" t="n">
        <f aca="false">E188+D189</f>
        <v>91.2634288235294</v>
      </c>
      <c r="F189" s="28" t="n">
        <f aca="false">MAX(0,MAX($E$2:E189))</f>
        <v>91.2634288235294</v>
      </c>
      <c r="G189" s="28" t="n">
        <f aca="false">E189-F189</f>
        <v>0</v>
      </c>
      <c r="H189" s="25" t="n">
        <f aca="false">IF(G189&gt;=-0.0000001,A189,H188)</f>
        <v>46079</v>
      </c>
      <c r="I189" s="29" t="n">
        <f aca="false">IF(AND(G189&gt;=-0.0000001,G188&lt;0),1,0)</f>
        <v>1</v>
      </c>
      <c r="J189" s="30" t="n">
        <f aca="false">IF(I189=1,A189-H188,"")</f>
        <v>2</v>
      </c>
      <c r="K189" s="27" t="n">
        <f aca="false">IF(B189="Wednesday",0,C189)</f>
        <v>72406.1</v>
      </c>
      <c r="L189" s="28" t="n">
        <f aca="false">L188+K189/$T$1*100</f>
        <v>108.700263529412</v>
      </c>
      <c r="M189" s="28" t="n">
        <f aca="false">MAX(0,MAX($L$2:L189))</f>
        <v>108.700263529412</v>
      </c>
      <c r="N189" s="28" t="n">
        <f aca="false">L189-M189</f>
        <v>0</v>
      </c>
      <c r="O189" s="25" t="n">
        <f aca="false">IF(N189&gt;=-0.0000001,A189,O188)</f>
        <v>46079</v>
      </c>
      <c r="P189" s="29" t="n">
        <f aca="false">IF(AND(N189&gt;=-0.0000001,N188&lt;0),1,0)</f>
        <v>0</v>
      </c>
      <c r="Q189" s="30" t="str">
        <f aca="false">IF(P189=1,A189-O188,"")</f>
        <v/>
      </c>
    </row>
    <row r="190" customFormat="false" ht="15" hidden="false" customHeight="false" outlineLevel="0" collapsed="false">
      <c r="A190" s="25" t="n">
        <v>46080</v>
      </c>
      <c r="B190" s="26" t="s">
        <v>83</v>
      </c>
      <c r="C190" s="27" t="n">
        <v>38516.4</v>
      </c>
      <c r="D190" s="28" t="n">
        <f aca="false">C190/$T$1*100</f>
        <v>2.26567058823529</v>
      </c>
      <c r="E190" s="28" t="n">
        <f aca="false">E189+D190</f>
        <v>93.5290994117647</v>
      </c>
      <c r="F190" s="28" t="n">
        <f aca="false">MAX(0,MAX($E$2:E190))</f>
        <v>93.5290994117647</v>
      </c>
      <c r="G190" s="28" t="n">
        <f aca="false">E190-F190</f>
        <v>0</v>
      </c>
      <c r="H190" s="25" t="n">
        <f aca="false">IF(G190&gt;=-0.0000001,A190,H189)</f>
        <v>46080</v>
      </c>
      <c r="I190" s="29" t="n">
        <f aca="false">IF(AND(G190&gt;=-0.0000001,G189&lt;0),1,0)</f>
        <v>0</v>
      </c>
      <c r="J190" s="30" t="str">
        <f aca="false">IF(I190=1,A190-H189,"")</f>
        <v/>
      </c>
      <c r="K190" s="27" t="n">
        <f aca="false">IF(B190="Wednesday",0,C190)</f>
        <v>38516.4</v>
      </c>
      <c r="L190" s="28" t="n">
        <f aca="false">L189+K190/$T$1*100</f>
        <v>110.965934117647</v>
      </c>
      <c r="M190" s="28" t="n">
        <f aca="false">MAX(0,MAX($L$2:L190))</f>
        <v>110.965934117647</v>
      </c>
      <c r="N190" s="28" t="n">
        <f aca="false">L190-M190</f>
        <v>0</v>
      </c>
      <c r="O190" s="25" t="n">
        <f aca="false">IF(N190&gt;=-0.0000001,A190,O189)</f>
        <v>46080</v>
      </c>
      <c r="P190" s="29" t="n">
        <f aca="false">IF(AND(N190&gt;=-0.0000001,N189&lt;0),1,0)</f>
        <v>0</v>
      </c>
      <c r="Q190" s="30" t="str">
        <f aca="false">IF(P190=1,A190-O189,"")</f>
        <v/>
      </c>
    </row>
    <row r="191" customFormat="false" ht="15" hidden="false" customHeight="false" outlineLevel="0" collapsed="false">
      <c r="A191" s="25" t="n">
        <v>46083</v>
      </c>
      <c r="B191" s="26" t="s">
        <v>79</v>
      </c>
      <c r="C191" s="27" t="n">
        <v>75476.05</v>
      </c>
      <c r="D191" s="28" t="n">
        <f aca="false">C191/$T$1*100</f>
        <v>4.43976764705882</v>
      </c>
      <c r="E191" s="28" t="n">
        <f aca="false">E190+D191</f>
        <v>97.9688670588236</v>
      </c>
      <c r="F191" s="28" t="n">
        <f aca="false">MAX(0,MAX($E$2:E191))</f>
        <v>97.9688670588236</v>
      </c>
      <c r="G191" s="28" t="n">
        <f aca="false">E191-F191</f>
        <v>0</v>
      </c>
      <c r="H191" s="25" t="n">
        <f aca="false">IF(G191&gt;=-0.0000001,A191,H190)</f>
        <v>46083</v>
      </c>
      <c r="I191" s="29" t="n">
        <f aca="false">IF(AND(G191&gt;=-0.0000001,G190&lt;0),1,0)</f>
        <v>0</v>
      </c>
      <c r="J191" s="30" t="str">
        <f aca="false">IF(I191=1,A191-H190,"")</f>
        <v/>
      </c>
      <c r="K191" s="27" t="n">
        <f aca="false">IF(B191="Wednesday",0,C191)</f>
        <v>75476.05</v>
      </c>
      <c r="L191" s="28" t="n">
        <f aca="false">L190+K191/$T$1*100</f>
        <v>115.405701764706</v>
      </c>
      <c r="M191" s="28" t="n">
        <f aca="false">MAX(0,MAX($L$2:L191))</f>
        <v>115.405701764706</v>
      </c>
      <c r="N191" s="28" t="n">
        <f aca="false">L191-M191</f>
        <v>0</v>
      </c>
      <c r="O191" s="25" t="n">
        <f aca="false">IF(N191&gt;=-0.0000001,A191,O190)</f>
        <v>46083</v>
      </c>
      <c r="P191" s="29" t="n">
        <f aca="false">IF(AND(N191&gt;=-0.0000001,N190&lt;0),1,0)</f>
        <v>0</v>
      </c>
      <c r="Q191" s="30" t="str">
        <f aca="false">IF(P191=1,A191-O190,"")</f>
        <v/>
      </c>
    </row>
    <row r="192" customFormat="false" ht="15" hidden="false" customHeight="false" outlineLevel="0" collapsed="false">
      <c r="A192" s="25" t="n">
        <v>46085</v>
      </c>
      <c r="B192" s="26" t="s">
        <v>81</v>
      </c>
      <c r="C192" s="27" t="n">
        <v>4465.5</v>
      </c>
      <c r="D192" s="28" t="n">
        <f aca="false">C192/$T$1*100</f>
        <v>0.262676470588235</v>
      </c>
      <c r="E192" s="28" t="n">
        <f aca="false">E191+D192</f>
        <v>98.2315435294118</v>
      </c>
      <c r="F192" s="28" t="n">
        <f aca="false">MAX(0,MAX($E$2:E192))</f>
        <v>98.2315435294118</v>
      </c>
      <c r="G192" s="28" t="n">
        <f aca="false">E192-F192</f>
        <v>0</v>
      </c>
      <c r="H192" s="25" t="n">
        <f aca="false">IF(G192&gt;=-0.0000001,A192,H191)</f>
        <v>46085</v>
      </c>
      <c r="I192" s="29" t="n">
        <f aca="false">IF(AND(G192&gt;=-0.0000001,G191&lt;0),1,0)</f>
        <v>0</v>
      </c>
      <c r="J192" s="30" t="str">
        <f aca="false">IF(I192=1,A192-H191,"")</f>
        <v/>
      </c>
      <c r="K192" s="27" t="n">
        <f aca="false">IF(B192="Wednesday",0,C192)</f>
        <v>0</v>
      </c>
      <c r="L192" s="28" t="n">
        <f aca="false">L191+K192/$T$1*100</f>
        <v>115.405701764706</v>
      </c>
      <c r="M192" s="28" t="n">
        <f aca="false">MAX(0,MAX($L$2:L192))</f>
        <v>115.405701764706</v>
      </c>
      <c r="N192" s="28" t="n">
        <f aca="false">L192-M192</f>
        <v>0</v>
      </c>
      <c r="O192" s="25" t="n">
        <f aca="false">IF(N192&gt;=-0.0000001,A192,O191)</f>
        <v>46085</v>
      </c>
      <c r="P192" s="29" t="n">
        <f aca="false">IF(AND(N192&gt;=-0.0000001,N191&lt;0),1,0)</f>
        <v>0</v>
      </c>
      <c r="Q192" s="30" t="str">
        <f aca="false">IF(P192=1,A192-O191,"")</f>
        <v/>
      </c>
    </row>
    <row r="193" customFormat="false" ht="15" hidden="false" customHeight="false" outlineLevel="0" collapsed="false">
      <c r="A193" s="25" t="n">
        <v>46086</v>
      </c>
      <c r="B193" s="26" t="s">
        <v>82</v>
      </c>
      <c r="C193" s="27" t="n">
        <v>-23311.6</v>
      </c>
      <c r="D193" s="28" t="n">
        <f aca="false">C193/$T$1*100</f>
        <v>-1.37127058823529</v>
      </c>
      <c r="E193" s="28" t="n">
        <f aca="false">E192+D193</f>
        <v>96.8602729411765</v>
      </c>
      <c r="F193" s="28" t="n">
        <f aca="false">MAX(0,MAX($E$2:E193))</f>
        <v>98.2315435294118</v>
      </c>
      <c r="G193" s="28" t="n">
        <f aca="false">E193-F193</f>
        <v>-1.37127058823529</v>
      </c>
      <c r="H193" s="25" t="n">
        <f aca="false">IF(G193&gt;=-0.0000001,A193,H192)</f>
        <v>46085</v>
      </c>
      <c r="I193" s="29" t="n">
        <f aca="false">IF(AND(G193&gt;=-0.0000001,G192&lt;0),1,0)</f>
        <v>0</v>
      </c>
      <c r="J193" s="30" t="str">
        <f aca="false">IF(I193=1,A193-H192,"")</f>
        <v/>
      </c>
      <c r="K193" s="27" t="n">
        <f aca="false">IF(B193="Wednesday",0,C193)</f>
        <v>-23311.6</v>
      </c>
      <c r="L193" s="28" t="n">
        <f aca="false">L192+K193/$T$1*100</f>
        <v>114.034431176471</v>
      </c>
      <c r="M193" s="28" t="n">
        <f aca="false">MAX(0,MAX($L$2:L193))</f>
        <v>115.405701764706</v>
      </c>
      <c r="N193" s="28" t="n">
        <f aca="false">L193-M193</f>
        <v>-1.37127058823529</v>
      </c>
      <c r="O193" s="25" t="n">
        <f aca="false">IF(N193&gt;=-0.0000001,A193,O192)</f>
        <v>46085</v>
      </c>
      <c r="P193" s="29" t="n">
        <f aca="false">IF(AND(N193&gt;=-0.0000001,N192&lt;0),1,0)</f>
        <v>0</v>
      </c>
      <c r="Q193" s="30" t="str">
        <f aca="false">IF(P193=1,A193-O192,"")</f>
        <v/>
      </c>
    </row>
    <row r="194" customFormat="false" ht="15" hidden="false" customHeight="false" outlineLevel="0" collapsed="false">
      <c r="A194" s="25" t="n">
        <v>46087</v>
      </c>
      <c r="B194" s="26" t="s">
        <v>83</v>
      </c>
      <c r="C194" s="27" t="n">
        <v>-1852.5</v>
      </c>
      <c r="D194" s="28" t="n">
        <f aca="false">C194/$T$1*100</f>
        <v>-0.108970588235294</v>
      </c>
      <c r="E194" s="28" t="n">
        <f aca="false">E193+D194</f>
        <v>96.7513023529412</v>
      </c>
      <c r="F194" s="28" t="n">
        <f aca="false">MAX(0,MAX($E$2:E194))</f>
        <v>98.2315435294118</v>
      </c>
      <c r="G194" s="28" t="n">
        <f aca="false">E194-F194</f>
        <v>-1.48024117647059</v>
      </c>
      <c r="H194" s="25" t="n">
        <f aca="false">IF(G194&gt;=-0.0000001,A194,H193)</f>
        <v>46085</v>
      </c>
      <c r="I194" s="29" t="n">
        <f aca="false">IF(AND(G194&gt;=-0.0000001,G193&lt;0),1,0)</f>
        <v>0</v>
      </c>
      <c r="J194" s="30" t="str">
        <f aca="false">IF(I194=1,A194-H193,"")</f>
        <v/>
      </c>
      <c r="K194" s="27" t="n">
        <f aca="false">IF(B194="Wednesday",0,C194)</f>
        <v>-1852.5</v>
      </c>
      <c r="L194" s="28" t="n">
        <f aca="false">L193+K194/$T$1*100</f>
        <v>113.925460588235</v>
      </c>
      <c r="M194" s="28" t="n">
        <f aca="false">MAX(0,MAX($L$2:L194))</f>
        <v>115.405701764706</v>
      </c>
      <c r="N194" s="28" t="n">
        <f aca="false">L194-M194</f>
        <v>-1.48024117647059</v>
      </c>
      <c r="O194" s="25" t="n">
        <f aca="false">IF(N194&gt;=-0.0000001,A194,O193)</f>
        <v>46085</v>
      </c>
      <c r="P194" s="29" t="n">
        <f aca="false">IF(AND(N194&gt;=-0.0000001,N193&lt;0),1,0)</f>
        <v>0</v>
      </c>
      <c r="Q194" s="30" t="str">
        <f aca="false">IF(P194=1,A194-O193,"")</f>
        <v/>
      </c>
    </row>
    <row r="195" customFormat="false" ht="15" hidden="false" customHeight="false" outlineLevel="0" collapsed="false">
      <c r="A195" s="25" t="n">
        <v>46090</v>
      </c>
      <c r="B195" s="26" t="s">
        <v>79</v>
      </c>
      <c r="C195" s="27" t="n">
        <v>80471.3</v>
      </c>
      <c r="D195" s="28" t="n">
        <f aca="false">C195/$T$1*100</f>
        <v>4.73360588235294</v>
      </c>
      <c r="E195" s="28" t="n">
        <f aca="false">E194+D195</f>
        <v>101.484908235294</v>
      </c>
      <c r="F195" s="28" t="n">
        <f aca="false">MAX(0,MAX($E$2:E195))</f>
        <v>101.484908235294</v>
      </c>
      <c r="G195" s="28" t="n">
        <f aca="false">E195-F195</f>
        <v>0</v>
      </c>
      <c r="H195" s="25" t="n">
        <f aca="false">IF(G195&gt;=-0.0000001,A195,H194)</f>
        <v>46090</v>
      </c>
      <c r="I195" s="29" t="n">
        <f aca="false">IF(AND(G195&gt;=-0.0000001,G194&lt;0),1,0)</f>
        <v>1</v>
      </c>
      <c r="J195" s="30" t="n">
        <f aca="false">IF(I195=1,A195-H194,"")</f>
        <v>5</v>
      </c>
      <c r="K195" s="27" t="n">
        <f aca="false">IF(B195="Wednesday",0,C195)</f>
        <v>80471.3</v>
      </c>
      <c r="L195" s="28" t="n">
        <f aca="false">L194+K195/$T$1*100</f>
        <v>118.659066470588</v>
      </c>
      <c r="M195" s="28" t="n">
        <f aca="false">MAX(0,MAX($L$2:L195))</f>
        <v>118.659066470588</v>
      </c>
      <c r="N195" s="28" t="n">
        <f aca="false">L195-M195</f>
        <v>0</v>
      </c>
      <c r="O195" s="25" t="n">
        <f aca="false">IF(N195&gt;=-0.0000001,A195,O194)</f>
        <v>46090</v>
      </c>
      <c r="P195" s="29" t="n">
        <f aca="false">IF(AND(N195&gt;=-0.0000001,N194&lt;0),1,0)</f>
        <v>1</v>
      </c>
      <c r="Q195" s="30" t="n">
        <f aca="false">IF(P195=1,A195-O194,"")</f>
        <v>5</v>
      </c>
    </row>
    <row r="196" customFormat="false" ht="15" hidden="false" customHeight="false" outlineLevel="0" collapsed="false">
      <c r="A196" s="25" t="n">
        <v>46091</v>
      </c>
      <c r="B196" s="26" t="s">
        <v>80</v>
      </c>
      <c r="C196" s="27" t="n">
        <v>55224.65</v>
      </c>
      <c r="D196" s="28" t="n">
        <f aca="false">C196/$T$1*100</f>
        <v>3.24850882352941</v>
      </c>
      <c r="E196" s="28" t="n">
        <f aca="false">E195+D196</f>
        <v>104.733417058824</v>
      </c>
      <c r="F196" s="28" t="n">
        <f aca="false">MAX(0,MAX($E$2:E196))</f>
        <v>104.733417058824</v>
      </c>
      <c r="G196" s="28" t="n">
        <f aca="false">E196-F196</f>
        <v>0</v>
      </c>
      <c r="H196" s="25" t="n">
        <f aca="false">IF(G196&gt;=-0.0000001,A196,H195)</f>
        <v>46091</v>
      </c>
      <c r="I196" s="29" t="n">
        <f aca="false">IF(AND(G196&gt;=-0.0000001,G195&lt;0),1,0)</f>
        <v>0</v>
      </c>
      <c r="J196" s="30" t="str">
        <f aca="false">IF(I196=1,A196-H195,"")</f>
        <v/>
      </c>
      <c r="K196" s="27" t="n">
        <f aca="false">IF(B196="Wednesday",0,C196)</f>
        <v>55224.65</v>
      </c>
      <c r="L196" s="28" t="n">
        <f aca="false">L195+K196/$T$1*100</f>
        <v>121.907575294118</v>
      </c>
      <c r="M196" s="28" t="n">
        <f aca="false">MAX(0,MAX($L$2:L196))</f>
        <v>121.907575294118</v>
      </c>
      <c r="N196" s="28" t="n">
        <f aca="false">L196-M196</f>
        <v>0</v>
      </c>
      <c r="O196" s="25" t="n">
        <f aca="false">IF(N196&gt;=-0.0000001,A196,O195)</f>
        <v>46091</v>
      </c>
      <c r="P196" s="29" t="n">
        <f aca="false">IF(AND(N196&gt;=-0.0000001,N195&lt;0),1,0)</f>
        <v>0</v>
      </c>
      <c r="Q196" s="30" t="str">
        <f aca="false">IF(P196=1,A196-O195,"")</f>
        <v/>
      </c>
    </row>
    <row r="197" customFormat="false" ht="15" hidden="false" customHeight="false" outlineLevel="0" collapsed="false">
      <c r="A197" s="25" t="n">
        <v>46092</v>
      </c>
      <c r="B197" s="26" t="s">
        <v>81</v>
      </c>
      <c r="C197" s="27" t="n">
        <v>-14897.35</v>
      </c>
      <c r="D197" s="28" t="n">
        <f aca="false">C197/$T$1*100</f>
        <v>-0.876314705882353</v>
      </c>
      <c r="E197" s="28" t="n">
        <f aca="false">E196+D197</f>
        <v>103.857102352941</v>
      </c>
      <c r="F197" s="28" t="n">
        <f aca="false">MAX(0,MAX($E$2:E197))</f>
        <v>104.733417058824</v>
      </c>
      <c r="G197" s="28" t="n">
        <f aca="false">E197-F197</f>
        <v>-0.876314705882351</v>
      </c>
      <c r="H197" s="25" t="n">
        <f aca="false">IF(G197&gt;=-0.0000001,A197,H196)</f>
        <v>46091</v>
      </c>
      <c r="I197" s="29" t="n">
        <f aca="false">IF(AND(G197&gt;=-0.0000001,G196&lt;0),1,0)</f>
        <v>0</v>
      </c>
      <c r="J197" s="30" t="str">
        <f aca="false">IF(I197=1,A197-H196,"")</f>
        <v/>
      </c>
      <c r="K197" s="27" t="n">
        <f aca="false">IF(B197="Wednesday",0,C197)</f>
        <v>0</v>
      </c>
      <c r="L197" s="28" t="n">
        <f aca="false">L196+K197/$T$1*100</f>
        <v>121.907575294118</v>
      </c>
      <c r="M197" s="28" t="n">
        <f aca="false">MAX(0,MAX($L$2:L197))</f>
        <v>121.907575294118</v>
      </c>
      <c r="N197" s="28" t="n">
        <f aca="false">L197-M197</f>
        <v>0</v>
      </c>
      <c r="O197" s="25" t="n">
        <f aca="false">IF(N197&gt;=-0.0000001,A197,O196)</f>
        <v>46092</v>
      </c>
      <c r="P197" s="29" t="n">
        <f aca="false">IF(AND(N197&gt;=-0.0000001,N196&lt;0),1,0)</f>
        <v>0</v>
      </c>
      <c r="Q197" s="30" t="str">
        <f aca="false">IF(P197=1,A197-O196,"")</f>
        <v/>
      </c>
    </row>
    <row r="198" customFormat="false" ht="15" hidden="false" customHeight="false" outlineLevel="0" collapsed="false">
      <c r="A198" s="25" t="n">
        <v>46093</v>
      </c>
      <c r="B198" s="26" t="s">
        <v>82</v>
      </c>
      <c r="C198" s="27" t="n">
        <v>15198.3</v>
      </c>
      <c r="D198" s="28" t="n">
        <f aca="false">C198/$T$1*100</f>
        <v>0.894017647058824</v>
      </c>
      <c r="E198" s="28" t="n">
        <f aca="false">E197+D198</f>
        <v>104.75112</v>
      </c>
      <c r="F198" s="28" t="n">
        <f aca="false">MAX(0,MAX($E$2:E198))</f>
        <v>104.75112</v>
      </c>
      <c r="G198" s="28" t="n">
        <f aca="false">E198-F198</f>
        <v>0</v>
      </c>
      <c r="H198" s="25" t="n">
        <f aca="false">IF(G198&gt;=-0.0000001,A198,H197)</f>
        <v>46093</v>
      </c>
      <c r="I198" s="29" t="n">
        <f aca="false">IF(AND(G198&gt;=-0.0000001,G197&lt;0),1,0)</f>
        <v>1</v>
      </c>
      <c r="J198" s="30" t="n">
        <f aca="false">IF(I198=1,A198-H197,"")</f>
        <v>2</v>
      </c>
      <c r="K198" s="27" t="n">
        <f aca="false">IF(B198="Wednesday",0,C198)</f>
        <v>15198.3</v>
      </c>
      <c r="L198" s="28" t="n">
        <f aca="false">L197+K198/$T$1*100</f>
        <v>122.801592941176</v>
      </c>
      <c r="M198" s="28" t="n">
        <f aca="false">MAX(0,MAX($L$2:L198))</f>
        <v>122.801592941176</v>
      </c>
      <c r="N198" s="28" t="n">
        <f aca="false">L198-M198</f>
        <v>0</v>
      </c>
      <c r="O198" s="25" t="n">
        <f aca="false">IF(N198&gt;=-0.0000001,A198,O197)</f>
        <v>46093</v>
      </c>
      <c r="P198" s="29" t="n">
        <f aca="false">IF(AND(N198&gt;=-0.0000001,N197&lt;0),1,0)</f>
        <v>0</v>
      </c>
      <c r="Q198" s="30" t="str">
        <f aca="false">IF(P198=1,A198-O197,"")</f>
        <v/>
      </c>
    </row>
    <row r="199" customFormat="false" ht="15" hidden="false" customHeight="false" outlineLevel="0" collapsed="false">
      <c r="A199" s="25" t="n">
        <v>46094</v>
      </c>
      <c r="B199" s="26" t="s">
        <v>83</v>
      </c>
      <c r="C199" s="27" t="n">
        <v>-6718.4</v>
      </c>
      <c r="D199" s="28" t="n">
        <f aca="false">C199/$T$1*100</f>
        <v>-0.3952</v>
      </c>
      <c r="E199" s="28" t="n">
        <f aca="false">E198+D199</f>
        <v>104.35592</v>
      </c>
      <c r="F199" s="28" t="n">
        <f aca="false">MAX(0,MAX($E$2:E199))</f>
        <v>104.75112</v>
      </c>
      <c r="G199" s="28" t="n">
        <f aca="false">E199-F199</f>
        <v>-0.395200000000003</v>
      </c>
      <c r="H199" s="25" t="n">
        <f aca="false">IF(G199&gt;=-0.0000001,A199,H198)</f>
        <v>46093</v>
      </c>
      <c r="I199" s="29" t="n">
        <f aca="false">IF(AND(G199&gt;=-0.0000001,G198&lt;0),1,0)</f>
        <v>0</v>
      </c>
      <c r="J199" s="30" t="str">
        <f aca="false">IF(I199=1,A199-H198,"")</f>
        <v/>
      </c>
      <c r="K199" s="27" t="n">
        <f aca="false">IF(B199="Wednesday",0,C199)</f>
        <v>-6718.4</v>
      </c>
      <c r="L199" s="28" t="n">
        <f aca="false">L198+K199/$T$1*100</f>
        <v>122.406392941176</v>
      </c>
      <c r="M199" s="28" t="n">
        <f aca="false">MAX(0,MAX($L$2:L199))</f>
        <v>122.801592941176</v>
      </c>
      <c r="N199" s="28" t="n">
        <f aca="false">L199-M199</f>
        <v>-0.395200000000003</v>
      </c>
      <c r="O199" s="25" t="n">
        <f aca="false">IF(N199&gt;=-0.0000001,A199,O198)</f>
        <v>46093</v>
      </c>
      <c r="P199" s="29" t="n">
        <f aca="false">IF(AND(N199&gt;=-0.0000001,N198&lt;0),1,0)</f>
        <v>0</v>
      </c>
      <c r="Q199" s="30" t="str">
        <f aca="false">IF(P199=1,A199-O198,"")</f>
        <v/>
      </c>
    </row>
    <row r="200" customFormat="false" ht="15" hidden="false" customHeight="false" outlineLevel="0" collapsed="false">
      <c r="A200" s="25" t="n">
        <v>46097</v>
      </c>
      <c r="B200" s="26" t="s">
        <v>79</v>
      </c>
      <c r="C200" s="27" t="n">
        <v>-19531.85</v>
      </c>
      <c r="D200" s="28" t="n">
        <f aca="false">C200/$T$1*100</f>
        <v>-1.14893235294118</v>
      </c>
      <c r="E200" s="28" t="n">
        <f aca="false">E199+D200</f>
        <v>103.206987647059</v>
      </c>
      <c r="F200" s="28" t="n">
        <f aca="false">MAX(0,MAX($E$2:E200))</f>
        <v>104.75112</v>
      </c>
      <c r="G200" s="28" t="n">
        <f aca="false">E200-F200</f>
        <v>-1.54413235294118</v>
      </c>
      <c r="H200" s="25" t="n">
        <f aca="false">IF(G200&gt;=-0.0000001,A200,H199)</f>
        <v>46093</v>
      </c>
      <c r="I200" s="29" t="n">
        <f aca="false">IF(AND(G200&gt;=-0.0000001,G199&lt;0),1,0)</f>
        <v>0</v>
      </c>
      <c r="J200" s="30" t="str">
        <f aca="false">IF(I200=1,A200-H199,"")</f>
        <v/>
      </c>
      <c r="K200" s="27" t="n">
        <f aca="false">IF(B200="Wednesday",0,C200)</f>
        <v>-19531.85</v>
      </c>
      <c r="L200" s="28" t="n">
        <f aca="false">L199+K200/$T$1*100</f>
        <v>121.257460588235</v>
      </c>
      <c r="M200" s="28" t="n">
        <f aca="false">MAX(0,MAX($L$2:L200))</f>
        <v>122.801592941176</v>
      </c>
      <c r="N200" s="28" t="n">
        <f aca="false">L200-M200</f>
        <v>-1.54413235294118</v>
      </c>
      <c r="O200" s="25" t="n">
        <f aca="false">IF(N200&gt;=-0.0000001,A200,O199)</f>
        <v>46093</v>
      </c>
      <c r="P200" s="29" t="n">
        <f aca="false">IF(AND(N200&gt;=-0.0000001,N199&lt;0),1,0)</f>
        <v>0</v>
      </c>
      <c r="Q200" s="30" t="str">
        <f aca="false">IF(P200=1,A200-O199,"")</f>
        <v/>
      </c>
    </row>
    <row r="201" customFormat="false" ht="15" hidden="false" customHeight="false" outlineLevel="0" collapsed="false">
      <c r="A201" s="25" t="n">
        <v>46098</v>
      </c>
      <c r="B201" s="26" t="s">
        <v>80</v>
      </c>
      <c r="C201" s="27" t="n">
        <v>5008.25</v>
      </c>
      <c r="D201" s="28" t="n">
        <f aca="false">C201/$T$1*100</f>
        <v>0.294602941176471</v>
      </c>
      <c r="E201" s="28" t="n">
        <f aca="false">E200+D201</f>
        <v>103.501590588235</v>
      </c>
      <c r="F201" s="28" t="n">
        <f aca="false">MAX(0,MAX($E$2:E201))</f>
        <v>104.75112</v>
      </c>
      <c r="G201" s="28" t="n">
        <f aca="false">E201-F201</f>
        <v>-1.24952941176471</v>
      </c>
      <c r="H201" s="25" t="n">
        <f aca="false">IF(G201&gt;=-0.0000001,A201,H200)</f>
        <v>46093</v>
      </c>
      <c r="I201" s="29" t="n">
        <f aca="false">IF(AND(G201&gt;=-0.0000001,G200&lt;0),1,0)</f>
        <v>0</v>
      </c>
      <c r="J201" s="30" t="str">
        <f aca="false">IF(I201=1,A201-H200,"")</f>
        <v/>
      </c>
      <c r="K201" s="27" t="n">
        <f aca="false">IF(B201="Wednesday",0,C201)</f>
        <v>5008.25</v>
      </c>
      <c r="L201" s="28" t="n">
        <f aca="false">L200+K201/$T$1*100</f>
        <v>121.552063529412</v>
      </c>
      <c r="M201" s="28" t="n">
        <f aca="false">MAX(0,MAX($L$2:L201))</f>
        <v>122.801592941176</v>
      </c>
      <c r="N201" s="28" t="n">
        <f aca="false">L201-M201</f>
        <v>-1.24952941176471</v>
      </c>
      <c r="O201" s="25" t="n">
        <f aca="false">IF(N201&gt;=-0.0000001,A201,O200)</f>
        <v>46093</v>
      </c>
      <c r="P201" s="29" t="n">
        <f aca="false">IF(AND(N201&gt;=-0.0000001,N200&lt;0),1,0)</f>
        <v>0</v>
      </c>
      <c r="Q201" s="30" t="str">
        <f aca="false">IF(P201=1,A201-O200,"")</f>
        <v/>
      </c>
    </row>
    <row r="202" customFormat="false" ht="15" hidden="false" customHeight="false" outlineLevel="0" collapsed="false">
      <c r="A202" s="25" t="n">
        <v>46099</v>
      </c>
      <c r="B202" s="26" t="s">
        <v>81</v>
      </c>
      <c r="C202" s="27" t="n">
        <v>5894.2</v>
      </c>
      <c r="D202" s="28" t="n">
        <f aca="false">C202/$T$1*100</f>
        <v>0.346717647058824</v>
      </c>
      <c r="E202" s="28" t="n">
        <f aca="false">E201+D202</f>
        <v>103.848308235294</v>
      </c>
      <c r="F202" s="28" t="n">
        <f aca="false">MAX(0,MAX($E$2:E202))</f>
        <v>104.75112</v>
      </c>
      <c r="G202" s="28" t="n">
        <f aca="false">E202-F202</f>
        <v>-0.902811764705888</v>
      </c>
      <c r="H202" s="25" t="n">
        <f aca="false">IF(G202&gt;=-0.0000001,A202,H201)</f>
        <v>46093</v>
      </c>
      <c r="I202" s="29" t="n">
        <f aca="false">IF(AND(G202&gt;=-0.0000001,G201&lt;0),1,0)</f>
        <v>0</v>
      </c>
      <c r="J202" s="30" t="str">
        <f aca="false">IF(I202=1,A202-H201,"")</f>
        <v/>
      </c>
      <c r="K202" s="27" t="n">
        <f aca="false">IF(B202="Wednesday",0,C202)</f>
        <v>0</v>
      </c>
      <c r="L202" s="28" t="n">
        <f aca="false">L201+K202/$T$1*100</f>
        <v>121.552063529412</v>
      </c>
      <c r="M202" s="28" t="n">
        <f aca="false">MAX(0,MAX($L$2:L202))</f>
        <v>122.801592941176</v>
      </c>
      <c r="N202" s="28" t="n">
        <f aca="false">L202-M202</f>
        <v>-1.24952941176471</v>
      </c>
      <c r="O202" s="25" t="n">
        <f aca="false">IF(N202&gt;=-0.0000001,A202,O201)</f>
        <v>46093</v>
      </c>
      <c r="P202" s="29" t="n">
        <f aca="false">IF(AND(N202&gt;=-0.0000001,N201&lt;0),1,0)</f>
        <v>0</v>
      </c>
      <c r="Q202" s="30" t="str">
        <f aca="false">IF(P202=1,A202-O201,"")</f>
        <v/>
      </c>
    </row>
    <row r="203" customFormat="false" ht="15" hidden="false" customHeight="false" outlineLevel="0" collapsed="false">
      <c r="A203" s="25" t="n">
        <v>46100</v>
      </c>
      <c r="B203" s="26" t="s">
        <v>82</v>
      </c>
      <c r="C203" s="27" t="n">
        <v>68823.3</v>
      </c>
      <c r="D203" s="28" t="n">
        <f aca="false">C203/$T$1*100</f>
        <v>4.04842941176471</v>
      </c>
      <c r="E203" s="28" t="n">
        <f aca="false">E202+D203</f>
        <v>107.896737647059</v>
      </c>
      <c r="F203" s="28" t="n">
        <f aca="false">MAX(0,MAX($E$2:E203))</f>
        <v>107.896737647059</v>
      </c>
      <c r="G203" s="28" t="n">
        <f aca="false">E203-F203</f>
        <v>0</v>
      </c>
      <c r="H203" s="25" t="n">
        <f aca="false">IF(G203&gt;=-0.0000001,A203,H202)</f>
        <v>46100</v>
      </c>
      <c r="I203" s="29" t="n">
        <f aca="false">IF(AND(G203&gt;=-0.0000001,G202&lt;0),1,0)</f>
        <v>1</v>
      </c>
      <c r="J203" s="30" t="n">
        <f aca="false">IF(I203=1,A203-H202,"")</f>
        <v>7</v>
      </c>
      <c r="K203" s="27" t="n">
        <f aca="false">IF(B203="Wednesday",0,C203)</f>
        <v>68823.3</v>
      </c>
      <c r="L203" s="28" t="n">
        <f aca="false">L202+K203/$T$1*100</f>
        <v>125.600492941176</v>
      </c>
      <c r="M203" s="28" t="n">
        <f aca="false">MAX(0,MAX($L$2:L203))</f>
        <v>125.600492941176</v>
      </c>
      <c r="N203" s="28" t="n">
        <f aca="false">L203-M203</f>
        <v>0</v>
      </c>
      <c r="O203" s="25" t="n">
        <f aca="false">IF(N203&gt;=-0.0000001,A203,O202)</f>
        <v>46100</v>
      </c>
      <c r="P203" s="29" t="n">
        <f aca="false">IF(AND(N203&gt;=-0.0000001,N202&lt;0),1,0)</f>
        <v>1</v>
      </c>
      <c r="Q203" s="30" t="n">
        <f aca="false">IF(P203=1,A203-O202,"")</f>
        <v>7</v>
      </c>
    </row>
    <row r="204" customFormat="false" ht="15" hidden="false" customHeight="false" outlineLevel="0" collapsed="false">
      <c r="A204" s="25" t="n">
        <v>46101</v>
      </c>
      <c r="B204" s="26" t="s">
        <v>83</v>
      </c>
      <c r="C204" s="27" t="n">
        <v>-18565.95</v>
      </c>
      <c r="D204" s="28" t="n">
        <f aca="false">C204/$T$1*100</f>
        <v>-1.09211470588235</v>
      </c>
      <c r="E204" s="28" t="n">
        <f aca="false">E203+D204</f>
        <v>106.804622941176</v>
      </c>
      <c r="F204" s="28" t="n">
        <f aca="false">MAX(0,MAX($E$2:E204))</f>
        <v>107.896737647059</v>
      </c>
      <c r="G204" s="28" t="n">
        <f aca="false">E204-F204</f>
        <v>-1.09211470588235</v>
      </c>
      <c r="H204" s="25" t="n">
        <f aca="false">IF(G204&gt;=-0.0000001,A204,H203)</f>
        <v>46100</v>
      </c>
      <c r="I204" s="29" t="n">
        <f aca="false">IF(AND(G204&gt;=-0.0000001,G203&lt;0),1,0)</f>
        <v>0</v>
      </c>
      <c r="J204" s="30" t="str">
        <f aca="false">IF(I204=1,A204-H203,"")</f>
        <v/>
      </c>
      <c r="K204" s="27" t="n">
        <f aca="false">IF(B204="Wednesday",0,C204)</f>
        <v>-18565.95</v>
      </c>
      <c r="L204" s="28" t="n">
        <f aca="false">L203+K204/$T$1*100</f>
        <v>124.508378235294</v>
      </c>
      <c r="M204" s="28" t="n">
        <f aca="false">MAX(0,MAX($L$2:L204))</f>
        <v>125.600492941176</v>
      </c>
      <c r="N204" s="28" t="n">
        <f aca="false">L204-M204</f>
        <v>-1.09211470588235</v>
      </c>
      <c r="O204" s="25" t="n">
        <f aca="false">IF(N204&gt;=-0.0000001,A204,O203)</f>
        <v>46100</v>
      </c>
      <c r="P204" s="29" t="n">
        <f aca="false">IF(AND(N204&gt;=-0.0000001,N203&lt;0),1,0)</f>
        <v>0</v>
      </c>
      <c r="Q204" s="30" t="str">
        <f aca="false">IF(P204=1,A204-O203,"")</f>
        <v/>
      </c>
    </row>
    <row r="205" customFormat="false" ht="15" hidden="false" customHeight="false" outlineLevel="0" collapsed="false">
      <c r="A205" s="25" t="n">
        <v>46104</v>
      </c>
      <c r="B205" s="26" t="s">
        <v>79</v>
      </c>
      <c r="C205" s="27" t="n">
        <v>79331.85</v>
      </c>
      <c r="D205" s="28" t="n">
        <f aca="false">C205/$T$1*100</f>
        <v>4.66657941176471</v>
      </c>
      <c r="E205" s="28" t="n">
        <f aca="false">E204+D205</f>
        <v>111.471202352941</v>
      </c>
      <c r="F205" s="28" t="n">
        <f aca="false">MAX(0,MAX($E$2:E205))</f>
        <v>111.471202352941</v>
      </c>
      <c r="G205" s="28" t="n">
        <f aca="false">E205-F205</f>
        <v>0</v>
      </c>
      <c r="H205" s="25" t="n">
        <f aca="false">IF(G205&gt;=-0.0000001,A205,H204)</f>
        <v>46104</v>
      </c>
      <c r="I205" s="29" t="n">
        <f aca="false">IF(AND(G205&gt;=-0.0000001,G204&lt;0),1,0)</f>
        <v>1</v>
      </c>
      <c r="J205" s="30" t="n">
        <f aca="false">IF(I205=1,A205-H204,"")</f>
        <v>4</v>
      </c>
      <c r="K205" s="27" t="n">
        <f aca="false">IF(B205="Wednesday",0,C205)</f>
        <v>79331.85</v>
      </c>
      <c r="L205" s="28" t="n">
        <f aca="false">L204+K205/$T$1*100</f>
        <v>129.174957647059</v>
      </c>
      <c r="M205" s="28" t="n">
        <f aca="false">MAX(0,MAX($L$2:L205))</f>
        <v>129.174957647059</v>
      </c>
      <c r="N205" s="28" t="n">
        <f aca="false">L205-M205</f>
        <v>0</v>
      </c>
      <c r="O205" s="25" t="n">
        <f aca="false">IF(N205&gt;=-0.0000001,A205,O204)</f>
        <v>46104</v>
      </c>
      <c r="P205" s="29" t="n">
        <f aca="false">IF(AND(N205&gt;=-0.0000001,N204&lt;0),1,0)</f>
        <v>1</v>
      </c>
      <c r="Q205" s="30" t="n">
        <f aca="false">IF(P205=1,A205-O204,"")</f>
        <v>4</v>
      </c>
    </row>
    <row r="206" customFormat="false" ht="15" hidden="false" customHeight="false" outlineLevel="0" collapsed="false">
      <c r="A206" s="25" t="n">
        <v>46105</v>
      </c>
      <c r="B206" s="26" t="s">
        <v>80</v>
      </c>
      <c r="C206" s="27" t="n">
        <v>-25292.15</v>
      </c>
      <c r="D206" s="28" t="n">
        <f aca="false">C206/$T$1*100</f>
        <v>-1.48777352941176</v>
      </c>
      <c r="E206" s="28" t="n">
        <f aca="false">E205+D206</f>
        <v>109.983428823529</v>
      </c>
      <c r="F206" s="28" t="n">
        <f aca="false">MAX(0,MAX($E$2:E206))</f>
        <v>111.471202352941</v>
      </c>
      <c r="G206" s="28" t="n">
        <f aca="false">E206-F206</f>
        <v>-1.48777352941177</v>
      </c>
      <c r="H206" s="25" t="n">
        <f aca="false">IF(G206&gt;=-0.0000001,A206,H205)</f>
        <v>46104</v>
      </c>
      <c r="I206" s="29" t="n">
        <f aca="false">IF(AND(G206&gt;=-0.0000001,G205&lt;0),1,0)</f>
        <v>0</v>
      </c>
      <c r="J206" s="30" t="str">
        <f aca="false">IF(I206=1,A206-H205,"")</f>
        <v/>
      </c>
      <c r="K206" s="27" t="n">
        <f aca="false">IF(B206="Wednesday",0,C206)</f>
        <v>-25292.15</v>
      </c>
      <c r="L206" s="28" t="n">
        <f aca="false">L205+K206/$T$1*100</f>
        <v>127.687184117647</v>
      </c>
      <c r="M206" s="28" t="n">
        <f aca="false">MAX(0,MAX($L$2:L206))</f>
        <v>129.174957647059</v>
      </c>
      <c r="N206" s="28" t="n">
        <f aca="false">L206-M206</f>
        <v>-1.48777352941177</v>
      </c>
      <c r="O206" s="25" t="n">
        <f aca="false">IF(N206&gt;=-0.0000001,A206,O205)</f>
        <v>46104</v>
      </c>
      <c r="P206" s="29" t="n">
        <f aca="false">IF(AND(N206&gt;=-0.0000001,N205&lt;0),1,0)</f>
        <v>0</v>
      </c>
      <c r="Q206" s="30" t="str">
        <f aca="false">IF(P206=1,A206-O205,"")</f>
        <v/>
      </c>
    </row>
    <row r="207" customFormat="false" ht="15" hidden="false" customHeight="false" outlineLevel="0" collapsed="false">
      <c r="A207" s="25" t="n">
        <v>46106</v>
      </c>
      <c r="B207" s="26" t="s">
        <v>81</v>
      </c>
      <c r="C207" s="27" t="n">
        <v>-17638.4</v>
      </c>
      <c r="D207" s="28" t="n">
        <f aca="false">C207/$T$1*100</f>
        <v>-1.03755294117647</v>
      </c>
      <c r="E207" s="28" t="n">
        <f aca="false">E206+D207</f>
        <v>108.945875882353</v>
      </c>
      <c r="F207" s="28" t="n">
        <f aca="false">MAX(0,MAX($E$2:E207))</f>
        <v>111.471202352941</v>
      </c>
      <c r="G207" s="28" t="n">
        <f aca="false">E207-F207</f>
        <v>-2.52532647058824</v>
      </c>
      <c r="H207" s="25" t="n">
        <f aca="false">IF(G207&gt;=-0.0000001,A207,H206)</f>
        <v>46104</v>
      </c>
      <c r="I207" s="29" t="n">
        <f aca="false">IF(AND(G207&gt;=-0.0000001,G206&lt;0),1,0)</f>
        <v>0</v>
      </c>
      <c r="J207" s="30" t="str">
        <f aca="false">IF(I207=1,A207-H206,"")</f>
        <v/>
      </c>
      <c r="K207" s="27" t="n">
        <f aca="false">IF(B207="Wednesday",0,C207)</f>
        <v>0</v>
      </c>
      <c r="L207" s="28" t="n">
        <f aca="false">L206+K207/$T$1*100</f>
        <v>127.687184117647</v>
      </c>
      <c r="M207" s="28" t="n">
        <f aca="false">MAX(0,MAX($L$2:L207))</f>
        <v>129.174957647059</v>
      </c>
      <c r="N207" s="28" t="n">
        <f aca="false">L207-M207</f>
        <v>-1.48777352941177</v>
      </c>
      <c r="O207" s="25" t="n">
        <f aca="false">IF(N207&gt;=-0.0000001,A207,O206)</f>
        <v>46104</v>
      </c>
      <c r="P207" s="29" t="n">
        <f aca="false">IF(AND(N207&gt;=-0.0000001,N206&lt;0),1,0)</f>
        <v>0</v>
      </c>
      <c r="Q207" s="30" t="str">
        <f aca="false">IF(P207=1,A207-O206,"")</f>
        <v/>
      </c>
    </row>
    <row r="208" customFormat="false" ht="15" hidden="false" customHeight="false" outlineLevel="0" collapsed="false">
      <c r="A208" s="25" t="n">
        <v>46108</v>
      </c>
      <c r="B208" s="26" t="s">
        <v>83</v>
      </c>
      <c r="C208" s="27" t="n">
        <v>-6019</v>
      </c>
      <c r="D208" s="28" t="n">
        <f aca="false">C208/$T$1*100</f>
        <v>-0.354058823529412</v>
      </c>
      <c r="E208" s="28" t="n">
        <f aca="false">E207+D208</f>
        <v>108.591817058824</v>
      </c>
      <c r="F208" s="28" t="n">
        <f aca="false">MAX(0,MAX($E$2:E208))</f>
        <v>111.471202352941</v>
      </c>
      <c r="G208" s="28" t="n">
        <f aca="false">E208-F208</f>
        <v>-2.87938529411765</v>
      </c>
      <c r="H208" s="25" t="n">
        <f aca="false">IF(G208&gt;=-0.0000001,A208,H207)</f>
        <v>46104</v>
      </c>
      <c r="I208" s="29" t="n">
        <f aca="false">IF(AND(G208&gt;=-0.0000001,G207&lt;0),1,0)</f>
        <v>0</v>
      </c>
      <c r="J208" s="30" t="str">
        <f aca="false">IF(I208=1,A208-H207,"")</f>
        <v/>
      </c>
      <c r="K208" s="27" t="n">
        <f aca="false">IF(B208="Wednesday",0,C208)</f>
        <v>-6019</v>
      </c>
      <c r="L208" s="28" t="n">
        <f aca="false">L207+K208/$T$1*100</f>
        <v>127.333125294118</v>
      </c>
      <c r="M208" s="28" t="n">
        <f aca="false">MAX(0,MAX($L$2:L208))</f>
        <v>129.174957647059</v>
      </c>
      <c r="N208" s="28" t="n">
        <f aca="false">L208-M208</f>
        <v>-1.84183235294118</v>
      </c>
      <c r="O208" s="25" t="n">
        <f aca="false">IF(N208&gt;=-0.0000001,A208,O207)</f>
        <v>46104</v>
      </c>
      <c r="P208" s="29" t="n">
        <f aca="false">IF(AND(N208&gt;=-0.0000001,N207&lt;0),1,0)</f>
        <v>0</v>
      </c>
      <c r="Q208" s="30" t="str">
        <f aca="false">IF(P208=1,A208-O207,"")</f>
        <v/>
      </c>
    </row>
    <row r="209" customFormat="false" ht="15" hidden="false" customHeight="false" outlineLevel="0" collapsed="false">
      <c r="A209" s="25" t="n">
        <v>46111</v>
      </c>
      <c r="B209" s="26" t="s">
        <v>79</v>
      </c>
      <c r="C209" s="27" t="n">
        <v>3032.25</v>
      </c>
      <c r="D209" s="28" t="n">
        <f aca="false">C209/$T$1*100</f>
        <v>0.178367647058824</v>
      </c>
      <c r="E209" s="28" t="n">
        <f aca="false">E208+D209</f>
        <v>108.770184705882</v>
      </c>
      <c r="F209" s="28" t="n">
        <f aca="false">MAX(0,MAX($E$2:E209))</f>
        <v>111.471202352941</v>
      </c>
      <c r="G209" s="28" t="n">
        <f aca="false">E209-F209</f>
        <v>-2.70101764705883</v>
      </c>
      <c r="H209" s="25" t="n">
        <f aca="false">IF(G209&gt;=-0.0000001,A209,H208)</f>
        <v>46104</v>
      </c>
      <c r="I209" s="29" t="n">
        <f aca="false">IF(AND(G209&gt;=-0.0000001,G208&lt;0),1,0)</f>
        <v>0</v>
      </c>
      <c r="J209" s="30" t="str">
        <f aca="false">IF(I209=1,A209-H208,"")</f>
        <v/>
      </c>
      <c r="K209" s="27" t="n">
        <f aca="false">IF(B209="Wednesday",0,C209)</f>
        <v>3032.25</v>
      </c>
      <c r="L209" s="28" t="n">
        <f aca="false">L208+K209/$T$1*100</f>
        <v>127.511492941176</v>
      </c>
      <c r="M209" s="28" t="n">
        <f aca="false">MAX(0,MAX($L$2:L209))</f>
        <v>129.174957647059</v>
      </c>
      <c r="N209" s="28" t="n">
        <f aca="false">L209-M209</f>
        <v>-1.66346470588236</v>
      </c>
      <c r="O209" s="25" t="n">
        <f aca="false">IF(N209&gt;=-0.0000001,A209,O208)</f>
        <v>46104</v>
      </c>
      <c r="P209" s="29" t="n">
        <f aca="false">IF(AND(N209&gt;=-0.0000001,N208&lt;0),1,0)</f>
        <v>0</v>
      </c>
      <c r="Q209" s="30" t="str">
        <f aca="false">IF(P209=1,A209-O208,"")</f>
        <v/>
      </c>
    </row>
    <row r="210" customFormat="false" ht="15" hidden="false" customHeight="false" outlineLevel="0" collapsed="false">
      <c r="A210" s="25" t="n">
        <v>46113</v>
      </c>
      <c r="B210" s="26" t="s">
        <v>81</v>
      </c>
      <c r="C210" s="27" t="n">
        <v>846.3</v>
      </c>
      <c r="D210" s="28" t="n">
        <f aca="false">C210/$T$1*100</f>
        <v>0.0497823529411765</v>
      </c>
      <c r="E210" s="28" t="n">
        <f aca="false">E209+D210</f>
        <v>108.819967058824</v>
      </c>
      <c r="F210" s="28" t="n">
        <f aca="false">MAX(0,MAX($E$2:E210))</f>
        <v>111.471202352941</v>
      </c>
      <c r="G210" s="28" t="n">
        <f aca="false">E210-F210</f>
        <v>-2.65123529411765</v>
      </c>
      <c r="H210" s="25" t="n">
        <f aca="false">IF(G210&gt;=-0.0000001,A210,H209)</f>
        <v>46104</v>
      </c>
      <c r="I210" s="29" t="n">
        <f aca="false">IF(AND(G210&gt;=-0.0000001,G209&lt;0),1,0)</f>
        <v>0</v>
      </c>
      <c r="J210" s="30" t="str">
        <f aca="false">IF(I210=1,A210-H209,"")</f>
        <v/>
      </c>
      <c r="K210" s="27" t="n">
        <f aca="false">IF(B210="Wednesday",0,C210)</f>
        <v>0</v>
      </c>
      <c r="L210" s="28" t="n">
        <f aca="false">L209+K210/$T$1*100</f>
        <v>127.511492941176</v>
      </c>
      <c r="M210" s="28" t="n">
        <f aca="false">MAX(0,MAX($L$2:L210))</f>
        <v>129.174957647059</v>
      </c>
      <c r="N210" s="28" t="n">
        <f aca="false">L210-M210</f>
        <v>-1.66346470588236</v>
      </c>
      <c r="O210" s="25" t="n">
        <f aca="false">IF(N210&gt;=-0.0000001,A210,O209)</f>
        <v>46104</v>
      </c>
      <c r="P210" s="29" t="n">
        <f aca="false">IF(AND(N210&gt;=-0.0000001,N209&lt;0),1,0)</f>
        <v>0</v>
      </c>
      <c r="Q210" s="30" t="str">
        <f aca="false">IF(P210=1,A210-O209,"")</f>
        <v/>
      </c>
    </row>
    <row r="211" customFormat="false" ht="15" hidden="false" customHeight="false" outlineLevel="0" collapsed="false">
      <c r="A211" s="25" t="n">
        <v>46114</v>
      </c>
      <c r="B211" s="26" t="s">
        <v>82</v>
      </c>
      <c r="C211" s="27" t="n">
        <v>72801.95</v>
      </c>
      <c r="D211" s="28" t="n">
        <f aca="false">C211/$T$1*100</f>
        <v>4.28246764705882</v>
      </c>
      <c r="E211" s="28" t="n">
        <f aca="false">E210+D211</f>
        <v>113.102434705882</v>
      </c>
      <c r="F211" s="28" t="n">
        <f aca="false">MAX(0,MAX($E$2:E211))</f>
        <v>113.102434705882</v>
      </c>
      <c r="G211" s="28" t="n">
        <f aca="false">E211-F211</f>
        <v>0</v>
      </c>
      <c r="H211" s="25" t="n">
        <f aca="false">IF(G211&gt;=-0.0000001,A211,H210)</f>
        <v>46114</v>
      </c>
      <c r="I211" s="29" t="n">
        <f aca="false">IF(AND(G211&gt;=-0.0000001,G210&lt;0),1,0)</f>
        <v>1</v>
      </c>
      <c r="J211" s="30" t="n">
        <f aca="false">IF(I211=1,A211-H210,"")</f>
        <v>10</v>
      </c>
      <c r="K211" s="27" t="n">
        <f aca="false">IF(B211="Wednesday",0,C211)</f>
        <v>72801.95</v>
      </c>
      <c r="L211" s="28" t="n">
        <f aca="false">L210+K211/$T$1*100</f>
        <v>131.793960588235</v>
      </c>
      <c r="M211" s="28" t="n">
        <f aca="false">MAX(0,MAX($L$2:L211))</f>
        <v>131.793960588235</v>
      </c>
      <c r="N211" s="28" t="n">
        <f aca="false">L211-M211</f>
        <v>0</v>
      </c>
      <c r="O211" s="25" t="n">
        <f aca="false">IF(N211&gt;=-0.0000001,A211,O210)</f>
        <v>46114</v>
      </c>
      <c r="P211" s="29" t="n">
        <f aca="false">IF(AND(N211&gt;=-0.0000001,N210&lt;0),1,0)</f>
        <v>1</v>
      </c>
      <c r="Q211" s="30" t="n">
        <f aca="false">IF(P211=1,A211-O210,"")</f>
        <v>10</v>
      </c>
    </row>
    <row r="212" customFormat="false" ht="15" hidden="false" customHeight="false" outlineLevel="0" collapsed="false">
      <c r="A212" s="25" t="n">
        <v>46118</v>
      </c>
      <c r="B212" s="26" t="s">
        <v>79</v>
      </c>
      <c r="C212" s="27" t="n">
        <v>-40355.25</v>
      </c>
      <c r="D212" s="28" t="n">
        <f aca="false">C212/$T$1*100</f>
        <v>-2.37383823529412</v>
      </c>
      <c r="E212" s="28" t="n">
        <f aca="false">E211+D212</f>
        <v>110.728596470588</v>
      </c>
      <c r="F212" s="28" t="n">
        <f aca="false">MAX(0,MAX($E$2:E212))</f>
        <v>113.102434705882</v>
      </c>
      <c r="G212" s="28" t="n">
        <f aca="false">E212-F212</f>
        <v>-2.37383823529412</v>
      </c>
      <c r="H212" s="25" t="n">
        <f aca="false">IF(G212&gt;=-0.0000001,A212,H211)</f>
        <v>46114</v>
      </c>
      <c r="I212" s="29" t="n">
        <f aca="false">IF(AND(G212&gt;=-0.0000001,G211&lt;0),1,0)</f>
        <v>0</v>
      </c>
      <c r="J212" s="30" t="str">
        <f aca="false">IF(I212=1,A212-H211,"")</f>
        <v/>
      </c>
      <c r="K212" s="27" t="n">
        <f aca="false">IF(B212="Wednesday",0,C212)</f>
        <v>-40355.25</v>
      </c>
      <c r="L212" s="28" t="n">
        <f aca="false">L211+K212/$T$1*100</f>
        <v>129.420122352941</v>
      </c>
      <c r="M212" s="28" t="n">
        <f aca="false">MAX(0,MAX($L$2:L212))</f>
        <v>131.793960588235</v>
      </c>
      <c r="N212" s="28" t="n">
        <f aca="false">L212-M212</f>
        <v>-2.37383823529413</v>
      </c>
      <c r="O212" s="25" t="n">
        <f aca="false">IF(N212&gt;=-0.0000001,A212,O211)</f>
        <v>46114</v>
      </c>
      <c r="P212" s="29" t="n">
        <f aca="false">IF(AND(N212&gt;=-0.0000001,N211&lt;0),1,0)</f>
        <v>0</v>
      </c>
      <c r="Q212" s="30" t="str">
        <f aca="false">IF(P212=1,A212-O211,"")</f>
        <v/>
      </c>
    </row>
    <row r="213" customFormat="false" ht="15" hidden="false" customHeight="false" outlineLevel="0" collapsed="false">
      <c r="A213" s="25" t="n">
        <v>46119</v>
      </c>
      <c r="B213" s="26" t="s">
        <v>80</v>
      </c>
      <c r="C213" s="27" t="n">
        <v>16999.45</v>
      </c>
      <c r="D213" s="28" t="n">
        <f aca="false">C213/$T$1*100</f>
        <v>0.999967647058824</v>
      </c>
      <c r="E213" s="28" t="n">
        <f aca="false">E212+D213</f>
        <v>111.728564117647</v>
      </c>
      <c r="F213" s="28" t="n">
        <f aca="false">MAX(0,MAX($E$2:E213))</f>
        <v>113.102434705882</v>
      </c>
      <c r="G213" s="28" t="n">
        <f aca="false">E213-F213</f>
        <v>-1.37387058823529</v>
      </c>
      <c r="H213" s="25" t="n">
        <f aca="false">IF(G213&gt;=-0.0000001,A213,H212)</f>
        <v>46114</v>
      </c>
      <c r="I213" s="29" t="n">
        <f aca="false">IF(AND(G213&gt;=-0.0000001,G212&lt;0),1,0)</f>
        <v>0</v>
      </c>
      <c r="J213" s="30" t="str">
        <f aca="false">IF(I213=1,A213-H212,"")</f>
        <v/>
      </c>
      <c r="K213" s="27" t="n">
        <f aca="false">IF(B213="Wednesday",0,C213)</f>
        <v>16999.45</v>
      </c>
      <c r="L213" s="28" t="n">
        <f aca="false">L212+K213/$T$1*100</f>
        <v>130.42009</v>
      </c>
      <c r="M213" s="28" t="n">
        <f aca="false">MAX(0,MAX($L$2:L213))</f>
        <v>131.793960588235</v>
      </c>
      <c r="N213" s="28" t="n">
        <f aca="false">L213-M213</f>
        <v>-1.37387058823532</v>
      </c>
      <c r="O213" s="25" t="n">
        <f aca="false">IF(N213&gt;=-0.0000001,A213,O212)</f>
        <v>46114</v>
      </c>
      <c r="P213" s="29" t="n">
        <f aca="false">IF(AND(N213&gt;=-0.0000001,N212&lt;0),1,0)</f>
        <v>0</v>
      </c>
      <c r="Q213" s="30" t="str">
        <f aca="false">IF(P213=1,A213-O212,"")</f>
        <v/>
      </c>
    </row>
    <row r="214" customFormat="false" ht="15" hidden="false" customHeight="false" outlineLevel="0" collapsed="false">
      <c r="A214" s="25" t="n">
        <v>46120</v>
      </c>
      <c r="B214" s="26" t="s">
        <v>81</v>
      </c>
      <c r="C214" s="27" t="n">
        <v>2029.95</v>
      </c>
      <c r="D214" s="28" t="n">
        <f aca="false">C214/$T$1*100</f>
        <v>0.119408823529412</v>
      </c>
      <c r="E214" s="28" t="n">
        <f aca="false">E213+D214</f>
        <v>111.847972941176</v>
      </c>
      <c r="F214" s="28" t="n">
        <f aca="false">MAX(0,MAX($E$2:E214))</f>
        <v>113.102434705882</v>
      </c>
      <c r="G214" s="28" t="n">
        <f aca="false">E214-F214</f>
        <v>-1.25446176470588</v>
      </c>
      <c r="H214" s="25" t="n">
        <f aca="false">IF(G214&gt;=-0.0000001,A214,H213)</f>
        <v>46114</v>
      </c>
      <c r="I214" s="29" t="n">
        <f aca="false">IF(AND(G214&gt;=-0.0000001,G213&lt;0),1,0)</f>
        <v>0</v>
      </c>
      <c r="J214" s="30" t="str">
        <f aca="false">IF(I214=1,A214-H213,"")</f>
        <v/>
      </c>
      <c r="K214" s="27" t="n">
        <f aca="false">IF(B214="Wednesday",0,C214)</f>
        <v>0</v>
      </c>
      <c r="L214" s="28" t="n">
        <f aca="false">L213+K214/$T$1*100</f>
        <v>130.42009</v>
      </c>
      <c r="M214" s="28" t="n">
        <f aca="false">MAX(0,MAX($L$2:L214))</f>
        <v>131.793960588235</v>
      </c>
      <c r="N214" s="28" t="n">
        <f aca="false">L214-M214</f>
        <v>-1.37387058823532</v>
      </c>
      <c r="O214" s="25" t="n">
        <f aca="false">IF(N214&gt;=-0.0000001,A214,O213)</f>
        <v>46114</v>
      </c>
      <c r="P214" s="29" t="n">
        <f aca="false">IF(AND(N214&gt;=-0.0000001,N213&lt;0),1,0)</f>
        <v>0</v>
      </c>
      <c r="Q214" s="30" t="str">
        <f aca="false">IF(P214=1,A214-O213,"")</f>
        <v/>
      </c>
    </row>
    <row r="215" customFormat="false" ht="15" hidden="false" customHeight="false" outlineLevel="0" collapsed="false">
      <c r="A215" s="25" t="n">
        <v>46121</v>
      </c>
      <c r="B215" s="26" t="s">
        <v>82</v>
      </c>
      <c r="C215" s="27" t="n">
        <v>15297.75</v>
      </c>
      <c r="D215" s="28" t="n">
        <f aca="false">C215/$T$1*100</f>
        <v>0.899867647058824</v>
      </c>
      <c r="E215" s="28" t="n">
        <f aca="false">E214+D215</f>
        <v>112.747840588235</v>
      </c>
      <c r="F215" s="28" t="n">
        <f aca="false">MAX(0,MAX($E$2:E215))</f>
        <v>113.102434705882</v>
      </c>
      <c r="G215" s="28" t="n">
        <f aca="false">E215-F215</f>
        <v>-0.354594117647054</v>
      </c>
      <c r="H215" s="25" t="n">
        <f aca="false">IF(G215&gt;=-0.0000001,A215,H214)</f>
        <v>46114</v>
      </c>
      <c r="I215" s="29" t="n">
        <f aca="false">IF(AND(G215&gt;=-0.0000001,G214&lt;0),1,0)</f>
        <v>0</v>
      </c>
      <c r="J215" s="30" t="str">
        <f aca="false">IF(I215=1,A215-H214,"")</f>
        <v/>
      </c>
      <c r="K215" s="27" t="n">
        <f aca="false">IF(B215="Wednesday",0,C215)</f>
        <v>15297.75</v>
      </c>
      <c r="L215" s="28" t="n">
        <f aca="false">L214+K215/$T$1*100</f>
        <v>131.319957647059</v>
      </c>
      <c r="M215" s="28" t="n">
        <f aca="false">MAX(0,MAX($L$2:L215))</f>
        <v>131.793960588235</v>
      </c>
      <c r="N215" s="28" t="n">
        <f aca="false">L215-M215</f>
        <v>-0.474002941176508</v>
      </c>
      <c r="O215" s="25" t="n">
        <f aca="false">IF(N215&gt;=-0.0000001,A215,O214)</f>
        <v>46114</v>
      </c>
      <c r="P215" s="29" t="n">
        <f aca="false">IF(AND(N215&gt;=-0.0000001,N214&lt;0),1,0)</f>
        <v>0</v>
      </c>
      <c r="Q215" s="30" t="str">
        <f aca="false">IF(P215=1,A215-O214,"")</f>
        <v/>
      </c>
    </row>
    <row r="216" customFormat="false" ht="15" hidden="false" customHeight="false" outlineLevel="0" collapsed="false">
      <c r="A216" s="25" t="n">
        <v>46122</v>
      </c>
      <c r="B216" s="26" t="s">
        <v>83</v>
      </c>
      <c r="C216" s="27" t="n">
        <v>1903.2</v>
      </c>
      <c r="D216" s="28" t="n">
        <f aca="false">C216/$T$1*100</f>
        <v>0.111952941176471</v>
      </c>
      <c r="E216" s="28" t="n">
        <f aca="false">E215+D216</f>
        <v>112.859793529412</v>
      </c>
      <c r="F216" s="28" t="n">
        <f aca="false">MAX(0,MAX($E$2:E216))</f>
        <v>113.102434705882</v>
      </c>
      <c r="G216" s="28" t="n">
        <f aca="false">E216-F216</f>
        <v>-0.242641176470585</v>
      </c>
      <c r="H216" s="25" t="n">
        <f aca="false">IF(G216&gt;=-0.0000001,A216,H215)</f>
        <v>46114</v>
      </c>
      <c r="I216" s="29" t="n">
        <f aca="false">IF(AND(G216&gt;=-0.0000001,G215&lt;0),1,0)</f>
        <v>0</v>
      </c>
      <c r="J216" s="30" t="str">
        <f aca="false">IF(I216=1,A216-H215,"")</f>
        <v/>
      </c>
      <c r="K216" s="27" t="n">
        <f aca="false">IF(B216="Wednesday",0,C216)</f>
        <v>1903.2</v>
      </c>
      <c r="L216" s="28" t="n">
        <f aca="false">L215+K216/$T$1*100</f>
        <v>131.431910588235</v>
      </c>
      <c r="M216" s="28" t="n">
        <f aca="false">MAX(0,MAX($L$2:L216))</f>
        <v>131.793960588235</v>
      </c>
      <c r="N216" s="28" t="n">
        <f aca="false">L216-M216</f>
        <v>-0.362050000000039</v>
      </c>
      <c r="O216" s="25" t="n">
        <f aca="false">IF(N216&gt;=-0.0000001,A216,O215)</f>
        <v>46114</v>
      </c>
      <c r="P216" s="29" t="n">
        <f aca="false">IF(AND(N216&gt;=-0.0000001,N215&lt;0),1,0)</f>
        <v>0</v>
      </c>
      <c r="Q216" s="30" t="str">
        <f aca="false">IF(P216=1,A216-O215,"")</f>
        <v/>
      </c>
    </row>
    <row r="217" customFormat="false" ht="15" hidden="false" customHeight="false" outlineLevel="0" collapsed="false">
      <c r="A217" s="25" t="n">
        <v>46125</v>
      </c>
      <c r="B217" s="26" t="s">
        <v>79</v>
      </c>
      <c r="C217" s="27" t="n">
        <v>27319.5</v>
      </c>
      <c r="D217" s="28" t="n">
        <f aca="false">C217/$T$1*100</f>
        <v>1.60702941176471</v>
      </c>
      <c r="E217" s="28" t="n">
        <f aca="false">E216+D217</f>
        <v>114.466822941176</v>
      </c>
      <c r="F217" s="28" t="n">
        <f aca="false">MAX(0,MAX($E$2:E217))</f>
        <v>114.466822941176</v>
      </c>
      <c r="G217" s="28" t="n">
        <f aca="false">E217-F217</f>
        <v>0</v>
      </c>
      <c r="H217" s="25" t="n">
        <f aca="false">IF(G217&gt;=-0.0000001,A217,H216)</f>
        <v>46125</v>
      </c>
      <c r="I217" s="29" t="n">
        <f aca="false">IF(AND(G217&gt;=-0.0000001,G216&lt;0),1,0)</f>
        <v>1</v>
      </c>
      <c r="J217" s="30" t="n">
        <f aca="false">IF(I217=1,A217-H216,"")</f>
        <v>11</v>
      </c>
      <c r="K217" s="27" t="n">
        <f aca="false">IF(B217="Wednesday",0,C217)</f>
        <v>27319.5</v>
      </c>
      <c r="L217" s="28" t="n">
        <f aca="false">L216+K217/$T$1*100</f>
        <v>133.03894</v>
      </c>
      <c r="M217" s="28" t="n">
        <f aca="false">MAX(0,MAX($L$2:L217))</f>
        <v>133.03894</v>
      </c>
      <c r="N217" s="28" t="n">
        <f aca="false">L217-M217</f>
        <v>0</v>
      </c>
      <c r="O217" s="25" t="n">
        <f aca="false">IF(N217&gt;=-0.0000001,A217,O216)</f>
        <v>46125</v>
      </c>
      <c r="P217" s="29" t="n">
        <f aca="false">IF(AND(N217&gt;=-0.0000001,N216&lt;0),1,0)</f>
        <v>1</v>
      </c>
      <c r="Q217" s="30" t="n">
        <f aca="false">IF(P217=1,A217-O216,"")</f>
        <v>11</v>
      </c>
    </row>
    <row r="218" customFormat="false" ht="15" hidden="false" customHeight="false" outlineLevel="0" collapsed="false">
      <c r="A218" s="25" t="n">
        <v>46127</v>
      </c>
      <c r="B218" s="26" t="s">
        <v>81</v>
      </c>
      <c r="C218" s="27" t="n">
        <v>887.25</v>
      </c>
      <c r="D218" s="28" t="n">
        <f aca="false">C218/$T$1*100</f>
        <v>0.0521911764705882</v>
      </c>
      <c r="E218" s="28" t="n">
        <f aca="false">E217+D218</f>
        <v>114.519014117647</v>
      </c>
      <c r="F218" s="28" t="n">
        <f aca="false">MAX(0,MAX($E$2:E218))</f>
        <v>114.519014117647</v>
      </c>
      <c r="G218" s="28" t="n">
        <f aca="false">E218-F218</f>
        <v>0</v>
      </c>
      <c r="H218" s="25" t="n">
        <f aca="false">IF(G218&gt;=-0.0000001,A218,H217)</f>
        <v>46127</v>
      </c>
      <c r="I218" s="29" t="n">
        <f aca="false">IF(AND(G218&gt;=-0.0000001,G217&lt;0),1,0)</f>
        <v>0</v>
      </c>
      <c r="J218" s="30" t="str">
        <f aca="false">IF(I218=1,A218-H217,"")</f>
        <v/>
      </c>
      <c r="K218" s="27" t="n">
        <f aca="false">IF(B218="Wednesday",0,C218)</f>
        <v>0</v>
      </c>
      <c r="L218" s="28" t="n">
        <f aca="false">L217+K218/$T$1*100</f>
        <v>133.03894</v>
      </c>
      <c r="M218" s="28" t="n">
        <f aca="false">MAX(0,MAX($L$2:L218))</f>
        <v>133.03894</v>
      </c>
      <c r="N218" s="28" t="n">
        <f aca="false">L218-M218</f>
        <v>0</v>
      </c>
      <c r="O218" s="25" t="n">
        <f aca="false">IF(N218&gt;=-0.0000001,A218,O217)</f>
        <v>46127</v>
      </c>
      <c r="P218" s="29" t="n">
        <f aca="false">IF(AND(N218&gt;=-0.0000001,N217&lt;0),1,0)</f>
        <v>0</v>
      </c>
      <c r="Q218" s="30" t="str">
        <f aca="false">IF(P218=1,A218-O217,"")</f>
        <v/>
      </c>
    </row>
    <row r="219" customFormat="false" ht="15" hidden="false" customHeight="false" outlineLevel="0" collapsed="false">
      <c r="A219" s="25" t="n">
        <v>46128</v>
      </c>
      <c r="B219" s="26" t="s">
        <v>82</v>
      </c>
      <c r="C219" s="27" t="n">
        <v>10081.5</v>
      </c>
      <c r="D219" s="28" t="n">
        <f aca="false">C219/$T$1*100</f>
        <v>0.593029411764706</v>
      </c>
      <c r="E219" s="28" t="n">
        <f aca="false">E218+D219</f>
        <v>115.112043529412</v>
      </c>
      <c r="F219" s="28" t="n">
        <f aca="false">MAX(0,MAX($E$2:E219))</f>
        <v>115.112043529412</v>
      </c>
      <c r="G219" s="28" t="n">
        <f aca="false">E219-F219</f>
        <v>0</v>
      </c>
      <c r="H219" s="25" t="n">
        <f aca="false">IF(G219&gt;=-0.0000001,A219,H218)</f>
        <v>46128</v>
      </c>
      <c r="I219" s="29" t="n">
        <f aca="false">IF(AND(G219&gt;=-0.0000001,G218&lt;0),1,0)</f>
        <v>0</v>
      </c>
      <c r="J219" s="30" t="str">
        <f aca="false">IF(I219=1,A219-H218,"")</f>
        <v/>
      </c>
      <c r="K219" s="27" t="n">
        <f aca="false">IF(B219="Wednesday",0,C219)</f>
        <v>10081.5</v>
      </c>
      <c r="L219" s="28" t="n">
        <f aca="false">L218+K219/$T$1*100</f>
        <v>133.631969411765</v>
      </c>
      <c r="M219" s="28" t="n">
        <f aca="false">MAX(0,MAX($L$2:L219))</f>
        <v>133.631969411765</v>
      </c>
      <c r="N219" s="28" t="n">
        <f aca="false">L219-M219</f>
        <v>0</v>
      </c>
      <c r="O219" s="25" t="n">
        <f aca="false">IF(N219&gt;=-0.0000001,A219,O218)</f>
        <v>46128</v>
      </c>
      <c r="P219" s="29" t="n">
        <f aca="false">IF(AND(N219&gt;=-0.0000001,N218&lt;0),1,0)</f>
        <v>0</v>
      </c>
      <c r="Q219" s="30" t="str">
        <f aca="false">IF(P219=1,A219-O218,"")</f>
        <v/>
      </c>
    </row>
    <row r="220" customFormat="false" ht="15" hidden="false" customHeight="false" outlineLevel="0" collapsed="false">
      <c r="A220" s="25" t="n">
        <v>46129</v>
      </c>
      <c r="B220" s="26" t="s">
        <v>83</v>
      </c>
      <c r="C220" s="27" t="n">
        <v>-4670.9</v>
      </c>
      <c r="D220" s="28" t="n">
        <f aca="false">C220/$T$1*100</f>
        <v>-0.274758823529412</v>
      </c>
      <c r="E220" s="28" t="n">
        <f aca="false">E219+D220</f>
        <v>114.837284705882</v>
      </c>
      <c r="F220" s="28" t="n">
        <f aca="false">MAX(0,MAX($E$2:E220))</f>
        <v>115.112043529412</v>
      </c>
      <c r="G220" s="28" t="n">
        <f aca="false">E220-F220</f>
        <v>-0.27475882352941</v>
      </c>
      <c r="H220" s="25" t="n">
        <f aca="false">IF(G220&gt;=-0.0000001,A220,H219)</f>
        <v>46128</v>
      </c>
      <c r="I220" s="29" t="n">
        <f aca="false">IF(AND(G220&gt;=-0.0000001,G219&lt;0),1,0)</f>
        <v>0</v>
      </c>
      <c r="J220" s="30" t="str">
        <f aca="false">IF(I220=1,A220-H219,"")</f>
        <v/>
      </c>
      <c r="K220" s="27" t="n">
        <f aca="false">IF(B220="Wednesday",0,C220)</f>
        <v>-4670.9</v>
      </c>
      <c r="L220" s="28" t="n">
        <f aca="false">L219+K220/$T$1*100</f>
        <v>133.357210588235</v>
      </c>
      <c r="M220" s="28" t="n">
        <f aca="false">MAX(0,MAX($L$2:L220))</f>
        <v>133.631969411765</v>
      </c>
      <c r="N220" s="28" t="n">
        <f aca="false">L220-M220</f>
        <v>-0.274758823529425</v>
      </c>
      <c r="O220" s="25" t="n">
        <f aca="false">IF(N220&gt;=-0.0000001,A220,O219)</f>
        <v>46128</v>
      </c>
      <c r="P220" s="29" t="n">
        <f aca="false">IF(AND(N220&gt;=-0.0000001,N219&lt;0),1,0)</f>
        <v>0</v>
      </c>
      <c r="Q220" s="30" t="str">
        <f aca="false">IF(P220=1,A220-O219,"")</f>
        <v/>
      </c>
    </row>
    <row r="221" customFormat="false" ht="15" hidden="false" customHeight="false" outlineLevel="0" collapsed="false">
      <c r="A221" s="25" t="n">
        <v>46132</v>
      </c>
      <c r="B221" s="26" t="s">
        <v>79</v>
      </c>
      <c r="C221" s="27" t="n">
        <v>2991.3</v>
      </c>
      <c r="D221" s="28" t="n">
        <f aca="false">C221/$T$1*100</f>
        <v>0.175958823529412</v>
      </c>
      <c r="E221" s="28" t="n">
        <f aca="false">E220+D221</f>
        <v>115.013243529412</v>
      </c>
      <c r="F221" s="28" t="n">
        <f aca="false">MAX(0,MAX($E$2:E221))</f>
        <v>115.112043529412</v>
      </c>
      <c r="G221" s="28" t="n">
        <f aca="false">E221-F221</f>
        <v>-0.0987999999999971</v>
      </c>
      <c r="H221" s="25" t="n">
        <f aca="false">IF(G221&gt;=-0.0000001,A221,H220)</f>
        <v>46128</v>
      </c>
      <c r="I221" s="29" t="n">
        <f aca="false">IF(AND(G221&gt;=-0.0000001,G220&lt;0),1,0)</f>
        <v>0</v>
      </c>
      <c r="J221" s="30" t="str">
        <f aca="false">IF(I221=1,A221-H220,"")</f>
        <v/>
      </c>
      <c r="K221" s="27" t="n">
        <f aca="false">IF(B221="Wednesday",0,C221)</f>
        <v>2991.3</v>
      </c>
      <c r="L221" s="28" t="n">
        <f aca="false">L220+K221/$T$1*100</f>
        <v>133.533169411765</v>
      </c>
      <c r="M221" s="28" t="n">
        <f aca="false">MAX(0,MAX($L$2:L221))</f>
        <v>133.631969411765</v>
      </c>
      <c r="N221" s="28" t="n">
        <f aca="false">L221-M221</f>
        <v>-0.0988000000000113</v>
      </c>
      <c r="O221" s="25" t="n">
        <f aca="false">IF(N221&gt;=-0.0000001,A221,O220)</f>
        <v>46128</v>
      </c>
      <c r="P221" s="29" t="n">
        <f aca="false">IF(AND(N221&gt;=-0.0000001,N220&lt;0),1,0)</f>
        <v>0</v>
      </c>
      <c r="Q221" s="30" t="str">
        <f aca="false">IF(P221=1,A221-O220,"")</f>
        <v/>
      </c>
    </row>
    <row r="222" customFormat="false" ht="15" hidden="false" customHeight="false" outlineLevel="0" collapsed="false">
      <c r="A222" s="25" t="n">
        <v>46133</v>
      </c>
      <c r="B222" s="26" t="s">
        <v>80</v>
      </c>
      <c r="C222" s="27" t="n">
        <v>50784.5</v>
      </c>
      <c r="D222" s="28" t="n">
        <f aca="false">C222/$T$1*100</f>
        <v>2.98732352941177</v>
      </c>
      <c r="E222" s="28" t="n">
        <f aca="false">E221+D222</f>
        <v>118.000567058824</v>
      </c>
      <c r="F222" s="28" t="n">
        <f aca="false">MAX(0,MAX($E$2:E222))</f>
        <v>118.000567058824</v>
      </c>
      <c r="G222" s="28" t="n">
        <f aca="false">E222-F222</f>
        <v>0</v>
      </c>
      <c r="H222" s="25" t="n">
        <f aca="false">IF(G222&gt;=-0.0000001,A222,H221)</f>
        <v>46133</v>
      </c>
      <c r="I222" s="29" t="n">
        <f aca="false">IF(AND(G222&gt;=-0.0000001,G221&lt;0),1,0)</f>
        <v>1</v>
      </c>
      <c r="J222" s="30" t="n">
        <f aca="false">IF(I222=1,A222-H221,"")</f>
        <v>5</v>
      </c>
      <c r="K222" s="27" t="n">
        <f aca="false">IF(B222="Wednesday",0,C222)</f>
        <v>50784.5</v>
      </c>
      <c r="L222" s="28" t="n">
        <f aca="false">L221+K222/$T$1*100</f>
        <v>136.520492941176</v>
      </c>
      <c r="M222" s="28" t="n">
        <f aca="false">MAX(0,MAX($L$2:L222))</f>
        <v>136.520492941176</v>
      </c>
      <c r="N222" s="28" t="n">
        <f aca="false">L222-M222</f>
        <v>0</v>
      </c>
      <c r="O222" s="25" t="n">
        <f aca="false">IF(N222&gt;=-0.0000001,A222,O221)</f>
        <v>46133</v>
      </c>
      <c r="P222" s="29" t="n">
        <f aca="false">IF(AND(N222&gt;=-0.0000001,N221&lt;0),1,0)</f>
        <v>1</v>
      </c>
      <c r="Q222" s="30" t="n">
        <f aca="false">IF(P222=1,A222-O221,"")</f>
        <v>5</v>
      </c>
    </row>
    <row r="223" customFormat="false" ht="15" hidden="false" customHeight="false" outlineLevel="0" collapsed="false">
      <c r="A223" s="25" t="n">
        <v>46134</v>
      </c>
      <c r="B223" s="26" t="s">
        <v>81</v>
      </c>
      <c r="C223" s="27" t="n">
        <v>940.55</v>
      </c>
      <c r="D223" s="28" t="n">
        <f aca="false">C223/$T$1*100</f>
        <v>0.0553264705882353</v>
      </c>
      <c r="E223" s="28" t="n">
        <f aca="false">E222+D223</f>
        <v>118.055893529412</v>
      </c>
      <c r="F223" s="28" t="n">
        <f aca="false">MAX(0,MAX($E$2:E223))</f>
        <v>118.055893529412</v>
      </c>
      <c r="G223" s="28" t="n">
        <f aca="false">E223-F223</f>
        <v>0</v>
      </c>
      <c r="H223" s="25" t="n">
        <f aca="false">IF(G223&gt;=-0.0000001,A223,H222)</f>
        <v>46134</v>
      </c>
      <c r="I223" s="29" t="n">
        <f aca="false">IF(AND(G223&gt;=-0.0000001,G222&lt;0),1,0)</f>
        <v>0</v>
      </c>
      <c r="J223" s="30" t="str">
        <f aca="false">IF(I223=1,A223-H222,"")</f>
        <v/>
      </c>
      <c r="K223" s="27" t="n">
        <f aca="false">IF(B223="Wednesday",0,C223)</f>
        <v>0</v>
      </c>
      <c r="L223" s="28" t="n">
        <f aca="false">L222+K223/$T$1*100</f>
        <v>136.520492941176</v>
      </c>
      <c r="M223" s="28" t="n">
        <f aca="false">MAX(0,MAX($L$2:L223))</f>
        <v>136.520492941176</v>
      </c>
      <c r="N223" s="28" t="n">
        <f aca="false">L223-M223</f>
        <v>0</v>
      </c>
      <c r="O223" s="25" t="n">
        <f aca="false">IF(N223&gt;=-0.0000001,A223,O222)</f>
        <v>46134</v>
      </c>
      <c r="P223" s="29" t="n">
        <f aca="false">IF(AND(N223&gt;=-0.0000001,N222&lt;0),1,0)</f>
        <v>0</v>
      </c>
      <c r="Q223" s="30" t="str">
        <f aca="false">IF(P223=1,A223-O222,"")</f>
        <v/>
      </c>
    </row>
    <row r="224" customFormat="false" ht="15" hidden="false" customHeight="false" outlineLevel="0" collapsed="false">
      <c r="A224" s="25" t="n">
        <v>46135</v>
      </c>
      <c r="B224" s="26" t="s">
        <v>82</v>
      </c>
      <c r="C224" s="27" t="n">
        <v>59094.1</v>
      </c>
      <c r="D224" s="28" t="n">
        <f aca="false">C224/$T$1*100</f>
        <v>3.47612352941177</v>
      </c>
      <c r="E224" s="28" t="n">
        <f aca="false">E223+D224</f>
        <v>121.532017058824</v>
      </c>
      <c r="F224" s="28" t="n">
        <f aca="false">MAX(0,MAX($E$2:E224))</f>
        <v>121.532017058824</v>
      </c>
      <c r="G224" s="28" t="n">
        <f aca="false">E224-F224</f>
        <v>0</v>
      </c>
      <c r="H224" s="25" t="n">
        <f aca="false">IF(G224&gt;=-0.0000001,A224,H223)</f>
        <v>46135</v>
      </c>
      <c r="I224" s="29" t="n">
        <f aca="false">IF(AND(G224&gt;=-0.0000001,G223&lt;0),1,0)</f>
        <v>0</v>
      </c>
      <c r="J224" s="30" t="str">
        <f aca="false">IF(I224=1,A224-H223,"")</f>
        <v/>
      </c>
      <c r="K224" s="27" t="n">
        <f aca="false">IF(B224="Wednesday",0,C224)</f>
        <v>59094.1</v>
      </c>
      <c r="L224" s="28" t="n">
        <f aca="false">L223+K224/$T$1*100</f>
        <v>139.996616470588</v>
      </c>
      <c r="M224" s="28" t="n">
        <f aca="false">MAX(0,MAX($L$2:L224))</f>
        <v>139.996616470588</v>
      </c>
      <c r="N224" s="28" t="n">
        <f aca="false">L224-M224</f>
        <v>0</v>
      </c>
      <c r="O224" s="25" t="n">
        <f aca="false">IF(N224&gt;=-0.0000001,A224,O223)</f>
        <v>46135</v>
      </c>
      <c r="P224" s="29" t="n">
        <f aca="false">IF(AND(N224&gt;=-0.0000001,N223&lt;0),1,0)</f>
        <v>0</v>
      </c>
      <c r="Q224" s="30" t="str">
        <f aca="false">IF(P224=1,A224-O223,"")</f>
        <v/>
      </c>
    </row>
    <row r="225" customFormat="false" ht="15" hidden="false" customHeight="false" outlineLevel="0" collapsed="false">
      <c r="A225" s="25" t="n">
        <v>46136</v>
      </c>
      <c r="B225" s="26" t="s">
        <v>83</v>
      </c>
      <c r="C225" s="27" t="n">
        <v>41921.1</v>
      </c>
      <c r="D225" s="28" t="n">
        <f aca="false">C225/$T$1*100</f>
        <v>2.46594705882353</v>
      </c>
      <c r="E225" s="28" t="n">
        <f aca="false">E224+D225</f>
        <v>123.997964117647</v>
      </c>
      <c r="F225" s="28" t="n">
        <f aca="false">MAX(0,MAX($E$2:E225))</f>
        <v>123.997964117647</v>
      </c>
      <c r="G225" s="28" t="n">
        <f aca="false">E225-F225</f>
        <v>0</v>
      </c>
      <c r="H225" s="25" t="n">
        <f aca="false">IF(G225&gt;=-0.0000001,A225,H224)</f>
        <v>46136</v>
      </c>
      <c r="I225" s="29" t="n">
        <f aca="false">IF(AND(G225&gt;=-0.0000001,G224&lt;0),1,0)</f>
        <v>0</v>
      </c>
      <c r="J225" s="30" t="str">
        <f aca="false">IF(I225=1,A225-H224,"")</f>
        <v/>
      </c>
      <c r="K225" s="27" t="n">
        <f aca="false">IF(B225="Wednesday",0,C225)</f>
        <v>41921.1</v>
      </c>
      <c r="L225" s="28" t="n">
        <f aca="false">L224+K225/$T$1*100</f>
        <v>142.462563529412</v>
      </c>
      <c r="M225" s="28" t="n">
        <f aca="false">MAX(0,MAX($L$2:L225))</f>
        <v>142.462563529412</v>
      </c>
      <c r="N225" s="28" t="n">
        <f aca="false">L225-M225</f>
        <v>0</v>
      </c>
      <c r="O225" s="25" t="n">
        <f aca="false">IF(N225&gt;=-0.0000001,A225,O224)</f>
        <v>46136</v>
      </c>
      <c r="P225" s="29" t="n">
        <f aca="false">IF(AND(N225&gt;=-0.0000001,N224&lt;0),1,0)</f>
        <v>0</v>
      </c>
      <c r="Q225" s="30" t="str">
        <f aca="false">IF(P225=1,A225-O224,"")</f>
        <v/>
      </c>
    </row>
    <row r="226" customFormat="false" ht="15" hidden="false" customHeight="false" outlineLevel="0" collapsed="false">
      <c r="A226" s="25" t="n">
        <v>46139</v>
      </c>
      <c r="B226" s="26" t="s">
        <v>79</v>
      </c>
      <c r="C226" s="27" t="n">
        <v>-24692.85</v>
      </c>
      <c r="D226" s="28" t="n">
        <f aca="false">C226/$T$1*100</f>
        <v>-1.45252058823529</v>
      </c>
      <c r="E226" s="28" t="n">
        <f aca="false">E225+D226</f>
        <v>122.545443529412</v>
      </c>
      <c r="F226" s="28" t="n">
        <f aca="false">MAX(0,MAX($E$2:E226))</f>
        <v>123.997964117647</v>
      </c>
      <c r="G226" s="28" t="n">
        <f aca="false">E226-F226</f>
        <v>-1.45252058823529</v>
      </c>
      <c r="H226" s="25" t="n">
        <f aca="false">IF(G226&gt;=-0.0000001,A226,H225)</f>
        <v>46136</v>
      </c>
      <c r="I226" s="29" t="n">
        <f aca="false">IF(AND(G226&gt;=-0.0000001,G225&lt;0),1,0)</f>
        <v>0</v>
      </c>
      <c r="J226" s="30" t="str">
        <f aca="false">IF(I226=1,A226-H225,"")</f>
        <v/>
      </c>
      <c r="K226" s="27" t="n">
        <f aca="false">IF(B226="Wednesday",0,C226)</f>
        <v>-24692.85</v>
      </c>
      <c r="L226" s="28" t="n">
        <f aca="false">L225+K226/$T$1*100</f>
        <v>141.010042941176</v>
      </c>
      <c r="M226" s="28" t="n">
        <f aca="false">MAX(0,MAX($L$2:L226))</f>
        <v>142.462563529412</v>
      </c>
      <c r="N226" s="28" t="n">
        <f aca="false">L226-M226</f>
        <v>-1.4525205882353</v>
      </c>
      <c r="O226" s="25" t="n">
        <f aca="false">IF(N226&gt;=-0.0000001,A226,O225)</f>
        <v>46136</v>
      </c>
      <c r="P226" s="29" t="n">
        <f aca="false">IF(AND(N226&gt;=-0.0000001,N225&lt;0),1,0)</f>
        <v>0</v>
      </c>
      <c r="Q226" s="30" t="str">
        <f aca="false">IF(P226=1,A226-O225,"")</f>
        <v/>
      </c>
    </row>
    <row r="227" customFormat="false" ht="15" hidden="false" customHeight="false" outlineLevel="0" collapsed="false">
      <c r="A227" s="25" t="n">
        <v>46140</v>
      </c>
      <c r="B227" s="26" t="s">
        <v>80</v>
      </c>
      <c r="C227" s="27" t="n">
        <v>101125.7</v>
      </c>
      <c r="D227" s="28" t="n">
        <f aca="false">C227/$T$1*100</f>
        <v>5.94857058823529</v>
      </c>
      <c r="E227" s="28" t="n">
        <f aca="false">E226+D227</f>
        <v>128.494014117647</v>
      </c>
      <c r="F227" s="28" t="n">
        <f aca="false">MAX(0,MAX($E$2:E227))</f>
        <v>128.494014117647</v>
      </c>
      <c r="G227" s="28" t="n">
        <f aca="false">E227-F227</f>
        <v>0</v>
      </c>
      <c r="H227" s="25" t="n">
        <f aca="false">IF(G227&gt;=-0.0000001,A227,H226)</f>
        <v>46140</v>
      </c>
      <c r="I227" s="29" t="n">
        <f aca="false">IF(AND(G227&gt;=-0.0000001,G226&lt;0),1,0)</f>
        <v>1</v>
      </c>
      <c r="J227" s="30" t="n">
        <f aca="false">IF(I227=1,A227-H226,"")</f>
        <v>4</v>
      </c>
      <c r="K227" s="27" t="n">
        <f aca="false">IF(B227="Wednesday",0,C227)</f>
        <v>101125.7</v>
      </c>
      <c r="L227" s="28" t="n">
        <f aca="false">L226+K227/$T$1*100</f>
        <v>146.958613529412</v>
      </c>
      <c r="M227" s="28" t="n">
        <f aca="false">MAX(0,MAX($L$2:L227))</f>
        <v>146.958613529412</v>
      </c>
      <c r="N227" s="28" t="n">
        <f aca="false">L227-M227</f>
        <v>0</v>
      </c>
      <c r="O227" s="25" t="n">
        <f aca="false">IF(N227&gt;=-0.0000001,A227,O226)</f>
        <v>46140</v>
      </c>
      <c r="P227" s="29" t="n">
        <f aca="false">IF(AND(N227&gt;=-0.0000001,N226&lt;0),1,0)</f>
        <v>1</v>
      </c>
      <c r="Q227" s="30" t="n">
        <f aca="false">IF(P227=1,A227-O226,"")</f>
        <v>4</v>
      </c>
    </row>
    <row r="228" customFormat="false" ht="15" hidden="false" customHeight="false" outlineLevel="0" collapsed="false">
      <c r="A228" s="25" t="n">
        <v>46141</v>
      </c>
      <c r="B228" s="26" t="s">
        <v>81</v>
      </c>
      <c r="C228" s="27" t="n">
        <v>-4031.95</v>
      </c>
      <c r="D228" s="28" t="n">
        <f aca="false">C228/$T$1*100</f>
        <v>-0.237173529411765</v>
      </c>
      <c r="E228" s="28" t="n">
        <f aca="false">E227+D228</f>
        <v>128.256840588235</v>
      </c>
      <c r="F228" s="28" t="n">
        <f aca="false">MAX(0,MAX($E$2:E228))</f>
        <v>128.494014117647</v>
      </c>
      <c r="G228" s="28" t="n">
        <f aca="false">E228-F228</f>
        <v>-0.237173529411763</v>
      </c>
      <c r="H228" s="25" t="n">
        <f aca="false">IF(G228&gt;=-0.0000001,A228,H227)</f>
        <v>46140</v>
      </c>
      <c r="I228" s="29" t="n">
        <f aca="false">IF(AND(G228&gt;=-0.0000001,G227&lt;0),1,0)</f>
        <v>0</v>
      </c>
      <c r="J228" s="30" t="str">
        <f aca="false">IF(I228=1,A228-H227,"")</f>
        <v/>
      </c>
      <c r="K228" s="27" t="n">
        <f aca="false">IF(B228="Wednesday",0,C228)</f>
        <v>0</v>
      </c>
      <c r="L228" s="28" t="n">
        <f aca="false">L227+K228/$T$1*100</f>
        <v>146.958613529412</v>
      </c>
      <c r="M228" s="28" t="n">
        <f aca="false">MAX(0,MAX($L$2:L228))</f>
        <v>146.958613529412</v>
      </c>
      <c r="N228" s="28" t="n">
        <f aca="false">L228-M228</f>
        <v>0</v>
      </c>
      <c r="O228" s="25" t="n">
        <f aca="false">IF(N228&gt;=-0.0000001,A228,O227)</f>
        <v>46141</v>
      </c>
      <c r="P228" s="29" t="n">
        <f aca="false">IF(AND(N228&gt;=-0.0000001,N227&lt;0),1,0)</f>
        <v>0</v>
      </c>
      <c r="Q228" s="30" t="str">
        <f aca="false">IF(P228=1,A228-O227,"")</f>
        <v/>
      </c>
    </row>
    <row r="229" customFormat="false" ht="15" hidden="false" customHeight="false" outlineLevel="0" collapsed="false">
      <c r="A229" s="25" t="n">
        <v>46142</v>
      </c>
      <c r="B229" s="26" t="s">
        <v>82</v>
      </c>
      <c r="C229" s="27" t="n">
        <v>87236.5</v>
      </c>
      <c r="D229" s="28" t="n">
        <f aca="false">C229/$T$1*100</f>
        <v>5.13155882352941</v>
      </c>
      <c r="E229" s="28" t="n">
        <f aca="false">E228+D229</f>
        <v>133.388399411765</v>
      </c>
      <c r="F229" s="28" t="n">
        <f aca="false">MAX(0,MAX($E$2:E229))</f>
        <v>133.388399411765</v>
      </c>
      <c r="G229" s="28" t="n">
        <f aca="false">E229-F229</f>
        <v>0</v>
      </c>
      <c r="H229" s="25" t="n">
        <f aca="false">IF(G229&gt;=-0.0000001,A229,H228)</f>
        <v>46142</v>
      </c>
      <c r="I229" s="29" t="n">
        <f aca="false">IF(AND(G229&gt;=-0.0000001,G228&lt;0),1,0)</f>
        <v>1</v>
      </c>
      <c r="J229" s="30" t="n">
        <f aca="false">IF(I229=1,A229-H228,"")</f>
        <v>2</v>
      </c>
      <c r="K229" s="27" t="n">
        <f aca="false">IF(B229="Wednesday",0,C229)</f>
        <v>87236.5</v>
      </c>
      <c r="L229" s="28" t="n">
        <f aca="false">L228+K229/$T$1*100</f>
        <v>152.090172352941</v>
      </c>
      <c r="M229" s="28" t="n">
        <f aca="false">MAX(0,MAX($L$2:L229))</f>
        <v>152.090172352941</v>
      </c>
      <c r="N229" s="28" t="n">
        <f aca="false">L229-M229</f>
        <v>0</v>
      </c>
      <c r="O229" s="25" t="n">
        <f aca="false">IF(N229&gt;=-0.0000001,A229,O228)</f>
        <v>46142</v>
      </c>
      <c r="P229" s="29" t="n">
        <f aca="false">IF(AND(N229&gt;=-0.0000001,N228&lt;0),1,0)</f>
        <v>0</v>
      </c>
      <c r="Q229" s="30" t="str">
        <f aca="false">IF(P229=1,A229-O228,"")</f>
        <v/>
      </c>
    </row>
    <row r="230" customFormat="false" ht="15" hidden="false" customHeight="false" outlineLevel="0" collapsed="false">
      <c r="A230" s="25" t="n">
        <v>46146</v>
      </c>
      <c r="B230" s="26" t="s">
        <v>79</v>
      </c>
      <c r="C230" s="27" t="n">
        <v>5457.4</v>
      </c>
      <c r="D230" s="28" t="n">
        <f aca="false">C230/$T$1*100</f>
        <v>0.321023529411765</v>
      </c>
      <c r="E230" s="28" t="n">
        <f aca="false">E229+D230</f>
        <v>133.709422941176</v>
      </c>
      <c r="F230" s="28" t="n">
        <f aca="false">MAX(0,MAX($E$2:E230))</f>
        <v>133.709422941176</v>
      </c>
      <c r="G230" s="28" t="n">
        <f aca="false">E230-F230</f>
        <v>0</v>
      </c>
      <c r="H230" s="25" t="n">
        <f aca="false">IF(G230&gt;=-0.0000001,A230,H229)</f>
        <v>46146</v>
      </c>
      <c r="I230" s="29" t="n">
        <f aca="false">IF(AND(G230&gt;=-0.0000001,G229&lt;0),1,0)</f>
        <v>0</v>
      </c>
      <c r="J230" s="30" t="str">
        <f aca="false">IF(I230=1,A230-H229,"")</f>
        <v/>
      </c>
      <c r="K230" s="27" t="n">
        <f aca="false">IF(B230="Wednesday",0,C230)</f>
        <v>5457.4</v>
      </c>
      <c r="L230" s="28" t="n">
        <f aca="false">L229+K230/$T$1*100</f>
        <v>152.411195882353</v>
      </c>
      <c r="M230" s="28" t="n">
        <f aca="false">MAX(0,MAX($L$2:L230))</f>
        <v>152.411195882353</v>
      </c>
      <c r="N230" s="28" t="n">
        <f aca="false">L230-M230</f>
        <v>0</v>
      </c>
      <c r="O230" s="25" t="n">
        <f aca="false">IF(N230&gt;=-0.0000001,A230,O229)</f>
        <v>46146</v>
      </c>
      <c r="P230" s="29" t="n">
        <f aca="false">IF(AND(N230&gt;=-0.0000001,N229&lt;0),1,0)</f>
        <v>0</v>
      </c>
      <c r="Q230" s="30" t="str">
        <f aca="false">IF(P230=1,A230-O229,"")</f>
        <v/>
      </c>
    </row>
    <row r="231" customFormat="false" ht="15" hidden="false" customHeight="false" outlineLevel="0" collapsed="false">
      <c r="A231" s="25" t="n">
        <v>46147</v>
      </c>
      <c r="B231" s="26" t="s">
        <v>80</v>
      </c>
      <c r="C231" s="27" t="n">
        <v>102362</v>
      </c>
      <c r="D231" s="28" t="n">
        <f aca="false">C231/$T$1*100</f>
        <v>6.02129411764706</v>
      </c>
      <c r="E231" s="28" t="n">
        <f aca="false">E230+D231</f>
        <v>139.730717058824</v>
      </c>
      <c r="F231" s="28" t="n">
        <f aca="false">MAX(0,MAX($E$2:E231))</f>
        <v>139.730717058824</v>
      </c>
      <c r="G231" s="28" t="n">
        <f aca="false">E231-F231</f>
        <v>0</v>
      </c>
      <c r="H231" s="25" t="n">
        <f aca="false">IF(G231&gt;=-0.0000001,A231,H230)</f>
        <v>46147</v>
      </c>
      <c r="I231" s="29" t="n">
        <f aca="false">IF(AND(G231&gt;=-0.0000001,G230&lt;0),1,0)</f>
        <v>0</v>
      </c>
      <c r="J231" s="30" t="str">
        <f aca="false">IF(I231=1,A231-H230,"")</f>
        <v/>
      </c>
      <c r="K231" s="27" t="n">
        <f aca="false">IF(B231="Wednesday",0,C231)</f>
        <v>102362</v>
      </c>
      <c r="L231" s="28" t="n">
        <f aca="false">L230+K231/$T$1*100</f>
        <v>158.43249</v>
      </c>
      <c r="M231" s="28" t="n">
        <f aca="false">MAX(0,MAX($L$2:L231))</f>
        <v>158.43249</v>
      </c>
      <c r="N231" s="28" t="n">
        <f aca="false">L231-M231</f>
        <v>0</v>
      </c>
      <c r="O231" s="25" t="n">
        <f aca="false">IF(N231&gt;=-0.0000001,A231,O230)</f>
        <v>46147</v>
      </c>
      <c r="P231" s="29" t="n">
        <f aca="false">IF(AND(N231&gt;=-0.0000001,N230&lt;0),1,0)</f>
        <v>0</v>
      </c>
      <c r="Q231" s="30" t="str">
        <f aca="false">IF(P231=1,A231-O230,"")</f>
        <v/>
      </c>
    </row>
    <row r="232" customFormat="false" ht="15" hidden="false" customHeight="false" outlineLevel="0" collapsed="false">
      <c r="A232" s="25" t="n">
        <v>46148</v>
      </c>
      <c r="B232" s="26" t="s">
        <v>81</v>
      </c>
      <c r="C232" s="27" t="n">
        <v>-1891.5</v>
      </c>
      <c r="D232" s="28" t="n">
        <f aca="false">C232/$T$1*100</f>
        <v>-0.111264705882353</v>
      </c>
      <c r="E232" s="28" t="n">
        <f aca="false">E231+D232</f>
        <v>139.619452352941</v>
      </c>
      <c r="F232" s="28" t="n">
        <f aca="false">MAX(0,MAX($E$2:E232))</f>
        <v>139.730717058824</v>
      </c>
      <c r="G232" s="28" t="n">
        <f aca="false">E232-F232</f>
        <v>-0.111264705882348</v>
      </c>
      <c r="H232" s="25" t="n">
        <f aca="false">IF(G232&gt;=-0.0000001,A232,H231)</f>
        <v>46147</v>
      </c>
      <c r="I232" s="29" t="n">
        <f aca="false">IF(AND(G232&gt;=-0.0000001,G231&lt;0),1,0)</f>
        <v>0</v>
      </c>
      <c r="J232" s="30" t="str">
        <f aca="false">IF(I232=1,A232-H231,"")</f>
        <v/>
      </c>
      <c r="K232" s="27" t="n">
        <f aca="false">IF(B232="Wednesday",0,C232)</f>
        <v>0</v>
      </c>
      <c r="L232" s="28" t="n">
        <f aca="false">L231+K232/$T$1*100</f>
        <v>158.43249</v>
      </c>
      <c r="M232" s="28" t="n">
        <f aca="false">MAX(0,MAX($L$2:L232))</f>
        <v>158.43249</v>
      </c>
      <c r="N232" s="28" t="n">
        <f aca="false">L232-M232</f>
        <v>0</v>
      </c>
      <c r="O232" s="25" t="n">
        <f aca="false">IF(N232&gt;=-0.0000001,A232,O231)</f>
        <v>46148</v>
      </c>
      <c r="P232" s="29" t="n">
        <f aca="false">IF(AND(N232&gt;=-0.0000001,N231&lt;0),1,0)</f>
        <v>0</v>
      </c>
      <c r="Q232" s="30" t="str">
        <f aca="false">IF(P232=1,A232-O231,"")</f>
        <v/>
      </c>
    </row>
    <row r="233" customFormat="false" ht="15" hidden="false" customHeight="false" outlineLevel="0" collapsed="false">
      <c r="A233" s="25" t="n">
        <v>46149</v>
      </c>
      <c r="B233" s="26" t="s">
        <v>82</v>
      </c>
      <c r="C233" s="27" t="n">
        <v>34279.7</v>
      </c>
      <c r="D233" s="28" t="n">
        <f aca="false">C233/$T$1*100</f>
        <v>2.01645294117647</v>
      </c>
      <c r="E233" s="28" t="n">
        <f aca="false">E232+D233</f>
        <v>141.635905294118</v>
      </c>
      <c r="F233" s="28" t="n">
        <f aca="false">MAX(0,MAX($E$2:E233))</f>
        <v>141.635905294118</v>
      </c>
      <c r="G233" s="28" t="n">
        <f aca="false">E233-F233</f>
        <v>0</v>
      </c>
      <c r="H233" s="25" t="n">
        <f aca="false">IF(G233&gt;=-0.0000001,A233,H232)</f>
        <v>46149</v>
      </c>
      <c r="I233" s="29" t="n">
        <f aca="false">IF(AND(G233&gt;=-0.0000001,G232&lt;0),1,0)</f>
        <v>1</v>
      </c>
      <c r="J233" s="30" t="n">
        <f aca="false">IF(I233=1,A233-H232,"")</f>
        <v>2</v>
      </c>
      <c r="K233" s="27" t="n">
        <f aca="false">IF(B233="Wednesday",0,C233)</f>
        <v>34279.7</v>
      </c>
      <c r="L233" s="28" t="n">
        <f aca="false">L232+K233/$T$1*100</f>
        <v>160.448942941176</v>
      </c>
      <c r="M233" s="28" t="n">
        <f aca="false">MAX(0,MAX($L$2:L233))</f>
        <v>160.448942941176</v>
      </c>
      <c r="N233" s="28" t="n">
        <f aca="false">L233-M233</f>
        <v>0</v>
      </c>
      <c r="O233" s="25" t="n">
        <f aca="false">IF(N233&gt;=-0.0000001,A233,O232)</f>
        <v>46149</v>
      </c>
      <c r="P233" s="29" t="n">
        <f aca="false">IF(AND(N233&gt;=-0.0000001,N232&lt;0),1,0)</f>
        <v>0</v>
      </c>
      <c r="Q233" s="30" t="str">
        <f aca="false">IF(P233=1,A233-O232,"")</f>
        <v/>
      </c>
    </row>
    <row r="234" customFormat="false" ht="15" hidden="false" customHeight="false" outlineLevel="0" collapsed="false">
      <c r="A234" s="25" t="n">
        <v>46150</v>
      </c>
      <c r="B234" s="26" t="s">
        <v>83</v>
      </c>
      <c r="C234" s="27" t="n">
        <v>-9708.4</v>
      </c>
      <c r="D234" s="28" t="n">
        <f aca="false">C234/$T$1*100</f>
        <v>-0.571082352941177</v>
      </c>
      <c r="E234" s="28" t="n">
        <f aca="false">E233+D234</f>
        <v>141.064822941177</v>
      </c>
      <c r="F234" s="28" t="n">
        <f aca="false">MAX(0,MAX($E$2:E234))</f>
        <v>141.635905294118</v>
      </c>
      <c r="G234" s="28" t="n">
        <f aca="false">E234-F234</f>
        <v>-0.571082352941176</v>
      </c>
      <c r="H234" s="25" t="n">
        <f aca="false">IF(G234&gt;=-0.0000001,A234,H233)</f>
        <v>46149</v>
      </c>
      <c r="I234" s="29" t="n">
        <f aca="false">IF(AND(G234&gt;=-0.0000001,G233&lt;0),1,0)</f>
        <v>0</v>
      </c>
      <c r="J234" s="30" t="str">
        <f aca="false">IF(I234=1,A234-H233,"")</f>
        <v/>
      </c>
      <c r="K234" s="27" t="n">
        <f aca="false">IF(B234="Wednesday",0,C234)</f>
        <v>-9708.4</v>
      </c>
      <c r="L234" s="28" t="n">
        <f aca="false">L233+K234/$T$1*100</f>
        <v>159.877860588235</v>
      </c>
      <c r="M234" s="28" t="n">
        <f aca="false">MAX(0,MAX($L$2:L234))</f>
        <v>160.448942941176</v>
      </c>
      <c r="N234" s="28" t="n">
        <f aca="false">L234-M234</f>
        <v>-0.571082352941176</v>
      </c>
      <c r="O234" s="25" t="n">
        <f aca="false">IF(N234&gt;=-0.0000001,A234,O233)</f>
        <v>46149</v>
      </c>
      <c r="P234" s="29" t="n">
        <f aca="false">IF(AND(N234&gt;=-0.0000001,N233&lt;0),1,0)</f>
        <v>0</v>
      </c>
      <c r="Q234" s="30" t="str">
        <f aca="false">IF(P234=1,A234-O233,"")</f>
        <v/>
      </c>
    </row>
    <row r="235" customFormat="false" ht="15" hidden="false" customHeight="false" outlineLevel="0" collapsed="false">
      <c r="A235" s="25" t="n">
        <v>46153</v>
      </c>
      <c r="B235" s="26" t="s">
        <v>79</v>
      </c>
      <c r="C235" s="27" t="n">
        <v>-122707.65</v>
      </c>
      <c r="D235" s="28" t="n">
        <f aca="false">C235/$T$1*100</f>
        <v>-7.21809705882353</v>
      </c>
      <c r="E235" s="28" t="n">
        <f aca="false">E234+D235</f>
        <v>133.846725882353</v>
      </c>
      <c r="F235" s="28" t="n">
        <f aca="false">MAX(0,MAX($E$2:E235))</f>
        <v>141.635905294118</v>
      </c>
      <c r="G235" s="28" t="n">
        <f aca="false">E235-F235</f>
        <v>-7.78917941176471</v>
      </c>
      <c r="H235" s="25" t="n">
        <f aca="false">IF(G235&gt;=-0.0000001,A235,H234)</f>
        <v>46149</v>
      </c>
      <c r="I235" s="29" t="n">
        <f aca="false">IF(AND(G235&gt;=-0.0000001,G234&lt;0),1,0)</f>
        <v>0</v>
      </c>
      <c r="J235" s="30" t="str">
        <f aca="false">IF(I235=1,A235-H234,"")</f>
        <v/>
      </c>
      <c r="K235" s="27" t="n">
        <f aca="false">IF(B235="Wednesday",0,C235)</f>
        <v>-122707.65</v>
      </c>
      <c r="L235" s="28" t="n">
        <f aca="false">L234+K235/$T$1*100</f>
        <v>152.659763529412</v>
      </c>
      <c r="M235" s="28" t="n">
        <f aca="false">MAX(0,MAX($L$2:L235))</f>
        <v>160.448942941176</v>
      </c>
      <c r="N235" s="28" t="n">
        <f aca="false">L235-M235</f>
        <v>-7.78917941176471</v>
      </c>
      <c r="O235" s="25" t="n">
        <f aca="false">IF(N235&gt;=-0.0000001,A235,O234)</f>
        <v>46149</v>
      </c>
      <c r="P235" s="29" t="n">
        <f aca="false">IF(AND(N235&gt;=-0.0000001,N234&lt;0),1,0)</f>
        <v>0</v>
      </c>
      <c r="Q235" s="30" t="str">
        <f aca="false">IF(P235=1,A235-O234,"")</f>
        <v/>
      </c>
    </row>
    <row r="236" customFormat="false" ht="15" hidden="false" customHeight="false" outlineLevel="0" collapsed="false">
      <c r="A236" s="25" t="n">
        <v>46154</v>
      </c>
      <c r="B236" s="26" t="s">
        <v>80</v>
      </c>
      <c r="C236" s="27" t="n">
        <v>54883.4</v>
      </c>
      <c r="D236" s="28" t="n">
        <f aca="false">C236/$T$1*100</f>
        <v>3.22843529411765</v>
      </c>
      <c r="E236" s="28" t="n">
        <f aca="false">E235+D236</f>
        <v>137.075161176471</v>
      </c>
      <c r="F236" s="28" t="n">
        <f aca="false">MAX(0,MAX($E$2:E236))</f>
        <v>141.635905294118</v>
      </c>
      <c r="G236" s="28" t="n">
        <f aca="false">E236-F236</f>
        <v>-4.56074411764706</v>
      </c>
      <c r="H236" s="25" t="n">
        <f aca="false">IF(G236&gt;=-0.0000001,A236,H235)</f>
        <v>46149</v>
      </c>
      <c r="I236" s="29" t="n">
        <f aca="false">IF(AND(G236&gt;=-0.0000001,G235&lt;0),1,0)</f>
        <v>0</v>
      </c>
      <c r="J236" s="30" t="str">
        <f aca="false">IF(I236=1,A236-H235,"")</f>
        <v/>
      </c>
      <c r="K236" s="27" t="n">
        <f aca="false">IF(B236="Wednesday",0,C236)</f>
        <v>54883.4</v>
      </c>
      <c r="L236" s="28" t="n">
        <f aca="false">L235+K236/$T$1*100</f>
        <v>155.888198823529</v>
      </c>
      <c r="M236" s="28" t="n">
        <f aca="false">MAX(0,MAX($L$2:L236))</f>
        <v>160.448942941176</v>
      </c>
      <c r="N236" s="28" t="n">
        <f aca="false">L236-M236</f>
        <v>-4.56074411764706</v>
      </c>
      <c r="O236" s="25" t="n">
        <f aca="false">IF(N236&gt;=-0.0000001,A236,O235)</f>
        <v>46149</v>
      </c>
      <c r="P236" s="29" t="n">
        <f aca="false">IF(AND(N236&gt;=-0.0000001,N235&lt;0),1,0)</f>
        <v>0</v>
      </c>
      <c r="Q236" s="30" t="str">
        <f aca="false">IF(P236=1,A236-O235,"")</f>
        <v/>
      </c>
    </row>
    <row r="237" customFormat="false" ht="15" hidden="false" customHeight="false" outlineLevel="0" collapsed="false">
      <c r="A237" s="25" t="n">
        <v>46155</v>
      </c>
      <c r="B237" s="26" t="s">
        <v>81</v>
      </c>
      <c r="C237" s="27" t="n">
        <v>-1972.75</v>
      </c>
      <c r="D237" s="28" t="n">
        <f aca="false">C237/$T$1*100</f>
        <v>-0.116044117647059</v>
      </c>
      <c r="E237" s="28" t="n">
        <f aca="false">E236+D237</f>
        <v>136.959117058824</v>
      </c>
      <c r="F237" s="28" t="n">
        <f aca="false">MAX(0,MAX($E$2:E237))</f>
        <v>141.635905294118</v>
      </c>
      <c r="G237" s="28" t="n">
        <f aca="false">E237-F237</f>
        <v>-4.67678823529411</v>
      </c>
      <c r="H237" s="25" t="n">
        <f aca="false">IF(G237&gt;=-0.0000001,A237,H236)</f>
        <v>46149</v>
      </c>
      <c r="I237" s="29" t="n">
        <f aca="false">IF(AND(G237&gt;=-0.0000001,G236&lt;0),1,0)</f>
        <v>0</v>
      </c>
      <c r="J237" s="30" t="str">
        <f aca="false">IF(I237=1,A237-H236,"")</f>
        <v/>
      </c>
      <c r="K237" s="27" t="n">
        <f aca="false">IF(B237="Wednesday",0,C237)</f>
        <v>0</v>
      </c>
      <c r="L237" s="28" t="n">
        <f aca="false">L236+K237/$T$1*100</f>
        <v>155.888198823529</v>
      </c>
      <c r="M237" s="28" t="n">
        <f aca="false">MAX(0,MAX($L$2:L237))</f>
        <v>160.448942941176</v>
      </c>
      <c r="N237" s="28" t="n">
        <f aca="false">L237-M237</f>
        <v>-4.56074411764706</v>
      </c>
      <c r="O237" s="25" t="n">
        <f aca="false">IF(N237&gt;=-0.0000001,A237,O236)</f>
        <v>46149</v>
      </c>
      <c r="P237" s="29" t="n">
        <f aca="false">IF(AND(N237&gt;=-0.0000001,N236&lt;0),1,0)</f>
        <v>0</v>
      </c>
      <c r="Q237" s="30" t="str">
        <f aca="false">IF(P237=1,A237-O236,"")</f>
        <v/>
      </c>
    </row>
    <row r="238" customFormat="false" ht="15" hidden="false" customHeight="false" outlineLevel="0" collapsed="false">
      <c r="A238" s="25" t="n">
        <v>46156</v>
      </c>
      <c r="B238" s="26" t="s">
        <v>82</v>
      </c>
      <c r="C238" s="27" t="n">
        <v>53872.65</v>
      </c>
      <c r="D238" s="28" t="n">
        <f aca="false">C238/$T$1*100</f>
        <v>3.16897941176471</v>
      </c>
      <c r="E238" s="28" t="n">
        <f aca="false">E237+D238</f>
        <v>140.128096470588</v>
      </c>
      <c r="F238" s="28" t="n">
        <f aca="false">MAX(0,MAX($E$2:E238))</f>
        <v>141.635905294118</v>
      </c>
      <c r="G238" s="28" t="n">
        <f aca="false">E238-F238</f>
        <v>-1.50780882352942</v>
      </c>
      <c r="H238" s="25" t="n">
        <f aca="false">IF(G238&gt;=-0.0000001,A238,H237)</f>
        <v>46149</v>
      </c>
      <c r="I238" s="29" t="n">
        <f aca="false">IF(AND(G238&gt;=-0.0000001,G237&lt;0),1,0)</f>
        <v>0</v>
      </c>
      <c r="J238" s="30" t="str">
        <f aca="false">IF(I238=1,A238-H237,"")</f>
        <v/>
      </c>
      <c r="K238" s="27" t="n">
        <f aca="false">IF(B238="Wednesday",0,C238)</f>
        <v>53872.65</v>
      </c>
      <c r="L238" s="28" t="n">
        <f aca="false">L237+K238/$T$1*100</f>
        <v>159.057178235294</v>
      </c>
      <c r="M238" s="28" t="n">
        <f aca="false">MAX(0,MAX($L$2:L238))</f>
        <v>160.448942941176</v>
      </c>
      <c r="N238" s="28" t="n">
        <f aca="false">L238-M238</f>
        <v>-1.39176470588237</v>
      </c>
      <c r="O238" s="25" t="n">
        <f aca="false">IF(N238&gt;=-0.0000001,A238,O237)</f>
        <v>46149</v>
      </c>
      <c r="P238" s="29" t="n">
        <f aca="false">IF(AND(N238&gt;=-0.0000001,N237&lt;0),1,0)</f>
        <v>0</v>
      </c>
      <c r="Q238" s="30" t="str">
        <f aca="false">IF(P238=1,A238-O237,"")</f>
        <v/>
      </c>
    </row>
    <row r="239" customFormat="false" ht="15" hidden="false" customHeight="false" outlineLevel="0" collapsed="false">
      <c r="A239" s="25" t="n">
        <v>46157</v>
      </c>
      <c r="B239" s="26" t="s">
        <v>83</v>
      </c>
      <c r="C239" s="27" t="n">
        <v>-10851.1</v>
      </c>
      <c r="D239" s="28" t="n">
        <f aca="false">C239/$T$1*100</f>
        <v>-0.6383</v>
      </c>
      <c r="E239" s="28" t="n">
        <f aca="false">E238+D239</f>
        <v>139.489796470588</v>
      </c>
      <c r="F239" s="28" t="n">
        <f aca="false">MAX(0,MAX($E$2:E239))</f>
        <v>141.635905294118</v>
      </c>
      <c r="G239" s="28" t="n">
        <f aca="false">E239-F239</f>
        <v>-2.1461088235294</v>
      </c>
      <c r="H239" s="25" t="n">
        <f aca="false">IF(G239&gt;=-0.0000001,A239,H238)</f>
        <v>46149</v>
      </c>
      <c r="I239" s="29" t="n">
        <f aca="false">IF(AND(G239&gt;=-0.0000001,G238&lt;0),1,0)</f>
        <v>0</v>
      </c>
      <c r="J239" s="30" t="str">
        <f aca="false">IF(I239=1,A239-H238,"")</f>
        <v/>
      </c>
      <c r="K239" s="27" t="n">
        <f aca="false">IF(B239="Wednesday",0,C239)</f>
        <v>-10851.1</v>
      </c>
      <c r="L239" s="28" t="n">
        <f aca="false">L238+K239/$T$1*100</f>
        <v>158.418878235294</v>
      </c>
      <c r="M239" s="28" t="n">
        <f aca="false">MAX(0,MAX($L$2:L239))</f>
        <v>160.448942941176</v>
      </c>
      <c r="N239" s="28" t="n">
        <f aca="false">L239-M239</f>
        <v>-2.03006470588235</v>
      </c>
      <c r="O239" s="25" t="n">
        <f aca="false">IF(N239&gt;=-0.0000001,A239,O238)</f>
        <v>46149</v>
      </c>
      <c r="P239" s="29" t="n">
        <f aca="false">IF(AND(N239&gt;=-0.0000001,N238&lt;0),1,0)</f>
        <v>0</v>
      </c>
      <c r="Q239" s="30" t="str">
        <f aca="false">IF(P239=1,A239-O238,"")</f>
        <v/>
      </c>
    </row>
    <row r="240" customFormat="false" ht="15" hidden="false" customHeight="false" outlineLevel="0" collapsed="false">
      <c r="A240" s="25" t="n">
        <v>46160</v>
      </c>
      <c r="B240" s="26" t="s">
        <v>79</v>
      </c>
      <c r="C240" s="27" t="n">
        <v>53433.25</v>
      </c>
      <c r="D240" s="28" t="n">
        <f aca="false">C240/$T$1*100</f>
        <v>3.14313235294118</v>
      </c>
      <c r="E240" s="28" t="n">
        <f aca="false">E239+D240</f>
        <v>142.632928823529</v>
      </c>
      <c r="F240" s="28" t="n">
        <f aca="false">MAX(0,MAX($E$2:E240))</f>
        <v>142.632928823529</v>
      </c>
      <c r="G240" s="28" t="n">
        <f aca="false">E240-F240</f>
        <v>0</v>
      </c>
      <c r="H240" s="25" t="n">
        <f aca="false">IF(G240&gt;=-0.0000001,A240,H239)</f>
        <v>46160</v>
      </c>
      <c r="I240" s="29" t="n">
        <f aca="false">IF(AND(G240&gt;=-0.0000001,G239&lt;0),1,0)</f>
        <v>1</v>
      </c>
      <c r="J240" s="30" t="n">
        <f aca="false">IF(I240=1,A240-H239,"")</f>
        <v>11</v>
      </c>
      <c r="K240" s="27" t="n">
        <f aca="false">IF(B240="Wednesday",0,C240)</f>
        <v>53433.25</v>
      </c>
      <c r="L240" s="28" t="n">
        <f aca="false">L239+K240/$T$1*100</f>
        <v>161.562010588235</v>
      </c>
      <c r="M240" s="28" t="n">
        <f aca="false">MAX(0,MAX($L$2:L240))</f>
        <v>161.562010588235</v>
      </c>
      <c r="N240" s="28" t="n">
        <f aca="false">L240-M240</f>
        <v>0</v>
      </c>
      <c r="O240" s="25" t="n">
        <f aca="false">IF(N240&gt;=-0.0000001,A240,O239)</f>
        <v>46160</v>
      </c>
      <c r="P240" s="29" t="n">
        <f aca="false">IF(AND(N240&gt;=-0.0000001,N239&lt;0),1,0)</f>
        <v>1</v>
      </c>
      <c r="Q240" s="30" t="n">
        <f aca="false">IF(P240=1,A240-O239,"")</f>
        <v>11</v>
      </c>
    </row>
    <row r="241" customFormat="false" ht="15" hidden="false" customHeight="false" outlineLevel="0" collapsed="false">
      <c r="A241" s="25" t="n">
        <v>46161</v>
      </c>
      <c r="B241" s="26" t="s">
        <v>80</v>
      </c>
      <c r="C241" s="27" t="n">
        <v>38983.1</v>
      </c>
      <c r="D241" s="28" t="n">
        <f aca="false">C241/$T$1*100</f>
        <v>2.29312352941176</v>
      </c>
      <c r="E241" s="28" t="n">
        <f aca="false">E240+D241</f>
        <v>144.926052352941</v>
      </c>
      <c r="F241" s="28" t="n">
        <f aca="false">MAX(0,MAX($E$2:E241))</f>
        <v>144.926052352941</v>
      </c>
      <c r="G241" s="28" t="n">
        <f aca="false">E241-F241</f>
        <v>0</v>
      </c>
      <c r="H241" s="25" t="n">
        <f aca="false">IF(G241&gt;=-0.0000001,A241,H240)</f>
        <v>46161</v>
      </c>
      <c r="I241" s="29" t="n">
        <f aca="false">IF(AND(G241&gt;=-0.0000001,G240&lt;0),1,0)</f>
        <v>0</v>
      </c>
      <c r="J241" s="30" t="str">
        <f aca="false">IF(I241=1,A241-H240,"")</f>
        <v/>
      </c>
      <c r="K241" s="27" t="n">
        <f aca="false">IF(B241="Wednesday",0,C241)</f>
        <v>38983.1</v>
      </c>
      <c r="L241" s="28" t="n">
        <f aca="false">L240+K241/$T$1*100</f>
        <v>163.855134117647</v>
      </c>
      <c r="M241" s="28" t="n">
        <f aca="false">MAX(0,MAX($L$2:L241))</f>
        <v>163.855134117647</v>
      </c>
      <c r="N241" s="28" t="n">
        <f aca="false">L241-M241</f>
        <v>0</v>
      </c>
      <c r="O241" s="25" t="n">
        <f aca="false">IF(N241&gt;=-0.0000001,A241,O240)</f>
        <v>46161</v>
      </c>
      <c r="P241" s="29" t="n">
        <f aca="false">IF(AND(N241&gt;=-0.0000001,N240&lt;0),1,0)</f>
        <v>0</v>
      </c>
      <c r="Q241" s="30" t="str">
        <f aca="false">IF(P241=1,A241-O240,"")</f>
        <v/>
      </c>
    </row>
    <row r="242" customFormat="false" ht="15" hidden="false" customHeight="false" outlineLevel="0" collapsed="false">
      <c r="A242" s="25" t="n">
        <v>46162</v>
      </c>
      <c r="B242" s="26" t="s">
        <v>81</v>
      </c>
      <c r="C242" s="27" t="n">
        <v>-45314.75</v>
      </c>
      <c r="D242" s="28" t="n">
        <f aca="false">C242/$T$1*100</f>
        <v>-2.66557352941177</v>
      </c>
      <c r="E242" s="28" t="n">
        <f aca="false">E241+D242</f>
        <v>142.260478823529</v>
      </c>
      <c r="F242" s="28" t="n">
        <f aca="false">MAX(0,MAX($E$2:E242))</f>
        <v>144.926052352941</v>
      </c>
      <c r="G242" s="28" t="n">
        <f aca="false">E242-F242</f>
        <v>-2.66557352941177</v>
      </c>
      <c r="H242" s="25" t="n">
        <f aca="false">IF(G242&gt;=-0.0000001,A242,H241)</f>
        <v>46161</v>
      </c>
      <c r="I242" s="29" t="n">
        <f aca="false">IF(AND(G242&gt;=-0.0000001,G241&lt;0),1,0)</f>
        <v>0</v>
      </c>
      <c r="J242" s="30" t="str">
        <f aca="false">IF(I242=1,A242-H241,"")</f>
        <v/>
      </c>
      <c r="K242" s="27" t="n">
        <f aca="false">IF(B242="Wednesday",0,C242)</f>
        <v>0</v>
      </c>
      <c r="L242" s="28" t="n">
        <f aca="false">L241+K242/$T$1*100</f>
        <v>163.855134117647</v>
      </c>
      <c r="M242" s="28" t="n">
        <f aca="false">MAX(0,MAX($L$2:L242))</f>
        <v>163.855134117647</v>
      </c>
      <c r="N242" s="28" t="n">
        <f aca="false">L242-M242</f>
        <v>0</v>
      </c>
      <c r="O242" s="25" t="n">
        <f aca="false">IF(N242&gt;=-0.0000001,A242,O241)</f>
        <v>46162</v>
      </c>
      <c r="P242" s="29" t="n">
        <f aca="false">IF(AND(N242&gt;=-0.0000001,N241&lt;0),1,0)</f>
        <v>0</v>
      </c>
      <c r="Q242" s="30" t="str">
        <f aca="false">IF(P242=1,A242-O241,"")</f>
        <v/>
      </c>
    </row>
    <row r="243" customFormat="false" ht="15" hidden="false" customHeight="false" outlineLevel="0" collapsed="false">
      <c r="A243" s="25" t="n">
        <v>46163</v>
      </c>
      <c r="B243" s="26" t="s">
        <v>82</v>
      </c>
      <c r="C243" s="27" t="n">
        <v>-10055.5</v>
      </c>
      <c r="D243" s="28" t="n">
        <f aca="false">C243/$T$1*100</f>
        <v>-0.5915</v>
      </c>
      <c r="E243" s="28" t="n">
        <f aca="false">E242+D243</f>
        <v>141.668978823529</v>
      </c>
      <c r="F243" s="28" t="n">
        <f aca="false">MAX(0,MAX($E$2:E243))</f>
        <v>144.926052352941</v>
      </c>
      <c r="G243" s="28" t="n">
        <f aca="false">E243-F243</f>
        <v>-3.25707352941177</v>
      </c>
      <c r="H243" s="25" t="n">
        <f aca="false">IF(G243&gt;=-0.0000001,A243,H242)</f>
        <v>46161</v>
      </c>
      <c r="I243" s="29" t="n">
        <f aca="false">IF(AND(G243&gt;=-0.0000001,G242&lt;0),1,0)</f>
        <v>0</v>
      </c>
      <c r="J243" s="30" t="str">
        <f aca="false">IF(I243=1,A243-H242,"")</f>
        <v/>
      </c>
      <c r="K243" s="27" t="n">
        <f aca="false">IF(B243="Wednesday",0,C243)</f>
        <v>-10055.5</v>
      </c>
      <c r="L243" s="28" t="n">
        <f aca="false">L242+K243/$T$1*100</f>
        <v>163.263634117647</v>
      </c>
      <c r="M243" s="28" t="n">
        <f aca="false">MAX(0,MAX($L$2:L243))</f>
        <v>163.855134117647</v>
      </c>
      <c r="N243" s="28" t="n">
        <f aca="false">L243-M243</f>
        <v>-0.591499999999996</v>
      </c>
      <c r="O243" s="25" t="n">
        <f aca="false">IF(N243&gt;=-0.0000001,A243,O242)</f>
        <v>46162</v>
      </c>
      <c r="P243" s="29" t="n">
        <f aca="false">IF(AND(N243&gt;=-0.0000001,N242&lt;0),1,0)</f>
        <v>0</v>
      </c>
      <c r="Q243" s="30" t="str">
        <f aca="false">IF(P243=1,A243-O242,"")</f>
        <v/>
      </c>
    </row>
    <row r="244" customFormat="false" ht="15" hidden="false" customHeight="false" outlineLevel="0" collapsed="false">
      <c r="A244" s="25" t="n">
        <v>46164</v>
      </c>
      <c r="B244" s="26" t="s">
        <v>83</v>
      </c>
      <c r="C244" s="27" t="n">
        <v>15527.85</v>
      </c>
      <c r="D244" s="28" t="n">
        <f aca="false">C244/$T$1*100</f>
        <v>0.913402941176471</v>
      </c>
      <c r="E244" s="28" t="n">
        <f aca="false">E243+D244</f>
        <v>142.582381764706</v>
      </c>
      <c r="F244" s="28" t="n">
        <f aca="false">MAX(0,MAX($E$2:E244))</f>
        <v>144.926052352941</v>
      </c>
      <c r="G244" s="28" t="n">
        <f aca="false">E244-F244</f>
        <v>-2.34367058823531</v>
      </c>
      <c r="H244" s="25" t="n">
        <f aca="false">IF(G244&gt;=-0.0000001,A244,H243)</f>
        <v>46161</v>
      </c>
      <c r="I244" s="29" t="n">
        <f aca="false">IF(AND(G244&gt;=-0.0000001,G243&lt;0),1,0)</f>
        <v>0</v>
      </c>
      <c r="J244" s="30" t="str">
        <f aca="false">IF(I244=1,A244-H243,"")</f>
        <v/>
      </c>
      <c r="K244" s="27" t="n">
        <f aca="false">IF(B244="Wednesday",0,C244)</f>
        <v>15527.85</v>
      </c>
      <c r="L244" s="28" t="n">
        <f aca="false">L243+K244/$T$1*100</f>
        <v>164.177037058823</v>
      </c>
      <c r="M244" s="28" t="n">
        <f aca="false">MAX(0,MAX($L$2:L244))</f>
        <v>164.177037058823</v>
      </c>
      <c r="N244" s="28" t="n">
        <f aca="false">L244-M244</f>
        <v>0</v>
      </c>
      <c r="O244" s="25" t="n">
        <f aca="false">IF(N244&gt;=-0.0000001,A244,O243)</f>
        <v>46164</v>
      </c>
      <c r="P244" s="29" t="n">
        <f aca="false">IF(AND(N244&gt;=-0.0000001,N243&lt;0),1,0)</f>
        <v>1</v>
      </c>
      <c r="Q244" s="30" t="n">
        <f aca="false">IF(P244=1,A244-O243,"")</f>
        <v>2</v>
      </c>
    </row>
    <row r="245" customFormat="false" ht="15" hidden="false" customHeight="false" outlineLevel="0" collapsed="false">
      <c r="A245" s="25" t="n">
        <v>46167</v>
      </c>
      <c r="B245" s="26" t="s">
        <v>79</v>
      </c>
      <c r="C245" s="27" t="n">
        <v>-40378.65</v>
      </c>
      <c r="D245" s="28" t="n">
        <f aca="false">C245/$T$1*100</f>
        <v>-2.37521470588235</v>
      </c>
      <c r="E245" s="28" t="n">
        <f aca="false">E244+D245</f>
        <v>140.207167058824</v>
      </c>
      <c r="F245" s="28" t="n">
        <f aca="false">MAX(0,MAX($E$2:E245))</f>
        <v>144.926052352941</v>
      </c>
      <c r="G245" s="28" t="n">
        <f aca="false">E245-F245</f>
        <v>-4.71888529411766</v>
      </c>
      <c r="H245" s="25" t="n">
        <f aca="false">IF(G245&gt;=-0.0000001,A245,H244)</f>
        <v>46161</v>
      </c>
      <c r="I245" s="29" t="n">
        <f aca="false">IF(AND(G245&gt;=-0.0000001,G244&lt;0),1,0)</f>
        <v>0</v>
      </c>
      <c r="J245" s="30" t="str">
        <f aca="false">IF(I245=1,A245-H244,"")</f>
        <v/>
      </c>
      <c r="K245" s="27" t="n">
        <f aca="false">IF(B245="Wednesday",0,C245)</f>
        <v>-40378.65</v>
      </c>
      <c r="L245" s="28" t="n">
        <f aca="false">L244+K245/$T$1*100</f>
        <v>161.801822352941</v>
      </c>
      <c r="M245" s="28" t="n">
        <f aca="false">MAX(0,MAX($L$2:L245))</f>
        <v>164.177037058823</v>
      </c>
      <c r="N245" s="28" t="n">
        <f aca="false">L245-M245</f>
        <v>-2.37521470588234</v>
      </c>
      <c r="O245" s="25" t="n">
        <f aca="false">IF(N245&gt;=-0.0000001,A245,O244)</f>
        <v>46164</v>
      </c>
      <c r="P245" s="29" t="n">
        <f aca="false">IF(AND(N245&gt;=-0.0000001,N244&lt;0),1,0)</f>
        <v>0</v>
      </c>
      <c r="Q245" s="30" t="str">
        <f aca="false">IF(P245=1,A245-O244,"")</f>
        <v/>
      </c>
    </row>
    <row r="246" customFormat="false" ht="15" hidden="false" customHeight="false" outlineLevel="0" collapsed="false">
      <c r="A246" s="25" t="n">
        <v>46168</v>
      </c>
      <c r="B246" s="26" t="s">
        <v>80</v>
      </c>
      <c r="C246" s="27" t="n">
        <v>47772.4</v>
      </c>
      <c r="D246" s="28" t="n">
        <f aca="false">C246/$T$1*100</f>
        <v>2.81014117647059</v>
      </c>
      <c r="E246" s="28" t="n">
        <f aca="false">E245+D246</f>
        <v>143.017308235294</v>
      </c>
      <c r="F246" s="28" t="n">
        <f aca="false">MAX(0,MAX($E$2:E246))</f>
        <v>144.926052352941</v>
      </c>
      <c r="G246" s="28" t="n">
        <f aca="false">E246-F246</f>
        <v>-1.90874411764707</v>
      </c>
      <c r="H246" s="25" t="n">
        <f aca="false">IF(G246&gt;=-0.0000001,A246,H245)</f>
        <v>46161</v>
      </c>
      <c r="I246" s="29" t="n">
        <f aca="false">IF(AND(G246&gt;=-0.0000001,G245&lt;0),1,0)</f>
        <v>0</v>
      </c>
      <c r="J246" s="30" t="str">
        <f aca="false">IF(I246=1,A246-H245,"")</f>
        <v/>
      </c>
      <c r="K246" s="27" t="n">
        <f aca="false">IF(B246="Wednesday",0,C246)</f>
        <v>47772.4</v>
      </c>
      <c r="L246" s="28" t="n">
        <f aca="false">L245+K246/$T$1*100</f>
        <v>164.611963529412</v>
      </c>
      <c r="M246" s="28" t="n">
        <f aca="false">MAX(0,MAX($L$2:L246))</f>
        <v>164.611963529412</v>
      </c>
      <c r="N246" s="28" t="n">
        <f aca="false">L246-M246</f>
        <v>0</v>
      </c>
      <c r="O246" s="25" t="n">
        <f aca="false">IF(N246&gt;=-0.0000001,A246,O245)</f>
        <v>46168</v>
      </c>
      <c r="P246" s="29" t="n">
        <f aca="false">IF(AND(N246&gt;=-0.0000001,N245&lt;0),1,0)</f>
        <v>1</v>
      </c>
      <c r="Q246" s="30" t="n">
        <f aca="false">IF(P246=1,A246-O245,"")</f>
        <v>4</v>
      </c>
    </row>
    <row r="247" customFormat="false" ht="15" hidden="false" customHeight="false" outlineLevel="0" collapsed="false">
      <c r="A247" s="25" t="n">
        <v>46169</v>
      </c>
      <c r="B247" s="26" t="s">
        <v>81</v>
      </c>
      <c r="C247" s="27" t="n">
        <v>-8450.65</v>
      </c>
      <c r="D247" s="28" t="n">
        <f aca="false">C247/$T$1*100</f>
        <v>-0.497097058823529</v>
      </c>
      <c r="E247" s="28" t="n">
        <f aca="false">E246+D247</f>
        <v>142.520211176471</v>
      </c>
      <c r="F247" s="28" t="n">
        <f aca="false">MAX(0,MAX($E$2:E247))</f>
        <v>144.926052352941</v>
      </c>
      <c r="G247" s="28" t="n">
        <f aca="false">E247-F247</f>
        <v>-2.4058411764706</v>
      </c>
      <c r="H247" s="25" t="n">
        <f aca="false">IF(G247&gt;=-0.0000001,A247,H246)</f>
        <v>46161</v>
      </c>
      <c r="I247" s="29" t="n">
        <f aca="false">IF(AND(G247&gt;=-0.0000001,G246&lt;0),1,0)</f>
        <v>0</v>
      </c>
      <c r="J247" s="30" t="str">
        <f aca="false">IF(I247=1,A247-H246,"")</f>
        <v/>
      </c>
      <c r="K247" s="27" t="n">
        <f aca="false">IF(B247="Wednesday",0,C247)</f>
        <v>0</v>
      </c>
      <c r="L247" s="28" t="n">
        <f aca="false">L246+K247/$T$1*100</f>
        <v>164.611963529412</v>
      </c>
      <c r="M247" s="28" t="n">
        <f aca="false">MAX(0,MAX($L$2:L247))</f>
        <v>164.611963529412</v>
      </c>
      <c r="N247" s="28" t="n">
        <f aca="false">L247-M247</f>
        <v>0</v>
      </c>
      <c r="O247" s="25" t="n">
        <f aca="false">IF(N247&gt;=-0.0000001,A247,O246)</f>
        <v>46169</v>
      </c>
      <c r="P247" s="29" t="n">
        <f aca="false">IF(AND(N247&gt;=-0.0000001,N246&lt;0),1,0)</f>
        <v>0</v>
      </c>
      <c r="Q247" s="30" t="str">
        <f aca="false">IF(P247=1,A247-O246,"")</f>
        <v/>
      </c>
    </row>
    <row r="248" customFormat="false" ht="15" hidden="false" customHeight="false" outlineLevel="0" collapsed="false">
      <c r="A248" s="25" t="n">
        <v>46171</v>
      </c>
      <c r="B248" s="26" t="s">
        <v>83</v>
      </c>
      <c r="C248" s="27" t="n">
        <v>14401.4</v>
      </c>
      <c r="D248" s="28" t="n">
        <f aca="false">C248/$T$1*100</f>
        <v>0.847141176470588</v>
      </c>
      <c r="E248" s="28" t="n">
        <f aca="false">E247+D248</f>
        <v>143.367352352941</v>
      </c>
      <c r="F248" s="28" t="n">
        <f aca="false">MAX(0,MAX($E$2:E248))</f>
        <v>144.926052352941</v>
      </c>
      <c r="G248" s="28" t="n">
        <f aca="false">E248-F248</f>
        <v>-1.55870000000002</v>
      </c>
      <c r="H248" s="25" t="n">
        <f aca="false">IF(G248&gt;=-0.0000001,A248,H247)</f>
        <v>46161</v>
      </c>
      <c r="I248" s="29" t="n">
        <f aca="false">IF(AND(G248&gt;=-0.0000001,G247&lt;0),1,0)</f>
        <v>0</v>
      </c>
      <c r="J248" s="30" t="str">
        <f aca="false">IF(I248=1,A248-H247,"")</f>
        <v/>
      </c>
      <c r="K248" s="27" t="n">
        <f aca="false">IF(B248="Wednesday",0,C248)</f>
        <v>14401.4</v>
      </c>
      <c r="L248" s="28" t="n">
        <f aca="false">L247+K248/$T$1*100</f>
        <v>165.459104705882</v>
      </c>
      <c r="M248" s="28" t="n">
        <f aca="false">MAX(0,MAX($L$2:L248))</f>
        <v>165.459104705882</v>
      </c>
      <c r="N248" s="28" t="n">
        <f aca="false">L248-M248</f>
        <v>0</v>
      </c>
      <c r="O248" s="25" t="n">
        <f aca="false">IF(N248&gt;=-0.0000001,A248,O247)</f>
        <v>46171</v>
      </c>
      <c r="P248" s="29" t="n">
        <f aca="false">IF(AND(N248&gt;=-0.0000001,N247&lt;0),1,0)</f>
        <v>0</v>
      </c>
      <c r="Q248" s="30" t="str">
        <f aca="false">IF(P248=1,A248-O247,"")</f>
        <v/>
      </c>
    </row>
    <row r="249" customFormat="false" ht="15" hidden="false" customHeight="false" outlineLevel="0" collapsed="false">
      <c r="A249" s="25" t="n">
        <v>46174</v>
      </c>
      <c r="B249" s="26" t="s">
        <v>79</v>
      </c>
      <c r="C249" s="27" t="n">
        <v>54712.45</v>
      </c>
      <c r="D249" s="28" t="n">
        <f aca="false">C249/$T$1*100</f>
        <v>3.21837941176471</v>
      </c>
      <c r="E249" s="28" t="n">
        <f aca="false">E248+D249</f>
        <v>146.585731764706</v>
      </c>
      <c r="F249" s="28" t="n">
        <f aca="false">MAX(0,MAX($E$2:E249))</f>
        <v>146.585731764706</v>
      </c>
      <c r="G249" s="28" t="n">
        <f aca="false">E249-F249</f>
        <v>0</v>
      </c>
      <c r="H249" s="25" t="n">
        <f aca="false">IF(G249&gt;=-0.0000001,A249,H248)</f>
        <v>46174</v>
      </c>
      <c r="I249" s="29" t="n">
        <f aca="false">IF(AND(G249&gt;=-0.0000001,G248&lt;0),1,0)</f>
        <v>1</v>
      </c>
      <c r="J249" s="30" t="n">
        <f aca="false">IF(I249=1,A249-H248,"")</f>
        <v>13</v>
      </c>
      <c r="K249" s="27" t="n">
        <f aca="false">IF(B249="Wednesday",0,C249)</f>
        <v>54712.45</v>
      </c>
      <c r="L249" s="28" t="n">
        <f aca="false">L248+K249/$T$1*100</f>
        <v>168.677484117647</v>
      </c>
      <c r="M249" s="28" t="n">
        <f aca="false">MAX(0,MAX($L$2:L249))</f>
        <v>168.677484117647</v>
      </c>
      <c r="N249" s="28" t="n">
        <f aca="false">L249-M249</f>
        <v>0</v>
      </c>
      <c r="O249" s="25" t="n">
        <f aca="false">IF(N249&gt;=-0.0000001,A249,O248)</f>
        <v>46174</v>
      </c>
      <c r="P249" s="29" t="n">
        <f aca="false">IF(AND(N249&gt;=-0.0000001,N248&lt;0),1,0)</f>
        <v>0</v>
      </c>
      <c r="Q249" s="30" t="str">
        <f aca="false">IF(P249=1,A249-O248,"")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2026-06-20T16:36:45Z</dcterms:created>
  <dc:creator>openpyxl</dc:creator>
  <dc:description/>
  <dc:language>en-US</dc:language>
  <cp:lastModifiedBy/>
  <dcterms:modified xsi:type="dcterms:W3CDTF">2026-06-20T16:36:47Z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